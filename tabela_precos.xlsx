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REÇOS\2026\08-2026\"/>
    </mc:Choice>
  </mc:AlternateContent>
  <xr:revisionPtr revIDLastSave="0" documentId="13_ncr:1_{049AD113-A107-490B-90C2-FE87D4C043BC}" xr6:coauthVersionLast="47" xr6:coauthVersionMax="47" xr10:uidLastSave="{00000000-0000-0000-0000-000000000000}"/>
  <bookViews>
    <workbookView xWindow="-110" yWindow="-110" windowWidth="19420" windowHeight="11500" xr2:uid="{95CC2C59-A4C2-46CB-91E6-6AAFBA293BA3}"/>
  </bookViews>
  <sheets>
    <sheet name="REV" sheetId="1" r:id="rId1"/>
    <sheet name="ACESSÓRIOS REV" sheetId="2" r:id="rId2"/>
    <sheet name="TRADE IN" sheetId="3" r:id="rId3"/>
    <sheet name="COMPRE E LEVE" sheetId="4" r:id="rId4"/>
    <sheet name="REGRAS" sheetId="5" r:id="rId5"/>
  </sheets>
  <definedNames>
    <definedName name="_xlnm._FilterDatabase" localSheetId="1" hidden="1">'ACESSÓRIOS REV'!$B$7:$AN$106</definedName>
    <definedName name="_xlnm._FilterDatabase" localSheetId="3" hidden="1">'COMPRE E LEVE'!$A$2:$AA$183</definedName>
    <definedName name="_xlnm._FilterDatabase" localSheetId="0" hidden="1">REV!$A$12:$BA$465</definedName>
    <definedName name="_xlnm._FilterDatabase" localSheetId="2" hidden="1">'TRADE IN'!$A$12:$BJ$475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L475" i="3" l="1"/>
  <c r="AK475" i="3"/>
  <c r="AJ475" i="3"/>
  <c r="AI475" i="3"/>
  <c r="AH475" i="3"/>
  <c r="AG475" i="3"/>
  <c r="AF475" i="3"/>
  <c r="AE475" i="3"/>
  <c r="AD475" i="3"/>
  <c r="AC475" i="3"/>
  <c r="AB475" i="3"/>
  <c r="AA475" i="3"/>
  <c r="Z475" i="3"/>
  <c r="Y475" i="3"/>
  <c r="X475" i="3"/>
  <c r="W475" i="3"/>
  <c r="V475" i="3"/>
  <c r="U475" i="3"/>
  <c r="T475" i="3"/>
  <c r="S475" i="3"/>
  <c r="R475" i="3"/>
  <c r="Q475" i="3"/>
  <c r="P475" i="3"/>
  <c r="O475" i="3"/>
  <c r="N475" i="3"/>
  <c r="M475" i="3"/>
  <c r="L475" i="3"/>
  <c r="K475" i="3"/>
  <c r="J475" i="3"/>
  <c r="AL474" i="3"/>
  <c r="AK474" i="3"/>
  <c r="AJ474" i="3"/>
  <c r="AI474" i="3"/>
  <c r="AH474" i="3"/>
  <c r="AG474" i="3"/>
  <c r="AF474" i="3"/>
  <c r="AE474" i="3"/>
  <c r="AD474" i="3"/>
  <c r="AC474" i="3"/>
  <c r="AB474" i="3"/>
  <c r="AA474" i="3"/>
  <c r="Z474" i="3"/>
  <c r="Y474" i="3"/>
  <c r="X474" i="3"/>
  <c r="W474" i="3"/>
  <c r="V474" i="3"/>
  <c r="U474" i="3"/>
  <c r="T474" i="3"/>
  <c r="S474" i="3"/>
  <c r="R474" i="3"/>
  <c r="Q474" i="3"/>
  <c r="P474" i="3"/>
  <c r="O474" i="3"/>
  <c r="N474" i="3"/>
  <c r="M474" i="3"/>
  <c r="L474" i="3"/>
  <c r="K474" i="3"/>
  <c r="J474" i="3"/>
  <c r="AL473" i="3"/>
  <c r="AK473" i="3"/>
  <c r="AJ473" i="3"/>
  <c r="AI473" i="3"/>
  <c r="AH473" i="3"/>
  <c r="AG473" i="3"/>
  <c r="AF473" i="3"/>
  <c r="AE473" i="3"/>
  <c r="AD473" i="3"/>
  <c r="AC473" i="3"/>
  <c r="AB473" i="3"/>
  <c r="AA473" i="3"/>
  <c r="Z473" i="3"/>
  <c r="Y473" i="3"/>
  <c r="X473" i="3"/>
  <c r="W473" i="3"/>
  <c r="V473" i="3"/>
  <c r="U473" i="3"/>
  <c r="T473" i="3"/>
  <c r="S473" i="3"/>
  <c r="R473" i="3"/>
  <c r="Q473" i="3"/>
  <c r="P473" i="3"/>
  <c r="O473" i="3"/>
  <c r="N473" i="3"/>
  <c r="M473" i="3"/>
  <c r="L473" i="3"/>
  <c r="K473" i="3"/>
  <c r="J473" i="3"/>
  <c r="AL472" i="3"/>
  <c r="AK472" i="3"/>
  <c r="AJ472" i="3"/>
  <c r="AI472" i="3"/>
  <c r="AH472" i="3"/>
  <c r="AG472" i="3"/>
  <c r="AF472" i="3"/>
  <c r="AE472" i="3"/>
  <c r="AD472" i="3"/>
  <c r="AC472" i="3"/>
  <c r="AB472" i="3"/>
  <c r="AA472" i="3"/>
  <c r="Z472" i="3"/>
  <c r="Y472" i="3"/>
  <c r="X472" i="3"/>
  <c r="W472" i="3"/>
  <c r="V472" i="3"/>
  <c r="U472" i="3"/>
  <c r="T472" i="3"/>
  <c r="S472" i="3"/>
  <c r="R472" i="3"/>
  <c r="Q472" i="3"/>
  <c r="P472" i="3"/>
  <c r="O472" i="3"/>
  <c r="N472" i="3"/>
  <c r="M472" i="3"/>
  <c r="L472" i="3"/>
  <c r="K472" i="3"/>
  <c r="J472" i="3"/>
  <c r="AL471" i="3"/>
  <c r="AK471" i="3"/>
  <c r="AJ471" i="3"/>
  <c r="AI471" i="3"/>
  <c r="AH471" i="3"/>
  <c r="AG471" i="3"/>
  <c r="AF471" i="3"/>
  <c r="AE471" i="3"/>
  <c r="AD471" i="3"/>
  <c r="AC471" i="3"/>
  <c r="AB471" i="3"/>
  <c r="AA471" i="3"/>
  <c r="Z471" i="3"/>
  <c r="Y471" i="3"/>
  <c r="X471" i="3"/>
  <c r="W471" i="3"/>
  <c r="V471" i="3"/>
  <c r="U471" i="3"/>
  <c r="T471" i="3"/>
  <c r="S471" i="3"/>
  <c r="R471" i="3"/>
  <c r="Q471" i="3"/>
  <c r="P471" i="3"/>
  <c r="O471" i="3"/>
  <c r="N471" i="3"/>
  <c r="M471" i="3"/>
  <c r="L471" i="3"/>
  <c r="K471" i="3"/>
  <c r="J471" i="3"/>
  <c r="AL470" i="3"/>
  <c r="AK470" i="3"/>
  <c r="AJ470" i="3"/>
  <c r="AI470" i="3"/>
  <c r="AH470" i="3"/>
  <c r="AG470" i="3"/>
  <c r="AF470" i="3"/>
  <c r="AE470" i="3"/>
  <c r="AD470" i="3"/>
  <c r="AC470" i="3"/>
  <c r="AB470" i="3"/>
  <c r="AA470" i="3"/>
  <c r="Z470" i="3"/>
  <c r="Y470" i="3"/>
  <c r="X470" i="3"/>
  <c r="W470" i="3"/>
  <c r="V470" i="3"/>
  <c r="U470" i="3"/>
  <c r="T470" i="3"/>
  <c r="S470" i="3"/>
  <c r="R470" i="3"/>
  <c r="Q470" i="3"/>
  <c r="P470" i="3"/>
  <c r="O470" i="3"/>
  <c r="N470" i="3"/>
  <c r="M470" i="3"/>
  <c r="L470" i="3"/>
  <c r="K470" i="3"/>
  <c r="J470" i="3"/>
  <c r="AL469" i="3"/>
  <c r="AK469" i="3"/>
  <c r="AJ469" i="3"/>
  <c r="AI469" i="3"/>
  <c r="AH469" i="3"/>
  <c r="AG469" i="3"/>
  <c r="AF469" i="3"/>
  <c r="AE469" i="3"/>
  <c r="AD469" i="3"/>
  <c r="AC469" i="3"/>
  <c r="AB469" i="3"/>
  <c r="AA469" i="3"/>
  <c r="Z469" i="3"/>
  <c r="Y469" i="3"/>
  <c r="X469" i="3"/>
  <c r="W469" i="3"/>
  <c r="V469" i="3"/>
  <c r="U469" i="3"/>
  <c r="T469" i="3"/>
  <c r="S469" i="3"/>
  <c r="R469" i="3"/>
  <c r="Q469" i="3"/>
  <c r="P469" i="3"/>
  <c r="O469" i="3"/>
  <c r="N469" i="3"/>
  <c r="M469" i="3"/>
  <c r="L469" i="3"/>
  <c r="K469" i="3"/>
  <c r="J469" i="3"/>
  <c r="AL468" i="3"/>
  <c r="AK468" i="3"/>
  <c r="AJ468" i="3"/>
  <c r="AI468" i="3"/>
  <c r="AH468" i="3"/>
  <c r="AG468" i="3"/>
  <c r="AF468" i="3"/>
  <c r="AE468" i="3"/>
  <c r="AD468" i="3"/>
  <c r="AC468" i="3"/>
  <c r="AB468" i="3"/>
  <c r="AA468" i="3"/>
  <c r="Z468" i="3"/>
  <c r="Y468" i="3"/>
  <c r="X468" i="3"/>
  <c r="W468" i="3"/>
  <c r="V468" i="3"/>
  <c r="U468" i="3"/>
  <c r="T468" i="3"/>
  <c r="S468" i="3"/>
  <c r="R468" i="3"/>
  <c r="Q468" i="3"/>
  <c r="P468" i="3"/>
  <c r="O468" i="3"/>
  <c r="N468" i="3"/>
  <c r="M468" i="3"/>
  <c r="L468" i="3"/>
  <c r="K468" i="3"/>
  <c r="J468" i="3"/>
  <c r="AL467" i="3"/>
  <c r="AK467" i="3"/>
  <c r="AJ467" i="3"/>
  <c r="AI467" i="3"/>
  <c r="AH467" i="3"/>
  <c r="AG467" i="3"/>
  <c r="AF467" i="3"/>
  <c r="AE467" i="3"/>
  <c r="AD467" i="3"/>
  <c r="AC467" i="3"/>
  <c r="AB467" i="3"/>
  <c r="AA467" i="3"/>
  <c r="Z467" i="3"/>
  <c r="Y467" i="3"/>
  <c r="X467" i="3"/>
  <c r="W467" i="3"/>
  <c r="V467" i="3"/>
  <c r="U467" i="3"/>
  <c r="T467" i="3"/>
  <c r="S467" i="3"/>
  <c r="R467" i="3"/>
  <c r="Q467" i="3"/>
  <c r="P467" i="3"/>
  <c r="O467" i="3"/>
  <c r="N467" i="3"/>
  <c r="M467" i="3"/>
  <c r="L467" i="3"/>
  <c r="K467" i="3"/>
  <c r="J467" i="3"/>
  <c r="AL466" i="3"/>
  <c r="AK466" i="3"/>
  <c r="AJ466" i="3"/>
  <c r="AI466" i="3"/>
  <c r="AH466" i="3"/>
  <c r="AG466" i="3"/>
  <c r="AF466" i="3"/>
  <c r="AE466" i="3"/>
  <c r="AD466" i="3"/>
  <c r="AC466" i="3"/>
  <c r="AB466" i="3"/>
  <c r="AA466" i="3"/>
  <c r="Z466" i="3"/>
  <c r="Y466" i="3"/>
  <c r="X466" i="3"/>
  <c r="W466" i="3"/>
  <c r="V466" i="3"/>
  <c r="U466" i="3"/>
  <c r="T466" i="3"/>
  <c r="S466" i="3"/>
  <c r="R466" i="3"/>
  <c r="Q466" i="3"/>
  <c r="P466" i="3"/>
  <c r="O466" i="3"/>
  <c r="N466" i="3"/>
  <c r="M466" i="3"/>
  <c r="L466" i="3"/>
  <c r="K466" i="3"/>
  <c r="J466" i="3"/>
  <c r="AW465" i="3"/>
  <c r="AL465" i="3"/>
  <c r="AK465" i="3"/>
  <c r="AJ465" i="3"/>
  <c r="AI465" i="3"/>
  <c r="AH465" i="3"/>
  <c r="AG465" i="3"/>
  <c r="AF465" i="3"/>
  <c r="AE465" i="3"/>
  <c r="AD465" i="3"/>
  <c r="AC465" i="3"/>
  <c r="AB465" i="3"/>
  <c r="AA465" i="3"/>
  <c r="Z465" i="3"/>
  <c r="Y465" i="3"/>
  <c r="X465" i="3"/>
  <c r="W465" i="3"/>
  <c r="V465" i="3"/>
  <c r="U465" i="3"/>
  <c r="T465" i="3"/>
  <c r="S465" i="3"/>
  <c r="R465" i="3"/>
  <c r="Q465" i="3"/>
  <c r="P465" i="3"/>
  <c r="O465" i="3"/>
  <c r="N465" i="3"/>
  <c r="M465" i="3"/>
  <c r="L465" i="3"/>
  <c r="K465" i="3"/>
  <c r="J465" i="3"/>
  <c r="AW464" i="3"/>
  <c r="AL464" i="3"/>
  <c r="AK464" i="3"/>
  <c r="AJ464" i="3"/>
  <c r="AI464" i="3"/>
  <c r="AH464" i="3"/>
  <c r="AG464" i="3"/>
  <c r="AF464" i="3"/>
  <c r="AE464" i="3"/>
  <c r="AD464" i="3"/>
  <c r="AC464" i="3"/>
  <c r="AB464" i="3"/>
  <c r="AA464" i="3"/>
  <c r="Z464" i="3"/>
  <c r="Y464" i="3"/>
  <c r="X464" i="3"/>
  <c r="W464" i="3"/>
  <c r="V464" i="3"/>
  <c r="U464" i="3"/>
  <c r="T464" i="3"/>
  <c r="S464" i="3"/>
  <c r="R464" i="3"/>
  <c r="Q464" i="3"/>
  <c r="P464" i="3"/>
  <c r="O464" i="3"/>
  <c r="N464" i="3"/>
  <c r="M464" i="3"/>
  <c r="L464" i="3"/>
  <c r="K464" i="3"/>
  <c r="J464" i="3"/>
  <c r="AW463" i="3"/>
  <c r="AL463" i="3"/>
  <c r="AK463" i="3"/>
  <c r="AJ463" i="3"/>
  <c r="AI463" i="3"/>
  <c r="AH463" i="3"/>
  <c r="AG463" i="3"/>
  <c r="AF463" i="3"/>
  <c r="AE463" i="3"/>
  <c r="AD463" i="3"/>
  <c r="AC463" i="3"/>
  <c r="AB463" i="3"/>
  <c r="AA463" i="3"/>
  <c r="Z463" i="3"/>
  <c r="Y463" i="3"/>
  <c r="X463" i="3"/>
  <c r="W463" i="3"/>
  <c r="V463" i="3"/>
  <c r="U463" i="3"/>
  <c r="T463" i="3"/>
  <c r="S463" i="3"/>
  <c r="R463" i="3"/>
  <c r="Q463" i="3"/>
  <c r="P463" i="3"/>
  <c r="O463" i="3"/>
  <c r="N463" i="3"/>
  <c r="M463" i="3"/>
  <c r="L463" i="3"/>
  <c r="K463" i="3"/>
  <c r="J463" i="3"/>
  <c r="AW462" i="3"/>
  <c r="AL462" i="3"/>
  <c r="AK462" i="3"/>
  <c r="AJ462" i="3"/>
  <c r="AI462" i="3"/>
  <c r="AH462" i="3"/>
  <c r="AG462" i="3"/>
  <c r="AF462" i="3"/>
  <c r="AE462" i="3"/>
  <c r="AD462" i="3"/>
  <c r="AC462" i="3"/>
  <c r="AB462" i="3"/>
  <c r="AA462" i="3"/>
  <c r="Z462" i="3"/>
  <c r="Y462" i="3"/>
  <c r="X462" i="3"/>
  <c r="W462" i="3"/>
  <c r="V462" i="3"/>
  <c r="U462" i="3"/>
  <c r="T462" i="3"/>
  <c r="S462" i="3"/>
  <c r="R462" i="3"/>
  <c r="Q462" i="3"/>
  <c r="P462" i="3"/>
  <c r="O462" i="3"/>
  <c r="N462" i="3"/>
  <c r="M462" i="3"/>
  <c r="L462" i="3"/>
  <c r="K462" i="3"/>
  <c r="J462" i="3"/>
  <c r="AW461" i="3"/>
  <c r="AL461" i="3"/>
  <c r="AK461" i="3"/>
  <c r="AJ461" i="3"/>
  <c r="AI461" i="3"/>
  <c r="AH461" i="3"/>
  <c r="AG461" i="3"/>
  <c r="AF461" i="3"/>
  <c r="AE461" i="3"/>
  <c r="AD461" i="3"/>
  <c r="AC461" i="3"/>
  <c r="AB461" i="3"/>
  <c r="AA461" i="3"/>
  <c r="Z461" i="3"/>
  <c r="Y461" i="3"/>
  <c r="X461" i="3"/>
  <c r="W461" i="3"/>
  <c r="V461" i="3"/>
  <c r="U461" i="3"/>
  <c r="T461" i="3"/>
  <c r="S461" i="3"/>
  <c r="R461" i="3"/>
  <c r="Q461" i="3"/>
  <c r="P461" i="3"/>
  <c r="O461" i="3"/>
  <c r="N461" i="3"/>
  <c r="M461" i="3"/>
  <c r="L461" i="3"/>
  <c r="K461" i="3"/>
  <c r="J461" i="3"/>
  <c r="AW460" i="3"/>
  <c r="AL460" i="3"/>
  <c r="AK460" i="3"/>
  <c r="AJ460" i="3"/>
  <c r="AI460" i="3"/>
  <c r="AH460" i="3"/>
  <c r="AG460" i="3"/>
  <c r="AF460" i="3"/>
  <c r="AE460" i="3"/>
  <c r="AD460" i="3"/>
  <c r="AC460" i="3"/>
  <c r="AB460" i="3"/>
  <c r="AA460" i="3"/>
  <c r="Z460" i="3"/>
  <c r="Y460" i="3"/>
  <c r="X460" i="3"/>
  <c r="W460" i="3"/>
  <c r="V460" i="3"/>
  <c r="U460" i="3"/>
  <c r="T460" i="3"/>
  <c r="S460" i="3"/>
  <c r="R460" i="3"/>
  <c r="Q460" i="3"/>
  <c r="P460" i="3"/>
  <c r="O460" i="3"/>
  <c r="N460" i="3"/>
  <c r="M460" i="3"/>
  <c r="L460" i="3"/>
  <c r="K460" i="3"/>
  <c r="J460" i="3"/>
  <c r="AW459" i="3"/>
  <c r="AL459" i="3"/>
  <c r="AK459" i="3"/>
  <c r="AJ459" i="3"/>
  <c r="AI459" i="3"/>
  <c r="AH459" i="3"/>
  <c r="AG459" i="3"/>
  <c r="AF459" i="3"/>
  <c r="AE459" i="3"/>
  <c r="AD459" i="3"/>
  <c r="AC459" i="3"/>
  <c r="AB459" i="3"/>
  <c r="AA459" i="3"/>
  <c r="Z459" i="3"/>
  <c r="Y459" i="3"/>
  <c r="X459" i="3"/>
  <c r="W459" i="3"/>
  <c r="V459" i="3"/>
  <c r="U459" i="3"/>
  <c r="T459" i="3"/>
  <c r="S459" i="3"/>
  <c r="R459" i="3"/>
  <c r="Q459" i="3"/>
  <c r="P459" i="3"/>
  <c r="O459" i="3"/>
  <c r="N459" i="3"/>
  <c r="M459" i="3"/>
  <c r="L459" i="3"/>
  <c r="K459" i="3"/>
  <c r="J459" i="3"/>
  <c r="AW458" i="3"/>
  <c r="AL458" i="3"/>
  <c r="AK458" i="3"/>
  <c r="AJ458" i="3"/>
  <c r="AI458" i="3"/>
  <c r="AH458" i="3"/>
  <c r="AG458" i="3"/>
  <c r="AF458" i="3"/>
  <c r="AE458" i="3"/>
  <c r="AD458" i="3"/>
  <c r="AC458" i="3"/>
  <c r="AB458" i="3"/>
  <c r="AA458" i="3"/>
  <c r="Z458" i="3"/>
  <c r="Y458" i="3"/>
  <c r="X458" i="3"/>
  <c r="W458" i="3"/>
  <c r="V458" i="3"/>
  <c r="U458" i="3"/>
  <c r="T458" i="3"/>
  <c r="S458" i="3"/>
  <c r="R458" i="3"/>
  <c r="Q458" i="3"/>
  <c r="P458" i="3"/>
  <c r="O458" i="3"/>
  <c r="N458" i="3"/>
  <c r="M458" i="3"/>
  <c r="L458" i="3"/>
  <c r="K458" i="3"/>
  <c r="J458" i="3"/>
  <c r="AW457" i="3"/>
  <c r="AL457" i="3"/>
  <c r="AK457" i="3"/>
  <c r="AJ457" i="3"/>
  <c r="AI457" i="3"/>
  <c r="AH457" i="3"/>
  <c r="AG457" i="3"/>
  <c r="AF457" i="3"/>
  <c r="AE457" i="3"/>
  <c r="AD457" i="3"/>
  <c r="AC457" i="3"/>
  <c r="AB457" i="3"/>
  <c r="AA457" i="3"/>
  <c r="Z457" i="3"/>
  <c r="Y457" i="3"/>
  <c r="X457" i="3"/>
  <c r="W457" i="3"/>
  <c r="V457" i="3"/>
  <c r="U457" i="3"/>
  <c r="T457" i="3"/>
  <c r="S457" i="3"/>
  <c r="R457" i="3"/>
  <c r="Q457" i="3"/>
  <c r="P457" i="3"/>
  <c r="O457" i="3"/>
  <c r="N457" i="3"/>
  <c r="M457" i="3"/>
  <c r="L457" i="3"/>
  <c r="K457" i="3"/>
  <c r="J457" i="3"/>
  <c r="AW456" i="3"/>
  <c r="AL456" i="3"/>
  <c r="AK456" i="3"/>
  <c r="AJ456" i="3"/>
  <c r="AI456" i="3"/>
  <c r="AH456" i="3"/>
  <c r="AG456" i="3"/>
  <c r="AF456" i="3"/>
  <c r="AE456" i="3"/>
  <c r="AD456" i="3"/>
  <c r="AC456" i="3"/>
  <c r="AB456" i="3"/>
  <c r="AA456" i="3"/>
  <c r="Z456" i="3"/>
  <c r="Y456" i="3"/>
  <c r="X456" i="3"/>
  <c r="W456" i="3"/>
  <c r="V456" i="3"/>
  <c r="U456" i="3"/>
  <c r="T456" i="3"/>
  <c r="S456" i="3"/>
  <c r="R456" i="3"/>
  <c r="Q456" i="3"/>
  <c r="P456" i="3"/>
  <c r="O456" i="3"/>
  <c r="N456" i="3"/>
  <c r="M456" i="3"/>
  <c r="L456" i="3"/>
  <c r="K456" i="3"/>
  <c r="J456" i="3"/>
  <c r="AW455" i="3"/>
  <c r="AA455" i="3"/>
  <c r="Z455" i="3"/>
  <c r="Y455" i="3"/>
  <c r="X455" i="3"/>
  <c r="W455" i="3"/>
  <c r="V455" i="3"/>
  <c r="U455" i="3"/>
  <c r="T455" i="3"/>
  <c r="S455" i="3"/>
  <c r="R455" i="3"/>
  <c r="Q455" i="3"/>
  <c r="P455" i="3"/>
  <c r="O455" i="3"/>
  <c r="N455" i="3"/>
  <c r="M455" i="3"/>
  <c r="L455" i="3"/>
  <c r="K455" i="3"/>
  <c r="J455" i="3"/>
  <c r="AW454" i="3"/>
  <c r="AA454" i="3"/>
  <c r="Z454" i="3"/>
  <c r="Y454" i="3"/>
  <c r="X454" i="3"/>
  <c r="W454" i="3"/>
  <c r="V454" i="3"/>
  <c r="U454" i="3"/>
  <c r="T454" i="3"/>
  <c r="S454" i="3"/>
  <c r="R454" i="3"/>
  <c r="Q454" i="3"/>
  <c r="P454" i="3"/>
  <c r="O454" i="3"/>
  <c r="N454" i="3"/>
  <c r="M454" i="3"/>
  <c r="L454" i="3"/>
  <c r="K454" i="3"/>
  <c r="J454" i="3"/>
  <c r="AW453" i="3"/>
  <c r="AA453" i="3"/>
  <c r="Z453" i="3"/>
  <c r="Y453" i="3"/>
  <c r="X453" i="3"/>
  <c r="W453" i="3"/>
  <c r="V453" i="3"/>
  <c r="U453" i="3"/>
  <c r="T453" i="3"/>
  <c r="S453" i="3"/>
  <c r="R453" i="3"/>
  <c r="Q453" i="3"/>
  <c r="P453" i="3"/>
  <c r="O453" i="3"/>
  <c r="N453" i="3"/>
  <c r="M453" i="3"/>
  <c r="L453" i="3"/>
  <c r="K453" i="3"/>
  <c r="J453" i="3"/>
  <c r="AW452" i="3"/>
  <c r="AA452" i="3"/>
  <c r="Z452" i="3"/>
  <c r="Y452" i="3"/>
  <c r="X452" i="3"/>
  <c r="W452" i="3"/>
  <c r="V452" i="3"/>
  <c r="U452" i="3"/>
  <c r="T452" i="3"/>
  <c r="S452" i="3"/>
  <c r="R452" i="3"/>
  <c r="Q452" i="3"/>
  <c r="P452" i="3"/>
  <c r="O452" i="3"/>
  <c r="N452" i="3"/>
  <c r="M452" i="3"/>
  <c r="L452" i="3"/>
  <c r="K452" i="3"/>
  <c r="J452" i="3"/>
  <c r="AW451" i="3"/>
  <c r="AA451" i="3"/>
  <c r="Z451" i="3"/>
  <c r="Y451" i="3"/>
  <c r="X451" i="3"/>
  <c r="W451" i="3"/>
  <c r="V451" i="3"/>
  <c r="U451" i="3"/>
  <c r="T451" i="3"/>
  <c r="S451" i="3"/>
  <c r="R451" i="3"/>
  <c r="Q451" i="3"/>
  <c r="P451" i="3"/>
  <c r="O451" i="3"/>
  <c r="N451" i="3"/>
  <c r="M451" i="3"/>
  <c r="L451" i="3"/>
  <c r="K451" i="3"/>
  <c r="J451" i="3"/>
  <c r="AW450" i="3"/>
  <c r="AA450" i="3"/>
  <c r="Z450" i="3"/>
  <c r="Y450" i="3"/>
  <c r="X450" i="3"/>
  <c r="W450" i="3"/>
  <c r="V450" i="3"/>
  <c r="U450" i="3"/>
  <c r="T450" i="3"/>
  <c r="S450" i="3"/>
  <c r="R450" i="3"/>
  <c r="Q450" i="3"/>
  <c r="P450" i="3"/>
  <c r="O450" i="3"/>
  <c r="N450" i="3"/>
  <c r="M450" i="3"/>
  <c r="L450" i="3"/>
  <c r="K450" i="3"/>
  <c r="J450" i="3"/>
  <c r="AW449" i="3"/>
  <c r="AA449" i="3"/>
  <c r="Z449" i="3"/>
  <c r="Y449" i="3"/>
  <c r="X449" i="3"/>
  <c r="W449" i="3"/>
  <c r="V449" i="3"/>
  <c r="U449" i="3"/>
  <c r="T449" i="3"/>
  <c r="S449" i="3"/>
  <c r="R449" i="3"/>
  <c r="Q449" i="3"/>
  <c r="P449" i="3"/>
  <c r="O449" i="3"/>
  <c r="N449" i="3"/>
  <c r="M449" i="3"/>
  <c r="L449" i="3"/>
  <c r="K449" i="3"/>
  <c r="J449" i="3"/>
  <c r="AW448" i="3"/>
  <c r="AA448" i="3"/>
  <c r="Z448" i="3"/>
  <c r="Y448" i="3"/>
  <c r="X448" i="3"/>
  <c r="W448" i="3"/>
  <c r="V448" i="3"/>
  <c r="U448" i="3"/>
  <c r="T448" i="3"/>
  <c r="S448" i="3"/>
  <c r="R448" i="3"/>
  <c r="Q448" i="3"/>
  <c r="P448" i="3"/>
  <c r="O448" i="3"/>
  <c r="N448" i="3"/>
  <c r="M448" i="3"/>
  <c r="L448" i="3"/>
  <c r="K448" i="3"/>
  <c r="J448" i="3"/>
  <c r="AW447" i="3"/>
  <c r="AA447" i="3"/>
  <c r="Z447" i="3"/>
  <c r="Y447" i="3"/>
  <c r="X447" i="3"/>
  <c r="W447" i="3"/>
  <c r="V447" i="3"/>
  <c r="U447" i="3"/>
  <c r="T447" i="3"/>
  <c r="S447" i="3"/>
  <c r="R447" i="3"/>
  <c r="Q447" i="3"/>
  <c r="P447" i="3"/>
  <c r="O447" i="3"/>
  <c r="N447" i="3"/>
  <c r="M447" i="3"/>
  <c r="L447" i="3"/>
  <c r="K447" i="3"/>
  <c r="J447" i="3"/>
  <c r="AW446" i="3"/>
  <c r="AA446" i="3"/>
  <c r="Z446" i="3"/>
  <c r="Y446" i="3"/>
  <c r="X446" i="3"/>
  <c r="W446" i="3"/>
  <c r="V446" i="3"/>
  <c r="U446" i="3"/>
  <c r="T446" i="3"/>
  <c r="S446" i="3"/>
  <c r="R446" i="3"/>
  <c r="Q446" i="3"/>
  <c r="P446" i="3"/>
  <c r="O446" i="3"/>
  <c r="N446" i="3"/>
  <c r="M446" i="3"/>
  <c r="L446" i="3"/>
  <c r="K446" i="3"/>
  <c r="J446" i="3"/>
  <c r="AW445" i="3"/>
  <c r="AA445" i="3"/>
  <c r="Z445" i="3"/>
  <c r="Y445" i="3"/>
  <c r="X445" i="3"/>
  <c r="W445" i="3"/>
  <c r="V445" i="3"/>
  <c r="U445" i="3"/>
  <c r="T445" i="3"/>
  <c r="S445" i="3"/>
  <c r="R445" i="3"/>
  <c r="Q445" i="3"/>
  <c r="P445" i="3"/>
  <c r="O445" i="3"/>
  <c r="N445" i="3"/>
  <c r="M445" i="3"/>
  <c r="L445" i="3"/>
  <c r="K445" i="3"/>
  <c r="J445" i="3"/>
  <c r="AW444" i="3"/>
  <c r="AA444" i="3"/>
  <c r="Z444" i="3"/>
  <c r="Y444" i="3"/>
  <c r="X444" i="3"/>
  <c r="W444" i="3"/>
  <c r="V444" i="3"/>
  <c r="U444" i="3"/>
  <c r="T444" i="3"/>
  <c r="S444" i="3"/>
  <c r="R444" i="3"/>
  <c r="Q444" i="3"/>
  <c r="P444" i="3"/>
  <c r="O444" i="3"/>
  <c r="N444" i="3"/>
  <c r="M444" i="3"/>
  <c r="L444" i="3"/>
  <c r="K444" i="3"/>
  <c r="J444" i="3"/>
  <c r="AW443" i="3"/>
  <c r="AA443" i="3"/>
  <c r="Z443" i="3"/>
  <c r="Y443" i="3"/>
  <c r="X443" i="3"/>
  <c r="W443" i="3"/>
  <c r="V443" i="3"/>
  <c r="U443" i="3"/>
  <c r="T443" i="3"/>
  <c r="S443" i="3"/>
  <c r="R443" i="3"/>
  <c r="Q443" i="3"/>
  <c r="P443" i="3"/>
  <c r="O443" i="3"/>
  <c r="N443" i="3"/>
  <c r="M443" i="3"/>
  <c r="L443" i="3"/>
  <c r="K443" i="3"/>
  <c r="J443" i="3"/>
  <c r="AW442" i="3"/>
  <c r="AA442" i="3"/>
  <c r="Z442" i="3"/>
  <c r="Y442" i="3"/>
  <c r="X442" i="3"/>
  <c r="W442" i="3"/>
  <c r="V442" i="3"/>
  <c r="U442" i="3"/>
  <c r="T442" i="3"/>
  <c r="S442" i="3"/>
  <c r="R442" i="3"/>
  <c r="Q442" i="3"/>
  <c r="P442" i="3"/>
  <c r="O442" i="3"/>
  <c r="N442" i="3"/>
  <c r="M442" i="3"/>
  <c r="L442" i="3"/>
  <c r="K442" i="3"/>
  <c r="J442" i="3"/>
  <c r="AW441" i="3"/>
  <c r="AL441" i="3"/>
  <c r="AK441" i="3"/>
  <c r="AJ441" i="3"/>
  <c r="AI441" i="3"/>
  <c r="AH441" i="3"/>
  <c r="AG441" i="3"/>
  <c r="AF441" i="3"/>
  <c r="AE441" i="3"/>
  <c r="AD441" i="3"/>
  <c r="AC441" i="3"/>
  <c r="AB441" i="3"/>
  <c r="AA441" i="3"/>
  <c r="Z441" i="3"/>
  <c r="Y441" i="3"/>
  <c r="X441" i="3"/>
  <c r="W441" i="3"/>
  <c r="V441" i="3"/>
  <c r="U441" i="3"/>
  <c r="T441" i="3"/>
  <c r="S441" i="3"/>
  <c r="R441" i="3"/>
  <c r="Q441" i="3"/>
  <c r="P441" i="3"/>
  <c r="O441" i="3"/>
  <c r="N441" i="3"/>
  <c r="M441" i="3"/>
  <c r="L441" i="3"/>
  <c r="K441" i="3"/>
  <c r="J441" i="3"/>
  <c r="AW440" i="3"/>
  <c r="AL440" i="3"/>
  <c r="AK440" i="3"/>
  <c r="AJ440" i="3"/>
  <c r="AI440" i="3"/>
  <c r="AH440" i="3"/>
  <c r="AG440" i="3"/>
  <c r="AF440" i="3"/>
  <c r="AE440" i="3"/>
  <c r="AD440" i="3"/>
  <c r="AC440" i="3"/>
  <c r="AB440" i="3"/>
  <c r="AA440" i="3"/>
  <c r="Z440" i="3"/>
  <c r="Y440" i="3"/>
  <c r="X440" i="3"/>
  <c r="W440" i="3"/>
  <c r="V440" i="3"/>
  <c r="U440" i="3"/>
  <c r="T440" i="3"/>
  <c r="S440" i="3"/>
  <c r="R440" i="3"/>
  <c r="Q440" i="3"/>
  <c r="P440" i="3"/>
  <c r="O440" i="3"/>
  <c r="N440" i="3"/>
  <c r="M440" i="3"/>
  <c r="L440" i="3"/>
  <c r="K440" i="3"/>
  <c r="J440" i="3"/>
  <c r="AW439" i="3"/>
  <c r="AL439" i="3"/>
  <c r="AK439" i="3"/>
  <c r="AJ439" i="3"/>
  <c r="AI439" i="3"/>
  <c r="AH439" i="3"/>
  <c r="AG439" i="3"/>
  <c r="AF439" i="3"/>
  <c r="AE439" i="3"/>
  <c r="AD439" i="3"/>
  <c r="AC439" i="3"/>
  <c r="AB439" i="3"/>
  <c r="AA439" i="3"/>
  <c r="Z439" i="3"/>
  <c r="Y439" i="3"/>
  <c r="X439" i="3"/>
  <c r="W439" i="3"/>
  <c r="V439" i="3"/>
  <c r="U439" i="3"/>
  <c r="T439" i="3"/>
  <c r="S439" i="3"/>
  <c r="R439" i="3"/>
  <c r="Q439" i="3"/>
  <c r="P439" i="3"/>
  <c r="O439" i="3"/>
  <c r="N439" i="3"/>
  <c r="M439" i="3"/>
  <c r="L439" i="3"/>
  <c r="K439" i="3"/>
  <c r="J439" i="3"/>
  <c r="AW438" i="3"/>
  <c r="AL438" i="3"/>
  <c r="AK438" i="3"/>
  <c r="AJ438" i="3"/>
  <c r="AI438" i="3"/>
  <c r="AH438" i="3"/>
  <c r="AG438" i="3"/>
  <c r="AF438" i="3"/>
  <c r="AE438" i="3"/>
  <c r="AD438" i="3"/>
  <c r="AC438" i="3"/>
  <c r="AB438" i="3"/>
  <c r="AA438" i="3"/>
  <c r="Z438" i="3"/>
  <c r="Y438" i="3"/>
  <c r="X438" i="3"/>
  <c r="W438" i="3"/>
  <c r="V438" i="3"/>
  <c r="U438" i="3"/>
  <c r="T438" i="3"/>
  <c r="S438" i="3"/>
  <c r="R438" i="3"/>
  <c r="Q438" i="3"/>
  <c r="P438" i="3"/>
  <c r="O438" i="3"/>
  <c r="N438" i="3"/>
  <c r="M438" i="3"/>
  <c r="L438" i="3"/>
  <c r="K438" i="3"/>
  <c r="J438" i="3"/>
  <c r="AW437" i="3"/>
  <c r="AL437" i="3"/>
  <c r="AK437" i="3"/>
  <c r="AJ437" i="3"/>
  <c r="AI437" i="3"/>
  <c r="AH437" i="3"/>
  <c r="AG437" i="3"/>
  <c r="AF437" i="3"/>
  <c r="AE437" i="3"/>
  <c r="AD437" i="3"/>
  <c r="AC437" i="3"/>
  <c r="AB437" i="3"/>
  <c r="AA437" i="3"/>
  <c r="Z437" i="3"/>
  <c r="Y437" i="3"/>
  <c r="X437" i="3"/>
  <c r="W437" i="3"/>
  <c r="V437" i="3"/>
  <c r="U437" i="3"/>
  <c r="T437" i="3"/>
  <c r="S437" i="3"/>
  <c r="R437" i="3"/>
  <c r="Q437" i="3"/>
  <c r="P437" i="3"/>
  <c r="O437" i="3"/>
  <c r="N437" i="3"/>
  <c r="M437" i="3"/>
  <c r="L437" i="3"/>
  <c r="K437" i="3"/>
  <c r="J437" i="3"/>
  <c r="AW436" i="3"/>
  <c r="AL436" i="3"/>
  <c r="AK436" i="3"/>
  <c r="AJ436" i="3"/>
  <c r="AI436" i="3"/>
  <c r="AH436" i="3"/>
  <c r="AG436" i="3"/>
  <c r="AF436" i="3"/>
  <c r="AE436" i="3"/>
  <c r="AD436" i="3"/>
  <c r="AC436" i="3"/>
  <c r="AB436" i="3"/>
  <c r="AA436" i="3"/>
  <c r="Z436" i="3"/>
  <c r="Y436" i="3"/>
  <c r="X436" i="3"/>
  <c r="W436" i="3"/>
  <c r="V436" i="3"/>
  <c r="U436" i="3"/>
  <c r="T436" i="3"/>
  <c r="S436" i="3"/>
  <c r="R436" i="3"/>
  <c r="Q436" i="3"/>
  <c r="P436" i="3"/>
  <c r="O436" i="3"/>
  <c r="N436" i="3"/>
  <c r="M436" i="3"/>
  <c r="L436" i="3"/>
  <c r="K436" i="3"/>
  <c r="J436" i="3"/>
  <c r="AW435" i="3"/>
  <c r="AA435" i="3"/>
  <c r="Z435" i="3"/>
  <c r="Y435" i="3"/>
  <c r="X435" i="3"/>
  <c r="W435" i="3"/>
  <c r="V435" i="3"/>
  <c r="U435" i="3"/>
  <c r="T435" i="3"/>
  <c r="S435" i="3"/>
  <c r="R435" i="3"/>
  <c r="Q435" i="3"/>
  <c r="P435" i="3"/>
  <c r="O435" i="3"/>
  <c r="N435" i="3"/>
  <c r="M435" i="3"/>
  <c r="L435" i="3"/>
  <c r="K435" i="3"/>
  <c r="J435" i="3"/>
  <c r="AW434" i="3"/>
  <c r="AA434" i="3"/>
  <c r="Z434" i="3"/>
  <c r="Y434" i="3"/>
  <c r="X434" i="3"/>
  <c r="W434" i="3"/>
  <c r="V434" i="3"/>
  <c r="U434" i="3"/>
  <c r="T434" i="3"/>
  <c r="S434" i="3"/>
  <c r="R434" i="3"/>
  <c r="Q434" i="3"/>
  <c r="P434" i="3"/>
  <c r="O434" i="3"/>
  <c r="N434" i="3"/>
  <c r="M434" i="3"/>
  <c r="L434" i="3"/>
  <c r="K434" i="3"/>
  <c r="J434" i="3"/>
  <c r="AW433" i="3"/>
  <c r="AA433" i="3"/>
  <c r="Z433" i="3"/>
  <c r="Y433" i="3"/>
  <c r="X433" i="3"/>
  <c r="W433" i="3"/>
  <c r="V433" i="3"/>
  <c r="U433" i="3"/>
  <c r="T433" i="3"/>
  <c r="S433" i="3"/>
  <c r="R433" i="3"/>
  <c r="Q433" i="3"/>
  <c r="P433" i="3"/>
  <c r="O433" i="3"/>
  <c r="N433" i="3"/>
  <c r="M433" i="3"/>
  <c r="L433" i="3"/>
  <c r="K433" i="3"/>
  <c r="J433" i="3"/>
  <c r="AW432" i="3"/>
  <c r="AA432" i="3"/>
  <c r="Z432" i="3"/>
  <c r="Y432" i="3"/>
  <c r="X432" i="3"/>
  <c r="W432" i="3"/>
  <c r="V432" i="3"/>
  <c r="U432" i="3"/>
  <c r="T432" i="3"/>
  <c r="S432" i="3"/>
  <c r="R432" i="3"/>
  <c r="Q432" i="3"/>
  <c r="P432" i="3"/>
  <c r="O432" i="3"/>
  <c r="N432" i="3"/>
  <c r="M432" i="3"/>
  <c r="L432" i="3"/>
  <c r="K432" i="3"/>
  <c r="J432" i="3"/>
  <c r="AW431" i="3"/>
  <c r="AL431" i="3"/>
  <c r="AK431" i="3"/>
  <c r="AJ431" i="3"/>
  <c r="AI431" i="3"/>
  <c r="AH431" i="3"/>
  <c r="AG431" i="3"/>
  <c r="AF431" i="3"/>
  <c r="AE431" i="3"/>
  <c r="AD431" i="3"/>
  <c r="AC431" i="3"/>
  <c r="AB431" i="3"/>
  <c r="AA431" i="3"/>
  <c r="Z431" i="3"/>
  <c r="Y431" i="3"/>
  <c r="X431" i="3"/>
  <c r="W431" i="3"/>
  <c r="V431" i="3"/>
  <c r="U431" i="3"/>
  <c r="T431" i="3"/>
  <c r="S431" i="3"/>
  <c r="R431" i="3"/>
  <c r="Q431" i="3"/>
  <c r="P431" i="3"/>
  <c r="O431" i="3"/>
  <c r="N431" i="3"/>
  <c r="M431" i="3"/>
  <c r="L431" i="3"/>
  <c r="K431" i="3"/>
  <c r="J431" i="3"/>
  <c r="AW430" i="3"/>
  <c r="AL430" i="3"/>
  <c r="AK430" i="3"/>
  <c r="AJ430" i="3"/>
  <c r="AI430" i="3"/>
  <c r="AH430" i="3"/>
  <c r="AG430" i="3"/>
  <c r="AF430" i="3"/>
  <c r="AE430" i="3"/>
  <c r="AD430" i="3"/>
  <c r="AC430" i="3"/>
  <c r="AB430" i="3"/>
  <c r="AA430" i="3"/>
  <c r="Z430" i="3"/>
  <c r="Y430" i="3"/>
  <c r="X430" i="3"/>
  <c r="W430" i="3"/>
  <c r="V430" i="3"/>
  <c r="U430" i="3"/>
  <c r="T430" i="3"/>
  <c r="S430" i="3"/>
  <c r="R430" i="3"/>
  <c r="Q430" i="3"/>
  <c r="P430" i="3"/>
  <c r="O430" i="3"/>
  <c r="N430" i="3"/>
  <c r="M430" i="3"/>
  <c r="L430" i="3"/>
  <c r="K430" i="3"/>
  <c r="J430" i="3"/>
  <c r="AW429" i="3"/>
  <c r="AL429" i="3"/>
  <c r="AK429" i="3"/>
  <c r="AJ429" i="3"/>
  <c r="AI429" i="3"/>
  <c r="AH429" i="3"/>
  <c r="AG429" i="3"/>
  <c r="AF429" i="3"/>
  <c r="AE429" i="3"/>
  <c r="AD429" i="3"/>
  <c r="AC429" i="3"/>
  <c r="AB429" i="3"/>
  <c r="AA429" i="3"/>
  <c r="Z429" i="3"/>
  <c r="Y429" i="3"/>
  <c r="X429" i="3"/>
  <c r="W429" i="3"/>
  <c r="V429" i="3"/>
  <c r="U429" i="3"/>
  <c r="T429" i="3"/>
  <c r="S429" i="3"/>
  <c r="R429" i="3"/>
  <c r="Q429" i="3"/>
  <c r="P429" i="3"/>
  <c r="O429" i="3"/>
  <c r="N429" i="3"/>
  <c r="M429" i="3"/>
  <c r="L429" i="3"/>
  <c r="K429" i="3"/>
  <c r="J429" i="3"/>
  <c r="AW428" i="3"/>
  <c r="AL428" i="3"/>
  <c r="AK428" i="3"/>
  <c r="AJ428" i="3"/>
  <c r="AI428" i="3"/>
  <c r="AH428" i="3"/>
  <c r="AG428" i="3"/>
  <c r="AF428" i="3"/>
  <c r="AE428" i="3"/>
  <c r="AD428" i="3"/>
  <c r="AC428" i="3"/>
  <c r="AB428" i="3"/>
  <c r="AA428" i="3"/>
  <c r="Z428" i="3"/>
  <c r="Y428" i="3"/>
  <c r="X428" i="3"/>
  <c r="W428" i="3"/>
  <c r="V428" i="3"/>
  <c r="U428" i="3"/>
  <c r="T428" i="3"/>
  <c r="S428" i="3"/>
  <c r="R428" i="3"/>
  <c r="Q428" i="3"/>
  <c r="P428" i="3"/>
  <c r="O428" i="3"/>
  <c r="N428" i="3"/>
  <c r="M428" i="3"/>
  <c r="L428" i="3"/>
  <c r="K428" i="3"/>
  <c r="J428" i="3"/>
  <c r="AW427" i="3"/>
  <c r="AA427" i="3"/>
  <c r="Z427" i="3"/>
  <c r="Y427" i="3"/>
  <c r="X427" i="3"/>
  <c r="W427" i="3"/>
  <c r="V427" i="3"/>
  <c r="U427" i="3"/>
  <c r="T427" i="3"/>
  <c r="S427" i="3"/>
  <c r="R427" i="3"/>
  <c r="Q427" i="3"/>
  <c r="P427" i="3"/>
  <c r="O427" i="3"/>
  <c r="N427" i="3"/>
  <c r="M427" i="3"/>
  <c r="L427" i="3"/>
  <c r="K427" i="3"/>
  <c r="J427" i="3"/>
  <c r="AW426" i="3"/>
  <c r="AA426" i="3"/>
  <c r="Z426" i="3"/>
  <c r="Y426" i="3"/>
  <c r="X426" i="3"/>
  <c r="W426" i="3"/>
  <c r="V426" i="3"/>
  <c r="U426" i="3"/>
  <c r="T426" i="3"/>
  <c r="S426" i="3"/>
  <c r="R426" i="3"/>
  <c r="Q426" i="3"/>
  <c r="P426" i="3"/>
  <c r="O426" i="3"/>
  <c r="N426" i="3"/>
  <c r="M426" i="3"/>
  <c r="L426" i="3"/>
  <c r="K426" i="3"/>
  <c r="J426" i="3"/>
  <c r="AW425" i="3"/>
  <c r="AA425" i="3"/>
  <c r="Z425" i="3"/>
  <c r="Y425" i="3"/>
  <c r="X425" i="3"/>
  <c r="W425" i="3"/>
  <c r="V425" i="3"/>
  <c r="U425" i="3"/>
  <c r="T425" i="3"/>
  <c r="S425" i="3"/>
  <c r="R425" i="3"/>
  <c r="Q425" i="3"/>
  <c r="P425" i="3"/>
  <c r="O425" i="3"/>
  <c r="N425" i="3"/>
  <c r="M425" i="3"/>
  <c r="L425" i="3"/>
  <c r="K425" i="3"/>
  <c r="J425" i="3"/>
  <c r="AW424" i="3"/>
  <c r="AA424" i="3"/>
  <c r="Z424" i="3"/>
  <c r="Y424" i="3"/>
  <c r="X424" i="3"/>
  <c r="W424" i="3"/>
  <c r="V424" i="3"/>
  <c r="U424" i="3"/>
  <c r="T424" i="3"/>
  <c r="S424" i="3"/>
  <c r="R424" i="3"/>
  <c r="Q424" i="3"/>
  <c r="P424" i="3"/>
  <c r="O424" i="3"/>
  <c r="N424" i="3"/>
  <c r="M424" i="3"/>
  <c r="L424" i="3"/>
  <c r="K424" i="3"/>
  <c r="J424" i="3"/>
  <c r="AW423" i="3"/>
  <c r="AA423" i="3"/>
  <c r="Z423" i="3"/>
  <c r="Y423" i="3"/>
  <c r="X423" i="3"/>
  <c r="W423" i="3"/>
  <c r="V423" i="3"/>
  <c r="U423" i="3"/>
  <c r="T423" i="3"/>
  <c r="S423" i="3"/>
  <c r="R423" i="3"/>
  <c r="Q423" i="3"/>
  <c r="P423" i="3"/>
  <c r="O423" i="3"/>
  <c r="N423" i="3"/>
  <c r="M423" i="3"/>
  <c r="L423" i="3"/>
  <c r="K423" i="3"/>
  <c r="J423" i="3"/>
  <c r="AW422" i="3"/>
  <c r="AA422" i="3"/>
  <c r="Z422" i="3"/>
  <c r="Y422" i="3"/>
  <c r="X422" i="3"/>
  <c r="W422" i="3"/>
  <c r="V422" i="3"/>
  <c r="U422" i="3"/>
  <c r="T422" i="3"/>
  <c r="S422" i="3"/>
  <c r="R422" i="3"/>
  <c r="Q422" i="3"/>
  <c r="P422" i="3"/>
  <c r="O422" i="3"/>
  <c r="N422" i="3"/>
  <c r="M422" i="3"/>
  <c r="L422" i="3"/>
  <c r="K422" i="3"/>
  <c r="J422" i="3"/>
  <c r="AW421" i="3"/>
  <c r="AL421" i="3"/>
  <c r="AK421" i="3"/>
  <c r="AJ421" i="3"/>
  <c r="AI421" i="3"/>
  <c r="AH421" i="3"/>
  <c r="AG421" i="3"/>
  <c r="AF421" i="3"/>
  <c r="AE421" i="3"/>
  <c r="AD421" i="3"/>
  <c r="AC421" i="3"/>
  <c r="AB421" i="3"/>
  <c r="AA421" i="3"/>
  <c r="Z421" i="3"/>
  <c r="Y421" i="3"/>
  <c r="X421" i="3"/>
  <c r="W421" i="3"/>
  <c r="V421" i="3"/>
  <c r="U421" i="3"/>
  <c r="T421" i="3"/>
  <c r="S421" i="3"/>
  <c r="R421" i="3"/>
  <c r="Q421" i="3"/>
  <c r="P421" i="3"/>
  <c r="O421" i="3"/>
  <c r="N421" i="3"/>
  <c r="M421" i="3"/>
  <c r="L421" i="3"/>
  <c r="K421" i="3"/>
  <c r="J421" i="3"/>
  <c r="AW420" i="3"/>
  <c r="AL420" i="3"/>
  <c r="AK420" i="3"/>
  <c r="AJ420" i="3"/>
  <c r="AI420" i="3"/>
  <c r="AH420" i="3"/>
  <c r="AG420" i="3"/>
  <c r="AF420" i="3"/>
  <c r="AE420" i="3"/>
  <c r="AD420" i="3"/>
  <c r="AC420" i="3"/>
  <c r="AB420" i="3"/>
  <c r="AA420" i="3"/>
  <c r="Z420" i="3"/>
  <c r="Y420" i="3"/>
  <c r="X420" i="3"/>
  <c r="W420" i="3"/>
  <c r="V420" i="3"/>
  <c r="U420" i="3"/>
  <c r="T420" i="3"/>
  <c r="S420" i="3"/>
  <c r="R420" i="3"/>
  <c r="Q420" i="3"/>
  <c r="P420" i="3"/>
  <c r="O420" i="3"/>
  <c r="N420" i="3"/>
  <c r="M420" i="3"/>
  <c r="L420" i="3"/>
  <c r="K420" i="3"/>
  <c r="J420" i="3"/>
  <c r="AW419" i="3"/>
  <c r="AL419" i="3"/>
  <c r="AK419" i="3"/>
  <c r="AJ419" i="3"/>
  <c r="AI419" i="3"/>
  <c r="AH419" i="3"/>
  <c r="AG419" i="3"/>
  <c r="AF419" i="3"/>
  <c r="AE419" i="3"/>
  <c r="AD419" i="3"/>
  <c r="AC419" i="3"/>
  <c r="AB419" i="3"/>
  <c r="AA419" i="3"/>
  <c r="Z419" i="3"/>
  <c r="Y419" i="3"/>
  <c r="X419" i="3"/>
  <c r="W419" i="3"/>
  <c r="V419" i="3"/>
  <c r="U419" i="3"/>
  <c r="T419" i="3"/>
  <c r="S419" i="3"/>
  <c r="R419" i="3"/>
  <c r="Q419" i="3"/>
  <c r="P419" i="3"/>
  <c r="O419" i="3"/>
  <c r="N419" i="3"/>
  <c r="M419" i="3"/>
  <c r="L419" i="3"/>
  <c r="K419" i="3"/>
  <c r="J419" i="3"/>
  <c r="AW418" i="3"/>
  <c r="AL418" i="3"/>
  <c r="AK418" i="3"/>
  <c r="AJ418" i="3"/>
  <c r="AI418" i="3"/>
  <c r="AH418" i="3"/>
  <c r="AG418" i="3"/>
  <c r="AF418" i="3"/>
  <c r="AE418" i="3"/>
  <c r="AD418" i="3"/>
  <c r="AC418" i="3"/>
  <c r="AB418" i="3"/>
  <c r="AA418" i="3"/>
  <c r="Z418" i="3"/>
  <c r="Y418" i="3"/>
  <c r="X418" i="3"/>
  <c r="W418" i="3"/>
  <c r="V418" i="3"/>
  <c r="U418" i="3"/>
  <c r="T418" i="3"/>
  <c r="S418" i="3"/>
  <c r="R418" i="3"/>
  <c r="Q418" i="3"/>
  <c r="P418" i="3"/>
  <c r="O418" i="3"/>
  <c r="N418" i="3"/>
  <c r="M418" i="3"/>
  <c r="L418" i="3"/>
  <c r="K418" i="3"/>
  <c r="J418" i="3"/>
  <c r="AW417" i="3"/>
  <c r="AL417" i="3"/>
  <c r="AK417" i="3"/>
  <c r="AJ417" i="3"/>
  <c r="AI417" i="3"/>
  <c r="AH417" i="3"/>
  <c r="AG417" i="3"/>
  <c r="AF417" i="3"/>
  <c r="AE417" i="3"/>
  <c r="AD417" i="3"/>
  <c r="AC417" i="3"/>
  <c r="AB417" i="3"/>
  <c r="AA417" i="3"/>
  <c r="Z417" i="3"/>
  <c r="Y417" i="3"/>
  <c r="X417" i="3"/>
  <c r="W417" i="3"/>
  <c r="V417" i="3"/>
  <c r="U417" i="3"/>
  <c r="T417" i="3"/>
  <c r="S417" i="3"/>
  <c r="R417" i="3"/>
  <c r="Q417" i="3"/>
  <c r="P417" i="3"/>
  <c r="O417" i="3"/>
  <c r="N417" i="3"/>
  <c r="M417" i="3"/>
  <c r="L417" i="3"/>
  <c r="K417" i="3"/>
  <c r="J417" i="3"/>
  <c r="AW416" i="3"/>
  <c r="AL416" i="3"/>
  <c r="AK416" i="3"/>
  <c r="AJ416" i="3"/>
  <c r="AI416" i="3"/>
  <c r="AH416" i="3"/>
  <c r="AG416" i="3"/>
  <c r="AF416" i="3"/>
  <c r="AE416" i="3"/>
  <c r="AD416" i="3"/>
  <c r="AC416" i="3"/>
  <c r="AB416" i="3"/>
  <c r="AA416" i="3"/>
  <c r="Z416" i="3"/>
  <c r="Y416" i="3"/>
  <c r="X416" i="3"/>
  <c r="W416" i="3"/>
  <c r="V416" i="3"/>
  <c r="U416" i="3"/>
  <c r="T416" i="3"/>
  <c r="S416" i="3"/>
  <c r="R416" i="3"/>
  <c r="Q416" i="3"/>
  <c r="P416" i="3"/>
  <c r="O416" i="3"/>
  <c r="N416" i="3"/>
  <c r="M416" i="3"/>
  <c r="L416" i="3"/>
  <c r="K416" i="3"/>
  <c r="J416" i="3"/>
  <c r="AW415" i="3"/>
  <c r="AL415" i="3"/>
  <c r="AK415" i="3"/>
  <c r="AJ415" i="3"/>
  <c r="AI415" i="3"/>
  <c r="AH415" i="3"/>
  <c r="AG415" i="3"/>
  <c r="AF415" i="3"/>
  <c r="AE415" i="3"/>
  <c r="AD415" i="3"/>
  <c r="AC415" i="3"/>
  <c r="AB415" i="3"/>
  <c r="AA415" i="3"/>
  <c r="Z415" i="3"/>
  <c r="Y415" i="3"/>
  <c r="X415" i="3"/>
  <c r="W415" i="3"/>
  <c r="V415" i="3"/>
  <c r="U415" i="3"/>
  <c r="T415" i="3"/>
  <c r="S415" i="3"/>
  <c r="R415" i="3"/>
  <c r="Q415" i="3"/>
  <c r="P415" i="3"/>
  <c r="O415" i="3"/>
  <c r="N415" i="3"/>
  <c r="M415" i="3"/>
  <c r="L415" i="3"/>
  <c r="K415" i="3"/>
  <c r="J415" i="3"/>
  <c r="AW414" i="3"/>
  <c r="AL414" i="3"/>
  <c r="AK414" i="3"/>
  <c r="AJ414" i="3"/>
  <c r="AI414" i="3"/>
  <c r="AH414" i="3"/>
  <c r="AG414" i="3"/>
  <c r="AF414" i="3"/>
  <c r="AE414" i="3"/>
  <c r="AD414" i="3"/>
  <c r="AC414" i="3"/>
  <c r="AB414" i="3"/>
  <c r="AA414" i="3"/>
  <c r="Z414" i="3"/>
  <c r="Y414" i="3"/>
  <c r="X414" i="3"/>
  <c r="W414" i="3"/>
  <c r="V414" i="3"/>
  <c r="U414" i="3"/>
  <c r="T414" i="3"/>
  <c r="S414" i="3"/>
  <c r="R414" i="3"/>
  <c r="Q414" i="3"/>
  <c r="P414" i="3"/>
  <c r="O414" i="3"/>
  <c r="N414" i="3"/>
  <c r="M414" i="3"/>
  <c r="L414" i="3"/>
  <c r="K414" i="3"/>
  <c r="J414" i="3"/>
  <c r="AW413" i="3"/>
  <c r="AL413" i="3"/>
  <c r="AK413" i="3"/>
  <c r="AJ413" i="3"/>
  <c r="AI413" i="3"/>
  <c r="AH413" i="3"/>
  <c r="AG413" i="3"/>
  <c r="AF413" i="3"/>
  <c r="AE413" i="3"/>
  <c r="AD413" i="3"/>
  <c r="AC413" i="3"/>
  <c r="AB413" i="3"/>
  <c r="AA413" i="3"/>
  <c r="Z413" i="3"/>
  <c r="Y413" i="3"/>
  <c r="X413" i="3"/>
  <c r="W413" i="3"/>
  <c r="V413" i="3"/>
  <c r="U413" i="3"/>
  <c r="T413" i="3"/>
  <c r="S413" i="3"/>
  <c r="R413" i="3"/>
  <c r="Q413" i="3"/>
  <c r="P413" i="3"/>
  <c r="O413" i="3"/>
  <c r="N413" i="3"/>
  <c r="M413" i="3"/>
  <c r="L413" i="3"/>
  <c r="K413" i="3"/>
  <c r="J413" i="3"/>
  <c r="AW412" i="3"/>
  <c r="AL412" i="3"/>
  <c r="AK412" i="3"/>
  <c r="AJ412" i="3"/>
  <c r="AI412" i="3"/>
  <c r="AH412" i="3"/>
  <c r="AG412" i="3"/>
  <c r="AF412" i="3"/>
  <c r="AE412" i="3"/>
  <c r="AD412" i="3"/>
  <c r="AC412" i="3"/>
  <c r="AB412" i="3"/>
  <c r="AA412" i="3"/>
  <c r="Z412" i="3"/>
  <c r="Y412" i="3"/>
  <c r="X412" i="3"/>
  <c r="W412" i="3"/>
  <c r="V412" i="3"/>
  <c r="U412" i="3"/>
  <c r="T412" i="3"/>
  <c r="S412" i="3"/>
  <c r="R412" i="3"/>
  <c r="Q412" i="3"/>
  <c r="P412" i="3"/>
  <c r="O412" i="3"/>
  <c r="N412" i="3"/>
  <c r="M412" i="3"/>
  <c r="L412" i="3"/>
  <c r="K412" i="3"/>
  <c r="J412" i="3"/>
  <c r="AW411" i="3"/>
  <c r="AL411" i="3"/>
  <c r="AK411" i="3"/>
  <c r="AJ411" i="3"/>
  <c r="AI411" i="3"/>
  <c r="AH411" i="3"/>
  <c r="AG411" i="3"/>
  <c r="AF411" i="3"/>
  <c r="AE411" i="3"/>
  <c r="AD411" i="3"/>
  <c r="AC411" i="3"/>
  <c r="AB411" i="3"/>
  <c r="AA411" i="3"/>
  <c r="Z411" i="3"/>
  <c r="Y411" i="3"/>
  <c r="X411" i="3"/>
  <c r="W411" i="3"/>
  <c r="V411" i="3"/>
  <c r="U411" i="3"/>
  <c r="T411" i="3"/>
  <c r="S411" i="3"/>
  <c r="R411" i="3"/>
  <c r="Q411" i="3"/>
  <c r="P411" i="3"/>
  <c r="O411" i="3"/>
  <c r="N411" i="3"/>
  <c r="M411" i="3"/>
  <c r="L411" i="3"/>
  <c r="K411" i="3"/>
  <c r="J411" i="3"/>
  <c r="AW410" i="3"/>
  <c r="AL410" i="3"/>
  <c r="AK410" i="3"/>
  <c r="AJ410" i="3"/>
  <c r="AI410" i="3"/>
  <c r="AH410" i="3"/>
  <c r="AG410" i="3"/>
  <c r="AF410" i="3"/>
  <c r="AE410" i="3"/>
  <c r="AD410" i="3"/>
  <c r="AC410" i="3"/>
  <c r="AB410" i="3"/>
  <c r="AA410" i="3"/>
  <c r="Z410" i="3"/>
  <c r="Y410" i="3"/>
  <c r="X410" i="3"/>
  <c r="W410" i="3"/>
  <c r="V410" i="3"/>
  <c r="U410" i="3"/>
  <c r="T410" i="3"/>
  <c r="S410" i="3"/>
  <c r="R410" i="3"/>
  <c r="Q410" i="3"/>
  <c r="P410" i="3"/>
  <c r="O410" i="3"/>
  <c r="N410" i="3"/>
  <c r="M410" i="3"/>
  <c r="L410" i="3"/>
  <c r="K410" i="3"/>
  <c r="J410" i="3"/>
  <c r="AW409" i="3"/>
  <c r="AA409" i="3"/>
  <c r="Z409" i="3"/>
  <c r="Y409" i="3"/>
  <c r="X409" i="3"/>
  <c r="W409" i="3"/>
  <c r="V409" i="3"/>
  <c r="U409" i="3"/>
  <c r="T409" i="3"/>
  <c r="S409" i="3"/>
  <c r="R409" i="3"/>
  <c r="Q409" i="3"/>
  <c r="P409" i="3"/>
  <c r="O409" i="3"/>
  <c r="N409" i="3"/>
  <c r="M409" i="3"/>
  <c r="L409" i="3"/>
  <c r="K409" i="3"/>
  <c r="J409" i="3"/>
  <c r="AW408" i="3"/>
  <c r="AA408" i="3"/>
  <c r="Z408" i="3"/>
  <c r="Y408" i="3"/>
  <c r="X408" i="3"/>
  <c r="W408" i="3"/>
  <c r="V408" i="3"/>
  <c r="U408" i="3"/>
  <c r="T408" i="3"/>
  <c r="S408" i="3"/>
  <c r="R408" i="3"/>
  <c r="Q408" i="3"/>
  <c r="P408" i="3"/>
  <c r="O408" i="3"/>
  <c r="N408" i="3"/>
  <c r="M408" i="3"/>
  <c r="L408" i="3"/>
  <c r="K408" i="3"/>
  <c r="J408" i="3"/>
  <c r="AW407" i="3"/>
  <c r="AA407" i="3"/>
  <c r="Z407" i="3"/>
  <c r="Y407" i="3"/>
  <c r="X407" i="3"/>
  <c r="W407" i="3"/>
  <c r="V407" i="3"/>
  <c r="U407" i="3"/>
  <c r="T407" i="3"/>
  <c r="S407" i="3"/>
  <c r="R407" i="3"/>
  <c r="Q407" i="3"/>
  <c r="P407" i="3"/>
  <c r="O407" i="3"/>
  <c r="N407" i="3"/>
  <c r="M407" i="3"/>
  <c r="L407" i="3"/>
  <c r="K407" i="3"/>
  <c r="J407" i="3"/>
  <c r="AW406" i="3"/>
  <c r="AA406" i="3"/>
  <c r="Z406" i="3"/>
  <c r="Y406" i="3"/>
  <c r="X406" i="3"/>
  <c r="W406" i="3"/>
  <c r="V406" i="3"/>
  <c r="U406" i="3"/>
  <c r="T406" i="3"/>
  <c r="S406" i="3"/>
  <c r="R406" i="3"/>
  <c r="Q406" i="3"/>
  <c r="P406" i="3"/>
  <c r="O406" i="3"/>
  <c r="N406" i="3"/>
  <c r="M406" i="3"/>
  <c r="L406" i="3"/>
  <c r="K406" i="3"/>
  <c r="J406" i="3"/>
  <c r="AW405" i="3"/>
  <c r="AA405" i="3"/>
  <c r="Z405" i="3"/>
  <c r="Y405" i="3"/>
  <c r="X405" i="3"/>
  <c r="W405" i="3"/>
  <c r="V405" i="3"/>
  <c r="U405" i="3"/>
  <c r="T405" i="3"/>
  <c r="S405" i="3"/>
  <c r="R405" i="3"/>
  <c r="Q405" i="3"/>
  <c r="P405" i="3"/>
  <c r="O405" i="3"/>
  <c r="N405" i="3"/>
  <c r="M405" i="3"/>
  <c r="L405" i="3"/>
  <c r="K405" i="3"/>
  <c r="J405" i="3"/>
  <c r="AW404" i="3"/>
  <c r="AL404" i="3"/>
  <c r="AK404" i="3"/>
  <c r="AJ404" i="3"/>
  <c r="AI404" i="3"/>
  <c r="AH404" i="3"/>
  <c r="AG404" i="3"/>
  <c r="AF404" i="3"/>
  <c r="AE404" i="3"/>
  <c r="AD404" i="3"/>
  <c r="AC404" i="3"/>
  <c r="AB404" i="3"/>
  <c r="AA404" i="3"/>
  <c r="Z404" i="3"/>
  <c r="Y404" i="3"/>
  <c r="X404" i="3"/>
  <c r="W404" i="3"/>
  <c r="V404" i="3"/>
  <c r="U404" i="3"/>
  <c r="T404" i="3"/>
  <c r="S404" i="3"/>
  <c r="R404" i="3"/>
  <c r="Q404" i="3"/>
  <c r="P404" i="3"/>
  <c r="O404" i="3"/>
  <c r="N404" i="3"/>
  <c r="M404" i="3"/>
  <c r="L404" i="3"/>
  <c r="K404" i="3"/>
  <c r="J404" i="3"/>
  <c r="AW403" i="3"/>
  <c r="AL403" i="3"/>
  <c r="AK403" i="3"/>
  <c r="AJ403" i="3"/>
  <c r="AI403" i="3"/>
  <c r="AH403" i="3"/>
  <c r="AG403" i="3"/>
  <c r="AF403" i="3"/>
  <c r="AE403" i="3"/>
  <c r="AD403" i="3"/>
  <c r="AC403" i="3"/>
  <c r="AB403" i="3"/>
  <c r="AA403" i="3"/>
  <c r="Z403" i="3"/>
  <c r="Y403" i="3"/>
  <c r="X403" i="3"/>
  <c r="W403" i="3"/>
  <c r="V403" i="3"/>
  <c r="U403" i="3"/>
  <c r="T403" i="3"/>
  <c r="S403" i="3"/>
  <c r="R403" i="3"/>
  <c r="Q403" i="3"/>
  <c r="P403" i="3"/>
  <c r="O403" i="3"/>
  <c r="N403" i="3"/>
  <c r="M403" i="3"/>
  <c r="L403" i="3"/>
  <c r="K403" i="3"/>
  <c r="J403" i="3"/>
  <c r="AW402" i="3"/>
  <c r="AL402" i="3"/>
  <c r="AK402" i="3"/>
  <c r="AJ402" i="3"/>
  <c r="AI402" i="3"/>
  <c r="AH402" i="3"/>
  <c r="AG402" i="3"/>
  <c r="AF402" i="3"/>
  <c r="AE402" i="3"/>
  <c r="AD402" i="3"/>
  <c r="AC402" i="3"/>
  <c r="AB402" i="3"/>
  <c r="AA402" i="3"/>
  <c r="Z402" i="3"/>
  <c r="Y402" i="3"/>
  <c r="X402" i="3"/>
  <c r="W402" i="3"/>
  <c r="V402" i="3"/>
  <c r="U402" i="3"/>
  <c r="T402" i="3"/>
  <c r="S402" i="3"/>
  <c r="R402" i="3"/>
  <c r="Q402" i="3"/>
  <c r="P402" i="3"/>
  <c r="O402" i="3"/>
  <c r="N402" i="3"/>
  <c r="M402" i="3"/>
  <c r="L402" i="3"/>
  <c r="K402" i="3"/>
  <c r="J402" i="3"/>
  <c r="AW401" i="3"/>
  <c r="AL401" i="3"/>
  <c r="AK401" i="3"/>
  <c r="AJ401" i="3"/>
  <c r="AI401" i="3"/>
  <c r="AH401" i="3"/>
  <c r="AG401" i="3"/>
  <c r="AF401" i="3"/>
  <c r="AE401" i="3"/>
  <c r="AD401" i="3"/>
  <c r="AC401" i="3"/>
  <c r="AB401" i="3"/>
  <c r="AA401" i="3"/>
  <c r="Z401" i="3"/>
  <c r="Y401" i="3"/>
  <c r="X401" i="3"/>
  <c r="W401" i="3"/>
  <c r="V401" i="3"/>
  <c r="U401" i="3"/>
  <c r="T401" i="3"/>
  <c r="S401" i="3"/>
  <c r="R401" i="3"/>
  <c r="Q401" i="3"/>
  <c r="P401" i="3"/>
  <c r="O401" i="3"/>
  <c r="N401" i="3"/>
  <c r="M401" i="3"/>
  <c r="L401" i="3"/>
  <c r="K401" i="3"/>
  <c r="J401" i="3"/>
  <c r="AW400" i="3"/>
  <c r="AL400" i="3"/>
  <c r="AK400" i="3"/>
  <c r="AJ400" i="3"/>
  <c r="AI400" i="3"/>
  <c r="AH400" i="3"/>
  <c r="AG400" i="3"/>
  <c r="AF400" i="3"/>
  <c r="AE400" i="3"/>
  <c r="AD400" i="3"/>
  <c r="AC400" i="3"/>
  <c r="AB400" i="3"/>
  <c r="AA400" i="3"/>
  <c r="Z400" i="3"/>
  <c r="Y400" i="3"/>
  <c r="X400" i="3"/>
  <c r="W400" i="3"/>
  <c r="V400" i="3"/>
  <c r="U400" i="3"/>
  <c r="T400" i="3"/>
  <c r="S400" i="3"/>
  <c r="R400" i="3"/>
  <c r="Q400" i="3"/>
  <c r="P400" i="3"/>
  <c r="O400" i="3"/>
  <c r="N400" i="3"/>
  <c r="M400" i="3"/>
  <c r="L400" i="3"/>
  <c r="K400" i="3"/>
  <c r="J400" i="3"/>
  <c r="AW399" i="3"/>
  <c r="AL399" i="3"/>
  <c r="AK399" i="3"/>
  <c r="AJ399" i="3"/>
  <c r="AI399" i="3"/>
  <c r="AH399" i="3"/>
  <c r="AG399" i="3"/>
  <c r="AF399" i="3"/>
  <c r="AE399" i="3"/>
  <c r="AD399" i="3"/>
  <c r="AC399" i="3"/>
  <c r="AB399" i="3"/>
  <c r="AA399" i="3"/>
  <c r="Z399" i="3"/>
  <c r="Y399" i="3"/>
  <c r="X399" i="3"/>
  <c r="W399" i="3"/>
  <c r="V399" i="3"/>
  <c r="U399" i="3"/>
  <c r="T399" i="3"/>
  <c r="S399" i="3"/>
  <c r="R399" i="3"/>
  <c r="Q399" i="3"/>
  <c r="P399" i="3"/>
  <c r="O399" i="3"/>
  <c r="N399" i="3"/>
  <c r="M399" i="3"/>
  <c r="L399" i="3"/>
  <c r="K399" i="3"/>
  <c r="J399" i="3"/>
  <c r="AW398" i="3"/>
  <c r="AA398" i="3"/>
  <c r="Z398" i="3"/>
  <c r="Y398" i="3"/>
  <c r="X398" i="3"/>
  <c r="W398" i="3"/>
  <c r="V398" i="3"/>
  <c r="U398" i="3"/>
  <c r="T398" i="3"/>
  <c r="S398" i="3"/>
  <c r="R398" i="3"/>
  <c r="Q398" i="3"/>
  <c r="P398" i="3"/>
  <c r="O398" i="3"/>
  <c r="N398" i="3"/>
  <c r="M398" i="3"/>
  <c r="L398" i="3"/>
  <c r="K398" i="3"/>
  <c r="J398" i="3"/>
  <c r="AW397" i="3"/>
  <c r="AA397" i="3"/>
  <c r="Z397" i="3"/>
  <c r="Y397" i="3"/>
  <c r="X397" i="3"/>
  <c r="W397" i="3"/>
  <c r="V397" i="3"/>
  <c r="U397" i="3"/>
  <c r="T397" i="3"/>
  <c r="S397" i="3"/>
  <c r="R397" i="3"/>
  <c r="Q397" i="3"/>
  <c r="P397" i="3"/>
  <c r="O397" i="3"/>
  <c r="N397" i="3"/>
  <c r="M397" i="3"/>
  <c r="L397" i="3"/>
  <c r="K397" i="3"/>
  <c r="J397" i="3"/>
  <c r="AW396" i="3"/>
  <c r="AA396" i="3"/>
  <c r="Z396" i="3"/>
  <c r="Y396" i="3"/>
  <c r="X396" i="3"/>
  <c r="W396" i="3"/>
  <c r="V396" i="3"/>
  <c r="U396" i="3"/>
  <c r="T396" i="3"/>
  <c r="S396" i="3"/>
  <c r="R396" i="3"/>
  <c r="Q396" i="3"/>
  <c r="P396" i="3"/>
  <c r="O396" i="3"/>
  <c r="N396" i="3"/>
  <c r="M396" i="3"/>
  <c r="L396" i="3"/>
  <c r="K396" i="3"/>
  <c r="J396" i="3"/>
  <c r="AW395" i="3"/>
  <c r="AA395" i="3"/>
  <c r="Z395" i="3"/>
  <c r="Y395" i="3"/>
  <c r="X395" i="3"/>
  <c r="W395" i="3"/>
  <c r="V395" i="3"/>
  <c r="U395" i="3"/>
  <c r="T395" i="3"/>
  <c r="S395" i="3"/>
  <c r="R395" i="3"/>
  <c r="Q395" i="3"/>
  <c r="P395" i="3"/>
  <c r="O395" i="3"/>
  <c r="N395" i="3"/>
  <c r="M395" i="3"/>
  <c r="L395" i="3"/>
  <c r="K395" i="3"/>
  <c r="J395" i="3"/>
  <c r="AW394" i="3"/>
  <c r="AA394" i="3"/>
  <c r="Z394" i="3"/>
  <c r="Y394" i="3"/>
  <c r="X394" i="3"/>
  <c r="W394" i="3"/>
  <c r="V394" i="3"/>
  <c r="U394" i="3"/>
  <c r="T394" i="3"/>
  <c r="S394" i="3"/>
  <c r="R394" i="3"/>
  <c r="Q394" i="3"/>
  <c r="P394" i="3"/>
  <c r="O394" i="3"/>
  <c r="N394" i="3"/>
  <c r="M394" i="3"/>
  <c r="L394" i="3"/>
  <c r="K394" i="3"/>
  <c r="J394" i="3"/>
  <c r="AW393" i="3"/>
  <c r="AA393" i="3"/>
  <c r="Z393" i="3"/>
  <c r="Y393" i="3"/>
  <c r="X393" i="3"/>
  <c r="W393" i="3"/>
  <c r="V393" i="3"/>
  <c r="U393" i="3"/>
  <c r="T393" i="3"/>
  <c r="S393" i="3"/>
  <c r="R393" i="3"/>
  <c r="Q393" i="3"/>
  <c r="P393" i="3"/>
  <c r="O393" i="3"/>
  <c r="N393" i="3"/>
  <c r="M393" i="3"/>
  <c r="L393" i="3"/>
  <c r="K393" i="3"/>
  <c r="J393" i="3"/>
  <c r="AW392" i="3"/>
  <c r="AA392" i="3"/>
  <c r="Z392" i="3"/>
  <c r="Y392" i="3"/>
  <c r="X392" i="3"/>
  <c r="W392" i="3"/>
  <c r="V392" i="3"/>
  <c r="U392" i="3"/>
  <c r="T392" i="3"/>
  <c r="S392" i="3"/>
  <c r="R392" i="3"/>
  <c r="Q392" i="3"/>
  <c r="P392" i="3"/>
  <c r="O392" i="3"/>
  <c r="N392" i="3"/>
  <c r="M392" i="3"/>
  <c r="L392" i="3"/>
  <c r="K392" i="3"/>
  <c r="J392" i="3"/>
  <c r="AW391" i="3"/>
  <c r="AA391" i="3"/>
  <c r="Z391" i="3"/>
  <c r="Y391" i="3"/>
  <c r="X391" i="3"/>
  <c r="W391" i="3"/>
  <c r="V391" i="3"/>
  <c r="U391" i="3"/>
  <c r="T391" i="3"/>
  <c r="S391" i="3"/>
  <c r="R391" i="3"/>
  <c r="Q391" i="3"/>
  <c r="P391" i="3"/>
  <c r="O391" i="3"/>
  <c r="N391" i="3"/>
  <c r="M391" i="3"/>
  <c r="L391" i="3"/>
  <c r="K391" i="3"/>
  <c r="J391" i="3"/>
  <c r="AW390" i="3"/>
  <c r="AA390" i="3"/>
  <c r="Z390" i="3"/>
  <c r="Y390" i="3"/>
  <c r="X390" i="3"/>
  <c r="W390" i="3"/>
  <c r="V390" i="3"/>
  <c r="U390" i="3"/>
  <c r="T390" i="3"/>
  <c r="S390" i="3"/>
  <c r="R390" i="3"/>
  <c r="Q390" i="3"/>
  <c r="P390" i="3"/>
  <c r="O390" i="3"/>
  <c r="N390" i="3"/>
  <c r="M390" i="3"/>
  <c r="L390" i="3"/>
  <c r="K390" i="3"/>
  <c r="J390" i="3"/>
  <c r="AW389" i="3"/>
  <c r="AL389" i="3"/>
  <c r="AK389" i="3"/>
  <c r="AJ389" i="3"/>
  <c r="AI389" i="3"/>
  <c r="AH389" i="3"/>
  <c r="AG389" i="3"/>
  <c r="AF389" i="3"/>
  <c r="AE389" i="3"/>
  <c r="AD389" i="3"/>
  <c r="AC389" i="3"/>
  <c r="AB389" i="3"/>
  <c r="AA389" i="3"/>
  <c r="Z389" i="3"/>
  <c r="Y389" i="3"/>
  <c r="X389" i="3"/>
  <c r="W389" i="3"/>
  <c r="V389" i="3"/>
  <c r="U389" i="3"/>
  <c r="T389" i="3"/>
  <c r="S389" i="3"/>
  <c r="R389" i="3"/>
  <c r="Q389" i="3"/>
  <c r="P389" i="3"/>
  <c r="O389" i="3"/>
  <c r="N389" i="3"/>
  <c r="M389" i="3"/>
  <c r="L389" i="3"/>
  <c r="K389" i="3"/>
  <c r="J389" i="3"/>
  <c r="AW388" i="3"/>
  <c r="AL388" i="3"/>
  <c r="AK388" i="3"/>
  <c r="AJ388" i="3"/>
  <c r="AI388" i="3"/>
  <c r="AH388" i="3"/>
  <c r="AG388" i="3"/>
  <c r="AF388" i="3"/>
  <c r="AE388" i="3"/>
  <c r="AD388" i="3"/>
  <c r="AC388" i="3"/>
  <c r="AB388" i="3"/>
  <c r="AA388" i="3"/>
  <c r="Z388" i="3"/>
  <c r="Y388" i="3"/>
  <c r="X388" i="3"/>
  <c r="W388" i="3"/>
  <c r="V388" i="3"/>
  <c r="U388" i="3"/>
  <c r="T388" i="3"/>
  <c r="S388" i="3"/>
  <c r="R388" i="3"/>
  <c r="Q388" i="3"/>
  <c r="P388" i="3"/>
  <c r="O388" i="3"/>
  <c r="N388" i="3"/>
  <c r="M388" i="3"/>
  <c r="L388" i="3"/>
  <c r="K388" i="3"/>
  <c r="J388" i="3"/>
  <c r="AW387" i="3"/>
  <c r="AL387" i="3"/>
  <c r="AK387" i="3"/>
  <c r="AJ387" i="3"/>
  <c r="AI387" i="3"/>
  <c r="AH387" i="3"/>
  <c r="AG387" i="3"/>
  <c r="AF387" i="3"/>
  <c r="AE387" i="3"/>
  <c r="AD387" i="3"/>
  <c r="AC387" i="3"/>
  <c r="AB387" i="3"/>
  <c r="AA387" i="3"/>
  <c r="Z387" i="3"/>
  <c r="Y387" i="3"/>
  <c r="X387" i="3"/>
  <c r="W387" i="3"/>
  <c r="V387" i="3"/>
  <c r="U387" i="3"/>
  <c r="T387" i="3"/>
  <c r="S387" i="3"/>
  <c r="R387" i="3"/>
  <c r="Q387" i="3"/>
  <c r="P387" i="3"/>
  <c r="O387" i="3"/>
  <c r="N387" i="3"/>
  <c r="M387" i="3"/>
  <c r="L387" i="3"/>
  <c r="K387" i="3"/>
  <c r="J387" i="3"/>
  <c r="AW386" i="3"/>
  <c r="AL386" i="3"/>
  <c r="AK386" i="3"/>
  <c r="AJ386" i="3"/>
  <c r="AI386" i="3"/>
  <c r="AH386" i="3"/>
  <c r="AG386" i="3"/>
  <c r="AF386" i="3"/>
  <c r="AE386" i="3"/>
  <c r="AD386" i="3"/>
  <c r="AC386" i="3"/>
  <c r="AB386" i="3"/>
  <c r="AA386" i="3"/>
  <c r="Z386" i="3"/>
  <c r="Y386" i="3"/>
  <c r="X386" i="3"/>
  <c r="W386" i="3"/>
  <c r="V386" i="3"/>
  <c r="U386" i="3"/>
  <c r="T386" i="3"/>
  <c r="S386" i="3"/>
  <c r="R386" i="3"/>
  <c r="Q386" i="3"/>
  <c r="P386" i="3"/>
  <c r="O386" i="3"/>
  <c r="N386" i="3"/>
  <c r="M386" i="3"/>
  <c r="L386" i="3"/>
  <c r="K386" i="3"/>
  <c r="J386" i="3"/>
  <c r="AW385" i="3"/>
  <c r="AL385" i="3"/>
  <c r="AK385" i="3"/>
  <c r="AJ385" i="3"/>
  <c r="AI385" i="3"/>
  <c r="AH385" i="3"/>
  <c r="AG385" i="3"/>
  <c r="AF385" i="3"/>
  <c r="AE385" i="3"/>
  <c r="AD385" i="3"/>
  <c r="AC385" i="3"/>
  <c r="AB385" i="3"/>
  <c r="AA385" i="3"/>
  <c r="Z385" i="3"/>
  <c r="Y385" i="3"/>
  <c r="X385" i="3"/>
  <c r="W385" i="3"/>
  <c r="V385" i="3"/>
  <c r="U385" i="3"/>
  <c r="T385" i="3"/>
  <c r="S385" i="3"/>
  <c r="R385" i="3"/>
  <c r="Q385" i="3"/>
  <c r="P385" i="3"/>
  <c r="O385" i="3"/>
  <c r="N385" i="3"/>
  <c r="M385" i="3"/>
  <c r="L385" i="3"/>
  <c r="K385" i="3"/>
  <c r="J385" i="3"/>
  <c r="AW384" i="3"/>
  <c r="AL384" i="3"/>
  <c r="AK384" i="3"/>
  <c r="AJ384" i="3"/>
  <c r="AI384" i="3"/>
  <c r="AH384" i="3"/>
  <c r="AG384" i="3"/>
  <c r="AF384" i="3"/>
  <c r="AE384" i="3"/>
  <c r="AD384" i="3"/>
  <c r="AC384" i="3"/>
  <c r="AB384" i="3"/>
  <c r="AA384" i="3"/>
  <c r="Z384" i="3"/>
  <c r="Y384" i="3"/>
  <c r="X384" i="3"/>
  <c r="W384" i="3"/>
  <c r="V384" i="3"/>
  <c r="U384" i="3"/>
  <c r="T384" i="3"/>
  <c r="S384" i="3"/>
  <c r="R384" i="3"/>
  <c r="Q384" i="3"/>
  <c r="P384" i="3"/>
  <c r="O384" i="3"/>
  <c r="N384" i="3"/>
  <c r="M384" i="3"/>
  <c r="L384" i="3"/>
  <c r="K384" i="3"/>
  <c r="J384" i="3"/>
  <c r="AW383" i="3"/>
  <c r="AL383" i="3"/>
  <c r="AK383" i="3"/>
  <c r="AJ383" i="3"/>
  <c r="AI383" i="3"/>
  <c r="AH383" i="3"/>
  <c r="AG383" i="3"/>
  <c r="AF383" i="3"/>
  <c r="AE383" i="3"/>
  <c r="AD383" i="3"/>
  <c r="AC383" i="3"/>
  <c r="AB383" i="3"/>
  <c r="AA383" i="3"/>
  <c r="Z383" i="3"/>
  <c r="Y383" i="3"/>
  <c r="X383" i="3"/>
  <c r="W383" i="3"/>
  <c r="V383" i="3"/>
  <c r="U383" i="3"/>
  <c r="T383" i="3"/>
  <c r="S383" i="3"/>
  <c r="R383" i="3"/>
  <c r="Q383" i="3"/>
  <c r="P383" i="3"/>
  <c r="O383" i="3"/>
  <c r="N383" i="3"/>
  <c r="M383" i="3"/>
  <c r="L383" i="3"/>
  <c r="K383" i="3"/>
  <c r="J383" i="3"/>
  <c r="AW382" i="3"/>
  <c r="AL382" i="3"/>
  <c r="AK382" i="3"/>
  <c r="AJ382" i="3"/>
  <c r="AI382" i="3"/>
  <c r="AH382" i="3"/>
  <c r="AG382" i="3"/>
  <c r="AF382" i="3"/>
  <c r="AE382" i="3"/>
  <c r="AD382" i="3"/>
  <c r="AC382" i="3"/>
  <c r="AB382" i="3"/>
  <c r="AA382" i="3"/>
  <c r="Z382" i="3"/>
  <c r="Y382" i="3"/>
  <c r="X382" i="3"/>
  <c r="W382" i="3"/>
  <c r="V382" i="3"/>
  <c r="U382" i="3"/>
  <c r="T382" i="3"/>
  <c r="S382" i="3"/>
  <c r="R382" i="3"/>
  <c r="Q382" i="3"/>
  <c r="P382" i="3"/>
  <c r="O382" i="3"/>
  <c r="N382" i="3"/>
  <c r="M382" i="3"/>
  <c r="L382" i="3"/>
  <c r="K382" i="3"/>
  <c r="J382" i="3"/>
  <c r="AW381" i="3"/>
  <c r="AA381" i="3"/>
  <c r="Z381" i="3"/>
  <c r="Y381" i="3"/>
  <c r="X381" i="3"/>
  <c r="W381" i="3"/>
  <c r="V381" i="3"/>
  <c r="U381" i="3"/>
  <c r="T381" i="3"/>
  <c r="S381" i="3"/>
  <c r="R381" i="3"/>
  <c r="Q381" i="3"/>
  <c r="P381" i="3"/>
  <c r="O381" i="3"/>
  <c r="N381" i="3"/>
  <c r="M381" i="3"/>
  <c r="L381" i="3"/>
  <c r="K381" i="3"/>
  <c r="J381" i="3"/>
  <c r="AW380" i="3"/>
  <c r="AA380" i="3"/>
  <c r="Z380" i="3"/>
  <c r="Y380" i="3"/>
  <c r="X380" i="3"/>
  <c r="W380" i="3"/>
  <c r="V380" i="3"/>
  <c r="U380" i="3"/>
  <c r="T380" i="3"/>
  <c r="S380" i="3"/>
  <c r="R380" i="3"/>
  <c r="Q380" i="3"/>
  <c r="P380" i="3"/>
  <c r="O380" i="3"/>
  <c r="N380" i="3"/>
  <c r="M380" i="3"/>
  <c r="L380" i="3"/>
  <c r="K380" i="3"/>
  <c r="J380" i="3"/>
  <c r="AW379" i="3"/>
  <c r="AA379" i="3"/>
  <c r="Z379" i="3"/>
  <c r="Y379" i="3"/>
  <c r="X379" i="3"/>
  <c r="W379" i="3"/>
  <c r="V379" i="3"/>
  <c r="U379" i="3"/>
  <c r="T379" i="3"/>
  <c r="S379" i="3"/>
  <c r="R379" i="3"/>
  <c r="Q379" i="3"/>
  <c r="P379" i="3"/>
  <c r="O379" i="3"/>
  <c r="N379" i="3"/>
  <c r="M379" i="3"/>
  <c r="L379" i="3"/>
  <c r="K379" i="3"/>
  <c r="J379" i="3"/>
  <c r="AW378" i="3"/>
  <c r="AA378" i="3"/>
  <c r="Z378" i="3"/>
  <c r="Y378" i="3"/>
  <c r="X378" i="3"/>
  <c r="W378" i="3"/>
  <c r="V378" i="3"/>
  <c r="U378" i="3"/>
  <c r="T378" i="3"/>
  <c r="S378" i="3"/>
  <c r="R378" i="3"/>
  <c r="Q378" i="3"/>
  <c r="P378" i="3"/>
  <c r="O378" i="3"/>
  <c r="N378" i="3"/>
  <c r="M378" i="3"/>
  <c r="L378" i="3"/>
  <c r="K378" i="3"/>
  <c r="J378" i="3"/>
  <c r="AW377" i="3"/>
  <c r="AA377" i="3"/>
  <c r="Z377" i="3"/>
  <c r="Y377" i="3"/>
  <c r="X377" i="3"/>
  <c r="W377" i="3"/>
  <c r="V377" i="3"/>
  <c r="U377" i="3"/>
  <c r="T377" i="3"/>
  <c r="S377" i="3"/>
  <c r="R377" i="3"/>
  <c r="Q377" i="3"/>
  <c r="P377" i="3"/>
  <c r="O377" i="3"/>
  <c r="N377" i="3"/>
  <c r="M377" i="3"/>
  <c r="L377" i="3"/>
  <c r="K377" i="3"/>
  <c r="J377" i="3"/>
  <c r="AW376" i="3"/>
  <c r="AA376" i="3"/>
  <c r="Z376" i="3"/>
  <c r="Y376" i="3"/>
  <c r="X376" i="3"/>
  <c r="W376" i="3"/>
  <c r="V376" i="3"/>
  <c r="U376" i="3"/>
  <c r="T376" i="3"/>
  <c r="S376" i="3"/>
  <c r="R376" i="3"/>
  <c r="Q376" i="3"/>
  <c r="P376" i="3"/>
  <c r="O376" i="3"/>
  <c r="N376" i="3"/>
  <c r="M376" i="3"/>
  <c r="L376" i="3"/>
  <c r="K376" i="3"/>
  <c r="J376" i="3"/>
  <c r="AW375" i="3"/>
  <c r="AA375" i="3"/>
  <c r="Z375" i="3"/>
  <c r="Y375" i="3"/>
  <c r="X375" i="3"/>
  <c r="W375" i="3"/>
  <c r="V375" i="3"/>
  <c r="U375" i="3"/>
  <c r="T375" i="3"/>
  <c r="S375" i="3"/>
  <c r="R375" i="3"/>
  <c r="Q375" i="3"/>
  <c r="P375" i="3"/>
  <c r="O375" i="3"/>
  <c r="N375" i="3"/>
  <c r="M375" i="3"/>
  <c r="L375" i="3"/>
  <c r="K375" i="3"/>
  <c r="J375" i="3"/>
  <c r="AW374" i="3"/>
  <c r="AA374" i="3"/>
  <c r="Z374" i="3"/>
  <c r="Y374" i="3"/>
  <c r="X374" i="3"/>
  <c r="W374" i="3"/>
  <c r="V374" i="3"/>
  <c r="U374" i="3"/>
  <c r="T374" i="3"/>
  <c r="S374" i="3"/>
  <c r="R374" i="3"/>
  <c r="Q374" i="3"/>
  <c r="P374" i="3"/>
  <c r="O374" i="3"/>
  <c r="N374" i="3"/>
  <c r="M374" i="3"/>
  <c r="L374" i="3"/>
  <c r="K374" i="3"/>
  <c r="J374" i="3"/>
  <c r="AW373" i="3"/>
  <c r="AA373" i="3"/>
  <c r="Z373" i="3"/>
  <c r="Y373" i="3"/>
  <c r="X373" i="3"/>
  <c r="W373" i="3"/>
  <c r="V373" i="3"/>
  <c r="U373" i="3"/>
  <c r="T373" i="3"/>
  <c r="S373" i="3"/>
  <c r="R373" i="3"/>
  <c r="Q373" i="3"/>
  <c r="P373" i="3"/>
  <c r="O373" i="3"/>
  <c r="N373" i="3"/>
  <c r="M373" i="3"/>
  <c r="L373" i="3"/>
  <c r="K373" i="3"/>
  <c r="J373" i="3"/>
  <c r="AW372" i="3"/>
  <c r="AA372" i="3"/>
  <c r="Z372" i="3"/>
  <c r="Y372" i="3"/>
  <c r="X372" i="3"/>
  <c r="W372" i="3"/>
  <c r="V372" i="3"/>
  <c r="U372" i="3"/>
  <c r="T372" i="3"/>
  <c r="S372" i="3"/>
  <c r="R372" i="3"/>
  <c r="Q372" i="3"/>
  <c r="P372" i="3"/>
  <c r="O372" i="3"/>
  <c r="N372" i="3"/>
  <c r="M372" i="3"/>
  <c r="L372" i="3"/>
  <c r="K372" i="3"/>
  <c r="J372" i="3"/>
  <c r="AW371" i="3"/>
  <c r="AA371" i="3"/>
  <c r="Z371" i="3"/>
  <c r="Y371" i="3"/>
  <c r="X371" i="3"/>
  <c r="W371" i="3"/>
  <c r="V371" i="3"/>
  <c r="U371" i="3"/>
  <c r="T371" i="3"/>
  <c r="S371" i="3"/>
  <c r="R371" i="3"/>
  <c r="Q371" i="3"/>
  <c r="P371" i="3"/>
  <c r="O371" i="3"/>
  <c r="N371" i="3"/>
  <c r="M371" i="3"/>
  <c r="L371" i="3"/>
  <c r="K371" i="3"/>
  <c r="J371" i="3"/>
  <c r="AW370" i="3"/>
  <c r="AA370" i="3"/>
  <c r="Z370" i="3"/>
  <c r="Y370" i="3"/>
  <c r="X370" i="3"/>
  <c r="W370" i="3"/>
  <c r="V370" i="3"/>
  <c r="U370" i="3"/>
  <c r="T370" i="3"/>
  <c r="S370" i="3"/>
  <c r="R370" i="3"/>
  <c r="Q370" i="3"/>
  <c r="P370" i="3"/>
  <c r="O370" i="3"/>
  <c r="N370" i="3"/>
  <c r="M370" i="3"/>
  <c r="L370" i="3"/>
  <c r="K370" i="3"/>
  <c r="J370" i="3"/>
  <c r="AW369" i="3"/>
  <c r="AA369" i="3"/>
  <c r="Z369" i="3"/>
  <c r="Y369" i="3"/>
  <c r="X369" i="3"/>
  <c r="W369" i="3"/>
  <c r="V369" i="3"/>
  <c r="U369" i="3"/>
  <c r="T369" i="3"/>
  <c r="S369" i="3"/>
  <c r="R369" i="3"/>
  <c r="Q369" i="3"/>
  <c r="P369" i="3"/>
  <c r="O369" i="3"/>
  <c r="N369" i="3"/>
  <c r="M369" i="3"/>
  <c r="L369" i="3"/>
  <c r="K369" i="3"/>
  <c r="J369" i="3"/>
  <c r="AW368" i="3"/>
  <c r="AA368" i="3"/>
  <c r="Z368" i="3"/>
  <c r="Y368" i="3"/>
  <c r="X368" i="3"/>
  <c r="W368" i="3"/>
  <c r="V368" i="3"/>
  <c r="U368" i="3"/>
  <c r="T368" i="3"/>
  <c r="S368" i="3"/>
  <c r="R368" i="3"/>
  <c r="Q368" i="3"/>
  <c r="P368" i="3"/>
  <c r="O368" i="3"/>
  <c r="N368" i="3"/>
  <c r="M368" i="3"/>
  <c r="L368" i="3"/>
  <c r="K368" i="3"/>
  <c r="J368" i="3"/>
  <c r="AW367" i="3"/>
  <c r="AA367" i="3"/>
  <c r="Z367" i="3"/>
  <c r="Y367" i="3"/>
  <c r="X367" i="3"/>
  <c r="W367" i="3"/>
  <c r="V367" i="3"/>
  <c r="U367" i="3"/>
  <c r="T367" i="3"/>
  <c r="S367" i="3"/>
  <c r="R367" i="3"/>
  <c r="Q367" i="3"/>
  <c r="P367" i="3"/>
  <c r="O367" i="3"/>
  <c r="N367" i="3"/>
  <c r="M367" i="3"/>
  <c r="L367" i="3"/>
  <c r="K367" i="3"/>
  <c r="J367" i="3"/>
  <c r="AW366" i="3"/>
  <c r="AA366" i="3"/>
  <c r="Z366" i="3"/>
  <c r="Y366" i="3"/>
  <c r="X366" i="3"/>
  <c r="W366" i="3"/>
  <c r="V366" i="3"/>
  <c r="U366" i="3"/>
  <c r="T366" i="3"/>
  <c r="S366" i="3"/>
  <c r="R366" i="3"/>
  <c r="Q366" i="3"/>
  <c r="P366" i="3"/>
  <c r="O366" i="3"/>
  <c r="N366" i="3"/>
  <c r="M366" i="3"/>
  <c r="L366" i="3"/>
  <c r="K366" i="3"/>
  <c r="J366" i="3"/>
  <c r="AW365" i="3"/>
  <c r="AA365" i="3"/>
  <c r="Z365" i="3"/>
  <c r="Y365" i="3"/>
  <c r="X365" i="3"/>
  <c r="W365" i="3"/>
  <c r="V365" i="3"/>
  <c r="U365" i="3"/>
  <c r="T365" i="3"/>
  <c r="S365" i="3"/>
  <c r="R365" i="3"/>
  <c r="Q365" i="3"/>
  <c r="P365" i="3"/>
  <c r="O365" i="3"/>
  <c r="N365" i="3"/>
  <c r="M365" i="3"/>
  <c r="L365" i="3"/>
  <c r="K365" i="3"/>
  <c r="J365" i="3"/>
  <c r="AW364" i="3"/>
  <c r="AA364" i="3"/>
  <c r="Z364" i="3"/>
  <c r="Y364" i="3"/>
  <c r="X364" i="3"/>
  <c r="W364" i="3"/>
  <c r="V364" i="3"/>
  <c r="U364" i="3"/>
  <c r="T364" i="3"/>
  <c r="S364" i="3"/>
  <c r="R364" i="3"/>
  <c r="Q364" i="3"/>
  <c r="P364" i="3"/>
  <c r="O364" i="3"/>
  <c r="N364" i="3"/>
  <c r="M364" i="3"/>
  <c r="L364" i="3"/>
  <c r="K364" i="3"/>
  <c r="J364" i="3"/>
  <c r="AW363" i="3"/>
  <c r="AA363" i="3"/>
  <c r="Z363" i="3"/>
  <c r="Y363" i="3"/>
  <c r="X363" i="3"/>
  <c r="W363" i="3"/>
  <c r="V363" i="3"/>
  <c r="U363" i="3"/>
  <c r="T363" i="3"/>
  <c r="S363" i="3"/>
  <c r="R363" i="3"/>
  <c r="Q363" i="3"/>
  <c r="P363" i="3"/>
  <c r="O363" i="3"/>
  <c r="N363" i="3"/>
  <c r="M363" i="3"/>
  <c r="L363" i="3"/>
  <c r="K363" i="3"/>
  <c r="J363" i="3"/>
  <c r="AW362" i="3"/>
  <c r="AA362" i="3"/>
  <c r="Z362" i="3"/>
  <c r="Y362" i="3"/>
  <c r="X362" i="3"/>
  <c r="W362" i="3"/>
  <c r="V362" i="3"/>
  <c r="U362" i="3"/>
  <c r="T362" i="3"/>
  <c r="S362" i="3"/>
  <c r="R362" i="3"/>
  <c r="Q362" i="3"/>
  <c r="P362" i="3"/>
  <c r="O362" i="3"/>
  <c r="N362" i="3"/>
  <c r="M362" i="3"/>
  <c r="L362" i="3"/>
  <c r="K362" i="3"/>
  <c r="J362" i="3"/>
  <c r="AW361" i="3"/>
  <c r="AA361" i="3"/>
  <c r="Z361" i="3"/>
  <c r="Y361" i="3"/>
  <c r="X361" i="3"/>
  <c r="W361" i="3"/>
  <c r="V361" i="3"/>
  <c r="U361" i="3"/>
  <c r="T361" i="3"/>
  <c r="S361" i="3"/>
  <c r="R361" i="3"/>
  <c r="Q361" i="3"/>
  <c r="P361" i="3"/>
  <c r="O361" i="3"/>
  <c r="N361" i="3"/>
  <c r="M361" i="3"/>
  <c r="L361" i="3"/>
  <c r="K361" i="3"/>
  <c r="J361" i="3"/>
  <c r="AW360" i="3"/>
  <c r="AA360" i="3"/>
  <c r="Z360" i="3"/>
  <c r="Y360" i="3"/>
  <c r="X360" i="3"/>
  <c r="W360" i="3"/>
  <c r="V360" i="3"/>
  <c r="U360" i="3"/>
  <c r="T360" i="3"/>
  <c r="S360" i="3"/>
  <c r="R360" i="3"/>
  <c r="Q360" i="3"/>
  <c r="P360" i="3"/>
  <c r="O360" i="3"/>
  <c r="N360" i="3"/>
  <c r="M360" i="3"/>
  <c r="L360" i="3"/>
  <c r="K360" i="3"/>
  <c r="J360" i="3"/>
  <c r="AW359" i="3"/>
  <c r="AA359" i="3"/>
  <c r="Z359" i="3"/>
  <c r="Y359" i="3"/>
  <c r="X359" i="3"/>
  <c r="W359" i="3"/>
  <c r="V359" i="3"/>
  <c r="U359" i="3"/>
  <c r="T359" i="3"/>
  <c r="S359" i="3"/>
  <c r="R359" i="3"/>
  <c r="Q359" i="3"/>
  <c r="P359" i="3"/>
  <c r="O359" i="3"/>
  <c r="N359" i="3"/>
  <c r="M359" i="3"/>
  <c r="L359" i="3"/>
  <c r="K359" i="3"/>
  <c r="J359" i="3"/>
  <c r="AW358" i="3"/>
  <c r="AA358" i="3"/>
  <c r="Z358" i="3"/>
  <c r="Y358" i="3"/>
  <c r="X358" i="3"/>
  <c r="W358" i="3"/>
  <c r="V358" i="3"/>
  <c r="U358" i="3"/>
  <c r="T358" i="3"/>
  <c r="S358" i="3"/>
  <c r="R358" i="3"/>
  <c r="Q358" i="3"/>
  <c r="P358" i="3"/>
  <c r="O358" i="3"/>
  <c r="N358" i="3"/>
  <c r="M358" i="3"/>
  <c r="L358" i="3"/>
  <c r="K358" i="3"/>
  <c r="J358" i="3"/>
  <c r="AW357" i="3"/>
  <c r="AA357" i="3"/>
  <c r="Z357" i="3"/>
  <c r="Y357" i="3"/>
  <c r="X357" i="3"/>
  <c r="W357" i="3"/>
  <c r="V357" i="3"/>
  <c r="U357" i="3"/>
  <c r="T357" i="3"/>
  <c r="S357" i="3"/>
  <c r="R357" i="3"/>
  <c r="Q357" i="3"/>
  <c r="P357" i="3"/>
  <c r="O357" i="3"/>
  <c r="N357" i="3"/>
  <c r="M357" i="3"/>
  <c r="L357" i="3"/>
  <c r="K357" i="3"/>
  <c r="J357" i="3"/>
  <c r="AW356" i="3"/>
  <c r="AA356" i="3"/>
  <c r="Z356" i="3"/>
  <c r="Y356" i="3"/>
  <c r="X356" i="3"/>
  <c r="W356" i="3"/>
  <c r="V356" i="3"/>
  <c r="U356" i="3"/>
  <c r="T356" i="3"/>
  <c r="S356" i="3"/>
  <c r="R356" i="3"/>
  <c r="Q356" i="3"/>
  <c r="P356" i="3"/>
  <c r="O356" i="3"/>
  <c r="N356" i="3"/>
  <c r="M356" i="3"/>
  <c r="L356" i="3"/>
  <c r="K356" i="3"/>
  <c r="J356" i="3"/>
  <c r="AW355" i="3"/>
  <c r="AA355" i="3"/>
  <c r="Z355" i="3"/>
  <c r="Y355" i="3"/>
  <c r="X355" i="3"/>
  <c r="W355" i="3"/>
  <c r="V355" i="3"/>
  <c r="U355" i="3"/>
  <c r="T355" i="3"/>
  <c r="S355" i="3"/>
  <c r="R355" i="3"/>
  <c r="Q355" i="3"/>
  <c r="P355" i="3"/>
  <c r="O355" i="3"/>
  <c r="N355" i="3"/>
  <c r="M355" i="3"/>
  <c r="L355" i="3"/>
  <c r="K355" i="3"/>
  <c r="J355" i="3"/>
  <c r="AW354" i="3"/>
  <c r="AA354" i="3"/>
  <c r="Z354" i="3"/>
  <c r="Y354" i="3"/>
  <c r="X354" i="3"/>
  <c r="W354" i="3"/>
  <c r="V354" i="3"/>
  <c r="U354" i="3"/>
  <c r="T354" i="3"/>
  <c r="S354" i="3"/>
  <c r="R354" i="3"/>
  <c r="Q354" i="3"/>
  <c r="P354" i="3"/>
  <c r="O354" i="3"/>
  <c r="N354" i="3"/>
  <c r="M354" i="3"/>
  <c r="L354" i="3"/>
  <c r="K354" i="3"/>
  <c r="J354" i="3"/>
  <c r="AW353" i="3"/>
  <c r="AA353" i="3"/>
  <c r="Z353" i="3"/>
  <c r="Y353" i="3"/>
  <c r="X353" i="3"/>
  <c r="W353" i="3"/>
  <c r="V353" i="3"/>
  <c r="U353" i="3"/>
  <c r="T353" i="3"/>
  <c r="S353" i="3"/>
  <c r="R353" i="3"/>
  <c r="Q353" i="3"/>
  <c r="P353" i="3"/>
  <c r="O353" i="3"/>
  <c r="N353" i="3"/>
  <c r="M353" i="3"/>
  <c r="L353" i="3"/>
  <c r="K353" i="3"/>
  <c r="J353" i="3"/>
  <c r="AW352" i="3"/>
  <c r="AA352" i="3"/>
  <c r="Z352" i="3"/>
  <c r="Y352" i="3"/>
  <c r="X352" i="3"/>
  <c r="W352" i="3"/>
  <c r="V352" i="3"/>
  <c r="U352" i="3"/>
  <c r="T352" i="3"/>
  <c r="S352" i="3"/>
  <c r="R352" i="3"/>
  <c r="Q352" i="3"/>
  <c r="P352" i="3"/>
  <c r="O352" i="3"/>
  <c r="N352" i="3"/>
  <c r="M352" i="3"/>
  <c r="L352" i="3"/>
  <c r="K352" i="3"/>
  <c r="J352" i="3"/>
  <c r="AW351" i="3"/>
  <c r="AA351" i="3"/>
  <c r="Z351" i="3"/>
  <c r="Y351" i="3"/>
  <c r="X351" i="3"/>
  <c r="W351" i="3"/>
  <c r="V351" i="3"/>
  <c r="U351" i="3"/>
  <c r="T351" i="3"/>
  <c r="S351" i="3"/>
  <c r="R351" i="3"/>
  <c r="Q351" i="3"/>
  <c r="P351" i="3"/>
  <c r="O351" i="3"/>
  <c r="N351" i="3"/>
  <c r="M351" i="3"/>
  <c r="L351" i="3"/>
  <c r="K351" i="3"/>
  <c r="J351" i="3"/>
  <c r="AW350" i="3"/>
  <c r="AA350" i="3"/>
  <c r="Z350" i="3"/>
  <c r="Y350" i="3"/>
  <c r="X350" i="3"/>
  <c r="W350" i="3"/>
  <c r="V350" i="3"/>
  <c r="U350" i="3"/>
  <c r="T350" i="3"/>
  <c r="S350" i="3"/>
  <c r="R350" i="3"/>
  <c r="Q350" i="3"/>
  <c r="P350" i="3"/>
  <c r="O350" i="3"/>
  <c r="N350" i="3"/>
  <c r="M350" i="3"/>
  <c r="L350" i="3"/>
  <c r="K350" i="3"/>
  <c r="J350" i="3"/>
  <c r="AW349" i="3"/>
  <c r="AA349" i="3"/>
  <c r="Z349" i="3"/>
  <c r="Y349" i="3"/>
  <c r="X349" i="3"/>
  <c r="W349" i="3"/>
  <c r="V349" i="3"/>
  <c r="U349" i="3"/>
  <c r="T349" i="3"/>
  <c r="S349" i="3"/>
  <c r="R349" i="3"/>
  <c r="Q349" i="3"/>
  <c r="P349" i="3"/>
  <c r="O349" i="3"/>
  <c r="N349" i="3"/>
  <c r="M349" i="3"/>
  <c r="L349" i="3"/>
  <c r="K349" i="3"/>
  <c r="J349" i="3"/>
  <c r="AW348" i="3"/>
  <c r="AA348" i="3"/>
  <c r="Z348" i="3"/>
  <c r="Y348" i="3"/>
  <c r="X348" i="3"/>
  <c r="W348" i="3"/>
  <c r="V348" i="3"/>
  <c r="U348" i="3"/>
  <c r="T348" i="3"/>
  <c r="S348" i="3"/>
  <c r="R348" i="3"/>
  <c r="Q348" i="3"/>
  <c r="P348" i="3"/>
  <c r="O348" i="3"/>
  <c r="N348" i="3"/>
  <c r="M348" i="3"/>
  <c r="L348" i="3"/>
  <c r="K348" i="3"/>
  <c r="J348" i="3"/>
  <c r="AW347" i="3"/>
  <c r="AA347" i="3"/>
  <c r="Z347" i="3"/>
  <c r="Y347" i="3"/>
  <c r="X347" i="3"/>
  <c r="W347" i="3"/>
  <c r="V347" i="3"/>
  <c r="U347" i="3"/>
  <c r="T347" i="3"/>
  <c r="S347" i="3"/>
  <c r="R347" i="3"/>
  <c r="Q347" i="3"/>
  <c r="P347" i="3"/>
  <c r="O347" i="3"/>
  <c r="N347" i="3"/>
  <c r="M347" i="3"/>
  <c r="L347" i="3"/>
  <c r="K347" i="3"/>
  <c r="J347" i="3"/>
  <c r="AW346" i="3"/>
  <c r="AA346" i="3"/>
  <c r="Z346" i="3"/>
  <c r="Y346" i="3"/>
  <c r="X346" i="3"/>
  <c r="W346" i="3"/>
  <c r="V346" i="3"/>
  <c r="U346" i="3"/>
  <c r="T346" i="3"/>
  <c r="S346" i="3"/>
  <c r="R346" i="3"/>
  <c r="Q346" i="3"/>
  <c r="P346" i="3"/>
  <c r="O346" i="3"/>
  <c r="N346" i="3"/>
  <c r="M346" i="3"/>
  <c r="L346" i="3"/>
  <c r="K346" i="3"/>
  <c r="J346" i="3"/>
  <c r="AW345" i="3"/>
  <c r="AA345" i="3"/>
  <c r="Z345" i="3"/>
  <c r="Y345" i="3"/>
  <c r="X345" i="3"/>
  <c r="W345" i="3"/>
  <c r="V345" i="3"/>
  <c r="U345" i="3"/>
  <c r="T345" i="3"/>
  <c r="S345" i="3"/>
  <c r="R345" i="3"/>
  <c r="Q345" i="3"/>
  <c r="O345" i="3"/>
  <c r="N345" i="3"/>
  <c r="M345" i="3"/>
  <c r="L345" i="3"/>
  <c r="K345" i="3"/>
  <c r="J345" i="3"/>
  <c r="AW344" i="3"/>
  <c r="AA344" i="3"/>
  <c r="Z344" i="3"/>
  <c r="Y344" i="3"/>
  <c r="X344" i="3"/>
  <c r="W344" i="3"/>
  <c r="V344" i="3"/>
  <c r="U344" i="3"/>
  <c r="T344" i="3"/>
  <c r="S344" i="3"/>
  <c r="R344" i="3"/>
  <c r="Q344" i="3"/>
  <c r="P344" i="3"/>
  <c r="N344" i="3"/>
  <c r="M344" i="3"/>
  <c r="L344" i="3"/>
  <c r="K344" i="3"/>
  <c r="J344" i="3"/>
  <c r="AW343" i="3"/>
  <c r="AA343" i="3"/>
  <c r="Z343" i="3"/>
  <c r="Y343" i="3"/>
  <c r="X343" i="3"/>
  <c r="W343" i="3"/>
  <c r="V343" i="3"/>
  <c r="U343" i="3"/>
  <c r="T343" i="3"/>
  <c r="S343" i="3"/>
  <c r="R343" i="3"/>
  <c r="Q343" i="3"/>
  <c r="N343" i="3"/>
  <c r="M343" i="3"/>
  <c r="L343" i="3"/>
  <c r="K343" i="3"/>
  <c r="J343" i="3"/>
  <c r="AW342" i="3"/>
  <c r="AA342" i="3"/>
  <c r="Z342" i="3"/>
  <c r="Y342" i="3"/>
  <c r="X342" i="3"/>
  <c r="W342" i="3"/>
  <c r="V342" i="3"/>
  <c r="U342" i="3"/>
  <c r="T342" i="3"/>
  <c r="S342" i="3"/>
  <c r="R342" i="3"/>
  <c r="Q342" i="3"/>
  <c r="P342" i="3"/>
  <c r="O342" i="3"/>
  <c r="N342" i="3"/>
  <c r="M342" i="3"/>
  <c r="L342" i="3"/>
  <c r="K342" i="3"/>
  <c r="J342" i="3"/>
  <c r="AW341" i="3"/>
  <c r="AA341" i="3"/>
  <c r="Z341" i="3"/>
  <c r="Y341" i="3"/>
  <c r="X341" i="3"/>
  <c r="W341" i="3"/>
  <c r="V341" i="3"/>
  <c r="U341" i="3"/>
  <c r="T341" i="3"/>
  <c r="S341" i="3"/>
  <c r="R341" i="3"/>
  <c r="Q341" i="3"/>
  <c r="P341" i="3"/>
  <c r="O341" i="3"/>
  <c r="N341" i="3"/>
  <c r="M341" i="3"/>
  <c r="L341" i="3"/>
  <c r="K341" i="3"/>
  <c r="J341" i="3"/>
  <c r="AW340" i="3"/>
  <c r="AA340" i="3"/>
  <c r="Z340" i="3"/>
  <c r="Y340" i="3"/>
  <c r="X340" i="3"/>
  <c r="W340" i="3"/>
  <c r="V340" i="3"/>
  <c r="U340" i="3"/>
  <c r="T340" i="3"/>
  <c r="S340" i="3"/>
  <c r="R340" i="3"/>
  <c r="Q340" i="3"/>
  <c r="P340" i="3"/>
  <c r="O340" i="3"/>
  <c r="N340" i="3"/>
  <c r="M340" i="3"/>
  <c r="L340" i="3"/>
  <c r="K340" i="3"/>
  <c r="J340" i="3"/>
  <c r="AW339" i="3"/>
  <c r="AA339" i="3"/>
  <c r="Z339" i="3"/>
  <c r="Y339" i="3"/>
  <c r="X339" i="3"/>
  <c r="W339" i="3"/>
  <c r="V339" i="3"/>
  <c r="U339" i="3"/>
  <c r="T339" i="3"/>
  <c r="S339" i="3"/>
  <c r="R339" i="3"/>
  <c r="Q339" i="3"/>
  <c r="P339" i="3"/>
  <c r="O339" i="3"/>
  <c r="N339" i="3"/>
  <c r="M339" i="3"/>
  <c r="L339" i="3"/>
  <c r="K339" i="3"/>
  <c r="J339" i="3"/>
  <c r="AW338" i="3"/>
  <c r="AA338" i="3"/>
  <c r="Z338" i="3"/>
  <c r="Y338" i="3"/>
  <c r="X338" i="3"/>
  <c r="W338" i="3"/>
  <c r="V338" i="3"/>
  <c r="U338" i="3"/>
  <c r="T338" i="3"/>
  <c r="S338" i="3"/>
  <c r="R338" i="3"/>
  <c r="Q338" i="3"/>
  <c r="P338" i="3"/>
  <c r="O338" i="3"/>
  <c r="N338" i="3"/>
  <c r="M338" i="3"/>
  <c r="L338" i="3"/>
  <c r="K338" i="3"/>
  <c r="J338" i="3"/>
  <c r="AW337" i="3"/>
  <c r="AA337" i="3"/>
  <c r="Z337" i="3"/>
  <c r="Y337" i="3"/>
  <c r="X337" i="3"/>
  <c r="W337" i="3"/>
  <c r="V337" i="3"/>
  <c r="U337" i="3"/>
  <c r="T337" i="3"/>
  <c r="S337" i="3"/>
  <c r="R337" i="3"/>
  <c r="Q337" i="3"/>
  <c r="P337" i="3"/>
  <c r="O337" i="3"/>
  <c r="N337" i="3"/>
  <c r="M337" i="3"/>
  <c r="L337" i="3"/>
  <c r="K337" i="3"/>
  <c r="J337" i="3"/>
  <c r="AW336" i="3"/>
  <c r="AA336" i="3"/>
  <c r="Z336" i="3"/>
  <c r="Y336" i="3"/>
  <c r="X336" i="3"/>
  <c r="W336" i="3"/>
  <c r="V336" i="3"/>
  <c r="U336" i="3"/>
  <c r="T336" i="3"/>
  <c r="S336" i="3"/>
  <c r="R336" i="3"/>
  <c r="Q336" i="3"/>
  <c r="P336" i="3"/>
  <c r="O336" i="3"/>
  <c r="N336" i="3"/>
  <c r="M336" i="3"/>
  <c r="L336" i="3"/>
  <c r="K336" i="3"/>
  <c r="J336" i="3"/>
  <c r="AW335" i="3"/>
  <c r="AA335" i="3"/>
  <c r="Z335" i="3"/>
  <c r="Y335" i="3"/>
  <c r="X335" i="3"/>
  <c r="W335" i="3"/>
  <c r="V335" i="3"/>
  <c r="U335" i="3"/>
  <c r="T335" i="3"/>
  <c r="S335" i="3"/>
  <c r="R335" i="3"/>
  <c r="Q335" i="3"/>
  <c r="P335" i="3"/>
  <c r="O335" i="3"/>
  <c r="N335" i="3"/>
  <c r="M335" i="3"/>
  <c r="L335" i="3"/>
  <c r="K335" i="3"/>
  <c r="J335" i="3"/>
  <c r="AW334" i="3"/>
  <c r="AA334" i="3"/>
  <c r="Z334" i="3"/>
  <c r="Y334" i="3"/>
  <c r="X334" i="3"/>
  <c r="W334" i="3"/>
  <c r="V334" i="3"/>
  <c r="U334" i="3"/>
  <c r="T334" i="3"/>
  <c r="S334" i="3"/>
  <c r="R334" i="3"/>
  <c r="Q334" i="3"/>
  <c r="P334" i="3"/>
  <c r="O334" i="3"/>
  <c r="N334" i="3"/>
  <c r="M334" i="3"/>
  <c r="L334" i="3"/>
  <c r="K334" i="3"/>
  <c r="J334" i="3"/>
  <c r="AW333" i="3"/>
  <c r="AA333" i="3"/>
  <c r="Z333" i="3"/>
  <c r="Y333" i="3"/>
  <c r="X333" i="3"/>
  <c r="W333" i="3"/>
  <c r="V333" i="3"/>
  <c r="U333" i="3"/>
  <c r="T333" i="3"/>
  <c r="S333" i="3"/>
  <c r="R333" i="3"/>
  <c r="Q333" i="3"/>
  <c r="P333" i="3"/>
  <c r="O333" i="3"/>
  <c r="N333" i="3"/>
  <c r="M333" i="3"/>
  <c r="L333" i="3"/>
  <c r="K333" i="3"/>
  <c r="J333" i="3"/>
  <c r="AW332" i="3"/>
  <c r="AA332" i="3"/>
  <c r="Z332" i="3"/>
  <c r="Y332" i="3"/>
  <c r="X332" i="3"/>
  <c r="W332" i="3"/>
  <c r="V332" i="3"/>
  <c r="U332" i="3"/>
  <c r="T332" i="3"/>
  <c r="S332" i="3"/>
  <c r="R332" i="3"/>
  <c r="Q332" i="3"/>
  <c r="P332" i="3"/>
  <c r="O332" i="3"/>
  <c r="N332" i="3"/>
  <c r="M332" i="3"/>
  <c r="L332" i="3"/>
  <c r="K332" i="3"/>
  <c r="J332" i="3"/>
  <c r="AW331" i="3"/>
  <c r="AA331" i="3"/>
  <c r="Z331" i="3"/>
  <c r="Y331" i="3"/>
  <c r="X331" i="3"/>
  <c r="W331" i="3"/>
  <c r="V331" i="3"/>
  <c r="U331" i="3"/>
  <c r="T331" i="3"/>
  <c r="S331" i="3"/>
  <c r="R331" i="3"/>
  <c r="Q331" i="3"/>
  <c r="P331" i="3"/>
  <c r="O331" i="3"/>
  <c r="N331" i="3"/>
  <c r="M331" i="3"/>
  <c r="L331" i="3"/>
  <c r="K331" i="3"/>
  <c r="J331" i="3"/>
  <c r="AW330" i="3"/>
  <c r="AA330" i="3"/>
  <c r="Z330" i="3"/>
  <c r="Y330" i="3"/>
  <c r="X330" i="3"/>
  <c r="W330" i="3"/>
  <c r="V330" i="3"/>
  <c r="U330" i="3"/>
  <c r="T330" i="3"/>
  <c r="S330" i="3"/>
  <c r="R330" i="3"/>
  <c r="Q330" i="3"/>
  <c r="P330" i="3"/>
  <c r="O330" i="3"/>
  <c r="N330" i="3"/>
  <c r="M330" i="3"/>
  <c r="L330" i="3"/>
  <c r="K330" i="3"/>
  <c r="J330" i="3"/>
  <c r="AW329" i="3"/>
  <c r="AA329" i="3"/>
  <c r="Z329" i="3"/>
  <c r="Y329" i="3"/>
  <c r="X329" i="3"/>
  <c r="W329" i="3"/>
  <c r="V329" i="3"/>
  <c r="U329" i="3"/>
  <c r="T329" i="3"/>
  <c r="S329" i="3"/>
  <c r="R329" i="3"/>
  <c r="Q329" i="3"/>
  <c r="P329" i="3"/>
  <c r="O329" i="3"/>
  <c r="N329" i="3"/>
  <c r="M329" i="3"/>
  <c r="L329" i="3"/>
  <c r="K329" i="3"/>
  <c r="J329" i="3"/>
  <c r="AW328" i="3"/>
  <c r="AA328" i="3"/>
  <c r="Z328" i="3"/>
  <c r="Y328" i="3"/>
  <c r="X328" i="3"/>
  <c r="W328" i="3"/>
  <c r="V328" i="3"/>
  <c r="U328" i="3"/>
  <c r="T328" i="3"/>
  <c r="S328" i="3"/>
  <c r="R328" i="3"/>
  <c r="Q328" i="3"/>
  <c r="P328" i="3"/>
  <c r="O328" i="3"/>
  <c r="N328" i="3"/>
  <c r="M328" i="3"/>
  <c r="L328" i="3"/>
  <c r="K328" i="3"/>
  <c r="J328" i="3"/>
  <c r="AW327" i="3"/>
  <c r="AA327" i="3"/>
  <c r="Z327" i="3"/>
  <c r="Y327" i="3"/>
  <c r="X327" i="3"/>
  <c r="W327" i="3"/>
  <c r="V327" i="3"/>
  <c r="U327" i="3"/>
  <c r="T327" i="3"/>
  <c r="S327" i="3"/>
  <c r="R327" i="3"/>
  <c r="Q327" i="3"/>
  <c r="P327" i="3"/>
  <c r="O327" i="3"/>
  <c r="N327" i="3"/>
  <c r="M327" i="3"/>
  <c r="L327" i="3"/>
  <c r="K327" i="3"/>
  <c r="J327" i="3"/>
  <c r="AW326" i="3"/>
  <c r="AA326" i="3"/>
  <c r="Z326" i="3"/>
  <c r="Y326" i="3"/>
  <c r="X326" i="3"/>
  <c r="W326" i="3"/>
  <c r="V326" i="3"/>
  <c r="U326" i="3"/>
  <c r="T326" i="3"/>
  <c r="S326" i="3"/>
  <c r="R326" i="3"/>
  <c r="Q326" i="3"/>
  <c r="P326" i="3"/>
  <c r="O326" i="3"/>
  <c r="N326" i="3"/>
  <c r="M326" i="3"/>
  <c r="L326" i="3"/>
  <c r="K326" i="3"/>
  <c r="J326" i="3"/>
  <c r="AW325" i="3"/>
  <c r="AA325" i="3"/>
  <c r="Z325" i="3"/>
  <c r="Y325" i="3"/>
  <c r="X325" i="3"/>
  <c r="W325" i="3"/>
  <c r="V325" i="3"/>
  <c r="U325" i="3"/>
  <c r="T325" i="3"/>
  <c r="S325" i="3"/>
  <c r="R325" i="3"/>
  <c r="Q325" i="3"/>
  <c r="P325" i="3"/>
  <c r="O325" i="3"/>
  <c r="N325" i="3"/>
  <c r="M325" i="3"/>
  <c r="L325" i="3"/>
  <c r="K325" i="3"/>
  <c r="J325" i="3"/>
  <c r="AW324" i="3"/>
  <c r="AA324" i="3"/>
  <c r="Z324" i="3"/>
  <c r="Y324" i="3"/>
  <c r="X324" i="3"/>
  <c r="W324" i="3"/>
  <c r="V324" i="3"/>
  <c r="U324" i="3"/>
  <c r="T324" i="3"/>
  <c r="S324" i="3"/>
  <c r="R324" i="3"/>
  <c r="Q324" i="3"/>
  <c r="P324" i="3"/>
  <c r="O324" i="3"/>
  <c r="N324" i="3"/>
  <c r="M324" i="3"/>
  <c r="L324" i="3"/>
  <c r="K324" i="3"/>
  <c r="J324" i="3"/>
  <c r="AW323" i="3"/>
  <c r="AA323" i="3"/>
  <c r="Z323" i="3"/>
  <c r="Y323" i="3"/>
  <c r="X323" i="3"/>
  <c r="W323" i="3"/>
  <c r="V323" i="3"/>
  <c r="U323" i="3"/>
  <c r="T323" i="3"/>
  <c r="S323" i="3"/>
  <c r="R323" i="3"/>
  <c r="Q323" i="3"/>
  <c r="P323" i="3"/>
  <c r="O323" i="3"/>
  <c r="N323" i="3"/>
  <c r="M323" i="3"/>
  <c r="L323" i="3"/>
  <c r="K323" i="3"/>
  <c r="J323" i="3"/>
  <c r="AW322" i="3"/>
  <c r="AA322" i="3"/>
  <c r="Z322" i="3"/>
  <c r="Y322" i="3"/>
  <c r="X322" i="3"/>
  <c r="W322" i="3"/>
  <c r="V322" i="3"/>
  <c r="U322" i="3"/>
  <c r="T322" i="3"/>
  <c r="S322" i="3"/>
  <c r="R322" i="3"/>
  <c r="Q322" i="3"/>
  <c r="P322" i="3"/>
  <c r="O322" i="3"/>
  <c r="N322" i="3"/>
  <c r="M322" i="3"/>
  <c r="L322" i="3"/>
  <c r="K322" i="3"/>
  <c r="J322" i="3"/>
  <c r="AW321" i="3"/>
  <c r="AA321" i="3"/>
  <c r="Z321" i="3"/>
  <c r="Y321" i="3"/>
  <c r="X321" i="3"/>
  <c r="W321" i="3"/>
  <c r="V321" i="3"/>
  <c r="U321" i="3"/>
  <c r="T321" i="3"/>
  <c r="S321" i="3"/>
  <c r="R321" i="3"/>
  <c r="Q321" i="3"/>
  <c r="P321" i="3"/>
  <c r="O321" i="3"/>
  <c r="N321" i="3"/>
  <c r="M321" i="3"/>
  <c r="L321" i="3"/>
  <c r="K321" i="3"/>
  <c r="J321" i="3"/>
  <c r="AW320" i="3"/>
  <c r="AA320" i="3"/>
  <c r="Z320" i="3"/>
  <c r="Y320" i="3"/>
  <c r="X320" i="3"/>
  <c r="W320" i="3"/>
  <c r="V320" i="3"/>
  <c r="U320" i="3"/>
  <c r="T320" i="3"/>
  <c r="S320" i="3"/>
  <c r="R320" i="3"/>
  <c r="Q320" i="3"/>
  <c r="P320" i="3"/>
  <c r="O320" i="3"/>
  <c r="N320" i="3"/>
  <c r="M320" i="3"/>
  <c r="L320" i="3"/>
  <c r="K320" i="3"/>
  <c r="J320" i="3"/>
  <c r="AW319" i="3"/>
  <c r="AA319" i="3"/>
  <c r="Z319" i="3"/>
  <c r="Y319" i="3"/>
  <c r="X319" i="3"/>
  <c r="W319" i="3"/>
  <c r="V319" i="3"/>
  <c r="U319" i="3"/>
  <c r="T319" i="3"/>
  <c r="S319" i="3"/>
  <c r="R319" i="3"/>
  <c r="Q319" i="3"/>
  <c r="P319" i="3"/>
  <c r="O319" i="3"/>
  <c r="N319" i="3"/>
  <c r="M319" i="3"/>
  <c r="L319" i="3"/>
  <c r="K319" i="3"/>
  <c r="J319" i="3"/>
  <c r="AW318" i="3"/>
  <c r="AA318" i="3"/>
  <c r="Z318" i="3"/>
  <c r="Y318" i="3"/>
  <c r="X318" i="3"/>
  <c r="W318" i="3"/>
  <c r="V318" i="3"/>
  <c r="U318" i="3"/>
  <c r="T318" i="3"/>
  <c r="S318" i="3"/>
  <c r="R318" i="3"/>
  <c r="Q318" i="3"/>
  <c r="P318" i="3"/>
  <c r="O318" i="3"/>
  <c r="N318" i="3"/>
  <c r="M318" i="3"/>
  <c r="L318" i="3"/>
  <c r="K318" i="3"/>
  <c r="J318" i="3"/>
  <c r="AW317" i="3"/>
  <c r="AA317" i="3"/>
  <c r="Z317" i="3"/>
  <c r="Y317" i="3"/>
  <c r="X317" i="3"/>
  <c r="W317" i="3"/>
  <c r="V317" i="3"/>
  <c r="U317" i="3"/>
  <c r="T317" i="3"/>
  <c r="S317" i="3"/>
  <c r="R317" i="3"/>
  <c r="Q317" i="3"/>
  <c r="P317" i="3"/>
  <c r="O317" i="3"/>
  <c r="N317" i="3"/>
  <c r="M317" i="3"/>
  <c r="L317" i="3"/>
  <c r="K317" i="3"/>
  <c r="J317" i="3"/>
  <c r="AW316" i="3"/>
  <c r="AA316" i="3"/>
  <c r="Z316" i="3"/>
  <c r="Y316" i="3"/>
  <c r="X316" i="3"/>
  <c r="W316" i="3"/>
  <c r="V316" i="3"/>
  <c r="U316" i="3"/>
  <c r="T316" i="3"/>
  <c r="S316" i="3"/>
  <c r="R316" i="3"/>
  <c r="Q316" i="3"/>
  <c r="P316" i="3"/>
  <c r="O316" i="3"/>
  <c r="N316" i="3"/>
  <c r="M316" i="3"/>
  <c r="L316" i="3"/>
  <c r="K316" i="3"/>
  <c r="J316" i="3"/>
  <c r="AW315" i="3"/>
  <c r="AA315" i="3"/>
  <c r="Z315" i="3"/>
  <c r="Y315" i="3"/>
  <c r="X315" i="3"/>
  <c r="W315" i="3"/>
  <c r="V315" i="3"/>
  <c r="U315" i="3"/>
  <c r="T315" i="3"/>
  <c r="S315" i="3"/>
  <c r="R315" i="3"/>
  <c r="Q315" i="3"/>
  <c r="P315" i="3"/>
  <c r="O315" i="3"/>
  <c r="N315" i="3"/>
  <c r="M315" i="3"/>
  <c r="L315" i="3"/>
  <c r="K315" i="3"/>
  <c r="J315" i="3"/>
  <c r="AW314" i="3"/>
  <c r="AA314" i="3"/>
  <c r="Z314" i="3"/>
  <c r="Y314" i="3"/>
  <c r="X314" i="3"/>
  <c r="W314" i="3"/>
  <c r="V314" i="3"/>
  <c r="U314" i="3"/>
  <c r="T314" i="3"/>
  <c r="S314" i="3"/>
  <c r="R314" i="3"/>
  <c r="Q314" i="3"/>
  <c r="P314" i="3"/>
  <c r="O314" i="3"/>
  <c r="N314" i="3"/>
  <c r="M314" i="3"/>
  <c r="L314" i="3"/>
  <c r="K314" i="3"/>
  <c r="J314" i="3"/>
  <c r="AW313" i="3"/>
  <c r="AA313" i="3"/>
  <c r="Z313" i="3"/>
  <c r="Y313" i="3"/>
  <c r="X313" i="3"/>
  <c r="W313" i="3"/>
  <c r="V313" i="3"/>
  <c r="U313" i="3"/>
  <c r="T313" i="3"/>
  <c r="S313" i="3"/>
  <c r="R313" i="3"/>
  <c r="Q313" i="3"/>
  <c r="P313" i="3"/>
  <c r="O313" i="3"/>
  <c r="N313" i="3"/>
  <c r="M313" i="3"/>
  <c r="L313" i="3"/>
  <c r="K313" i="3"/>
  <c r="J313" i="3"/>
  <c r="AW312" i="3"/>
  <c r="AA312" i="3"/>
  <c r="Z312" i="3"/>
  <c r="Y312" i="3"/>
  <c r="X312" i="3"/>
  <c r="W312" i="3"/>
  <c r="V312" i="3"/>
  <c r="U312" i="3"/>
  <c r="T312" i="3"/>
  <c r="S312" i="3"/>
  <c r="R312" i="3"/>
  <c r="Q312" i="3"/>
  <c r="N312" i="3"/>
  <c r="M312" i="3"/>
  <c r="AW311" i="3"/>
  <c r="AL311" i="3"/>
  <c r="AK311" i="3"/>
  <c r="AJ311" i="3"/>
  <c r="AI311" i="3"/>
  <c r="AH311" i="3"/>
  <c r="AG311" i="3"/>
  <c r="AF311" i="3"/>
  <c r="AE311" i="3"/>
  <c r="AD311" i="3"/>
  <c r="AC311" i="3"/>
  <c r="AB311" i="3"/>
  <c r="AA311" i="3"/>
  <c r="Z311" i="3"/>
  <c r="Y311" i="3"/>
  <c r="X311" i="3"/>
  <c r="W311" i="3"/>
  <c r="V311" i="3"/>
  <c r="U311" i="3"/>
  <c r="T311" i="3"/>
  <c r="S311" i="3"/>
  <c r="R311" i="3"/>
  <c r="Q311" i="3"/>
  <c r="P311" i="3"/>
  <c r="O311" i="3"/>
  <c r="N311" i="3"/>
  <c r="M311" i="3"/>
  <c r="L311" i="3"/>
  <c r="K311" i="3"/>
  <c r="J311" i="3"/>
  <c r="AW310" i="3"/>
  <c r="AL310" i="3"/>
  <c r="AK310" i="3"/>
  <c r="AJ310" i="3"/>
  <c r="AI310" i="3"/>
  <c r="AH310" i="3"/>
  <c r="AG310" i="3"/>
  <c r="AF310" i="3"/>
  <c r="AE310" i="3"/>
  <c r="AD310" i="3"/>
  <c r="AC310" i="3"/>
  <c r="AB310" i="3"/>
  <c r="AA310" i="3"/>
  <c r="Z310" i="3"/>
  <c r="Y310" i="3"/>
  <c r="X310" i="3"/>
  <c r="W310" i="3"/>
  <c r="V310" i="3"/>
  <c r="U310" i="3"/>
  <c r="T310" i="3"/>
  <c r="S310" i="3"/>
  <c r="R310" i="3"/>
  <c r="Q310" i="3"/>
  <c r="P310" i="3"/>
  <c r="O310" i="3"/>
  <c r="N310" i="3"/>
  <c r="M310" i="3"/>
  <c r="L310" i="3"/>
  <c r="K310" i="3"/>
  <c r="J310" i="3"/>
  <c r="AW309" i="3"/>
  <c r="AL309" i="3"/>
  <c r="AK309" i="3"/>
  <c r="AJ309" i="3"/>
  <c r="AI309" i="3"/>
  <c r="AH309" i="3"/>
  <c r="AG309" i="3"/>
  <c r="AF309" i="3"/>
  <c r="AE309" i="3"/>
  <c r="AD309" i="3"/>
  <c r="AC309" i="3"/>
  <c r="AB309" i="3"/>
  <c r="AA309" i="3"/>
  <c r="Z309" i="3"/>
  <c r="Y309" i="3"/>
  <c r="X309" i="3"/>
  <c r="W309" i="3"/>
  <c r="V309" i="3"/>
  <c r="U309" i="3"/>
  <c r="T309" i="3"/>
  <c r="S309" i="3"/>
  <c r="R309" i="3"/>
  <c r="Q309" i="3"/>
  <c r="P309" i="3"/>
  <c r="O309" i="3"/>
  <c r="N309" i="3"/>
  <c r="M309" i="3"/>
  <c r="L309" i="3"/>
  <c r="K309" i="3"/>
  <c r="J309" i="3"/>
  <c r="AW308" i="3"/>
  <c r="AL308" i="3"/>
  <c r="AK308" i="3"/>
  <c r="AJ308" i="3"/>
  <c r="AI308" i="3"/>
  <c r="AH308" i="3"/>
  <c r="AG308" i="3"/>
  <c r="AF308" i="3"/>
  <c r="AE308" i="3"/>
  <c r="AD308" i="3"/>
  <c r="AC308" i="3"/>
  <c r="AB308" i="3"/>
  <c r="AA308" i="3"/>
  <c r="Z308" i="3"/>
  <c r="Y308" i="3"/>
  <c r="X308" i="3"/>
  <c r="W308" i="3"/>
  <c r="V308" i="3"/>
  <c r="U308" i="3"/>
  <c r="T308" i="3"/>
  <c r="S308" i="3"/>
  <c r="R308" i="3"/>
  <c r="Q308" i="3"/>
  <c r="P308" i="3"/>
  <c r="O308" i="3"/>
  <c r="N308" i="3"/>
  <c r="M308" i="3"/>
  <c r="L308" i="3"/>
  <c r="K308" i="3"/>
  <c r="J308" i="3"/>
  <c r="AW307" i="3"/>
  <c r="AL307" i="3"/>
  <c r="AK307" i="3"/>
  <c r="AJ307" i="3"/>
  <c r="AI307" i="3"/>
  <c r="AH307" i="3"/>
  <c r="AG307" i="3"/>
  <c r="AF307" i="3"/>
  <c r="AE307" i="3"/>
  <c r="AD307" i="3"/>
  <c r="AC307" i="3"/>
  <c r="AB307" i="3"/>
  <c r="AA307" i="3"/>
  <c r="Z307" i="3"/>
  <c r="Y307" i="3"/>
  <c r="X307" i="3"/>
  <c r="W307" i="3"/>
  <c r="V307" i="3"/>
  <c r="U307" i="3"/>
  <c r="T307" i="3"/>
  <c r="S307" i="3"/>
  <c r="R307" i="3"/>
  <c r="Q307" i="3"/>
  <c r="P307" i="3"/>
  <c r="O307" i="3"/>
  <c r="N307" i="3"/>
  <c r="M307" i="3"/>
  <c r="L307" i="3"/>
  <c r="K307" i="3"/>
  <c r="J307" i="3"/>
  <c r="AW306" i="3"/>
  <c r="AL306" i="3"/>
  <c r="AK306" i="3"/>
  <c r="AJ306" i="3"/>
  <c r="AI306" i="3"/>
  <c r="AH306" i="3"/>
  <c r="AG306" i="3"/>
  <c r="AF306" i="3"/>
  <c r="AE306" i="3"/>
  <c r="AD306" i="3"/>
  <c r="AC306" i="3"/>
  <c r="AB306" i="3"/>
  <c r="AA306" i="3"/>
  <c r="Z306" i="3"/>
  <c r="Y306" i="3"/>
  <c r="X306" i="3"/>
  <c r="W306" i="3"/>
  <c r="V306" i="3"/>
  <c r="U306" i="3"/>
  <c r="T306" i="3"/>
  <c r="S306" i="3"/>
  <c r="R306" i="3"/>
  <c r="Q306" i="3"/>
  <c r="P306" i="3"/>
  <c r="O306" i="3"/>
  <c r="N306" i="3"/>
  <c r="M306" i="3"/>
  <c r="L306" i="3"/>
  <c r="K306" i="3"/>
  <c r="J306" i="3"/>
  <c r="AW305" i="3"/>
  <c r="AL305" i="3"/>
  <c r="AK305" i="3"/>
  <c r="AJ305" i="3"/>
  <c r="AI305" i="3"/>
  <c r="AH305" i="3"/>
  <c r="AG305" i="3"/>
  <c r="AF305" i="3"/>
  <c r="AE305" i="3"/>
  <c r="AD305" i="3"/>
  <c r="AC305" i="3"/>
  <c r="AB305" i="3"/>
  <c r="AA305" i="3"/>
  <c r="Z305" i="3"/>
  <c r="Y305" i="3"/>
  <c r="X305" i="3"/>
  <c r="W305" i="3"/>
  <c r="V305" i="3"/>
  <c r="U305" i="3"/>
  <c r="T305" i="3"/>
  <c r="S305" i="3"/>
  <c r="R305" i="3"/>
  <c r="Q305" i="3"/>
  <c r="P305" i="3"/>
  <c r="O305" i="3"/>
  <c r="N305" i="3"/>
  <c r="M305" i="3"/>
  <c r="L305" i="3"/>
  <c r="K305" i="3"/>
  <c r="J305" i="3"/>
  <c r="AW304" i="3"/>
  <c r="AL304" i="3"/>
  <c r="AK304" i="3"/>
  <c r="AJ304" i="3"/>
  <c r="AI304" i="3"/>
  <c r="AH304" i="3"/>
  <c r="AG304" i="3"/>
  <c r="AF304" i="3"/>
  <c r="AE304" i="3"/>
  <c r="AD304" i="3"/>
  <c r="AC304" i="3"/>
  <c r="AB304" i="3"/>
  <c r="AA304" i="3"/>
  <c r="Z304" i="3"/>
  <c r="Y304" i="3"/>
  <c r="X304" i="3"/>
  <c r="W304" i="3"/>
  <c r="V304" i="3"/>
  <c r="U304" i="3"/>
  <c r="T304" i="3"/>
  <c r="S304" i="3"/>
  <c r="R304" i="3"/>
  <c r="Q304" i="3"/>
  <c r="P304" i="3"/>
  <c r="O304" i="3"/>
  <c r="N304" i="3"/>
  <c r="M304" i="3"/>
  <c r="L304" i="3"/>
  <c r="K304" i="3"/>
  <c r="J304" i="3"/>
  <c r="AW303" i="3"/>
  <c r="AL303" i="3"/>
  <c r="AK303" i="3"/>
  <c r="AJ303" i="3"/>
  <c r="AI303" i="3"/>
  <c r="AH303" i="3"/>
  <c r="AG303" i="3"/>
  <c r="AF303" i="3"/>
  <c r="AE303" i="3"/>
  <c r="AD303" i="3"/>
  <c r="AC303" i="3"/>
  <c r="AB303" i="3"/>
  <c r="AA303" i="3"/>
  <c r="Z303" i="3"/>
  <c r="Y303" i="3"/>
  <c r="X303" i="3"/>
  <c r="W303" i="3"/>
  <c r="V303" i="3"/>
  <c r="U303" i="3"/>
  <c r="T303" i="3"/>
  <c r="S303" i="3"/>
  <c r="R303" i="3"/>
  <c r="Q303" i="3"/>
  <c r="P303" i="3"/>
  <c r="O303" i="3"/>
  <c r="N303" i="3"/>
  <c r="M303" i="3"/>
  <c r="L303" i="3"/>
  <c r="K303" i="3"/>
  <c r="J303" i="3"/>
  <c r="AW302" i="3"/>
  <c r="AL302" i="3"/>
  <c r="AK302" i="3"/>
  <c r="AJ302" i="3"/>
  <c r="AI302" i="3"/>
  <c r="AH302" i="3"/>
  <c r="AG302" i="3"/>
  <c r="AF302" i="3"/>
  <c r="AE302" i="3"/>
  <c r="AD302" i="3"/>
  <c r="AC302" i="3"/>
  <c r="AB302" i="3"/>
  <c r="AA302" i="3"/>
  <c r="Z302" i="3"/>
  <c r="Y302" i="3"/>
  <c r="X302" i="3"/>
  <c r="W302" i="3"/>
  <c r="V302" i="3"/>
  <c r="U302" i="3"/>
  <c r="T302" i="3"/>
  <c r="S302" i="3"/>
  <c r="R302" i="3"/>
  <c r="Q302" i="3"/>
  <c r="P302" i="3"/>
  <c r="O302" i="3"/>
  <c r="N302" i="3"/>
  <c r="M302" i="3"/>
  <c r="L302" i="3"/>
  <c r="K302" i="3"/>
  <c r="J302" i="3"/>
  <c r="AW301" i="3"/>
  <c r="AL301" i="3"/>
  <c r="AK301" i="3"/>
  <c r="AJ301" i="3"/>
  <c r="AI301" i="3"/>
  <c r="AH301" i="3"/>
  <c r="AG301" i="3"/>
  <c r="AF301" i="3"/>
  <c r="AE301" i="3"/>
  <c r="AD301" i="3"/>
  <c r="AC301" i="3"/>
  <c r="AB301" i="3"/>
  <c r="AA301" i="3"/>
  <c r="Z301" i="3"/>
  <c r="Y301" i="3"/>
  <c r="X301" i="3"/>
  <c r="W301" i="3"/>
  <c r="V301" i="3"/>
  <c r="U301" i="3"/>
  <c r="T301" i="3"/>
  <c r="S301" i="3"/>
  <c r="R301" i="3"/>
  <c r="Q301" i="3"/>
  <c r="P301" i="3"/>
  <c r="O301" i="3"/>
  <c r="N301" i="3"/>
  <c r="M301" i="3"/>
  <c r="L301" i="3"/>
  <c r="K301" i="3"/>
  <c r="J301" i="3"/>
  <c r="AW300" i="3"/>
  <c r="AL300" i="3"/>
  <c r="AK300" i="3"/>
  <c r="AJ300" i="3"/>
  <c r="AI300" i="3"/>
  <c r="AH300" i="3"/>
  <c r="AG300" i="3"/>
  <c r="AF300" i="3"/>
  <c r="AE300" i="3"/>
  <c r="AD300" i="3"/>
  <c r="AC300" i="3"/>
  <c r="AB300" i="3"/>
  <c r="AA300" i="3"/>
  <c r="Z300" i="3"/>
  <c r="Y300" i="3"/>
  <c r="X300" i="3"/>
  <c r="W300" i="3"/>
  <c r="V300" i="3"/>
  <c r="U300" i="3"/>
  <c r="T300" i="3"/>
  <c r="S300" i="3"/>
  <c r="R300" i="3"/>
  <c r="Q300" i="3"/>
  <c r="P300" i="3"/>
  <c r="O300" i="3"/>
  <c r="N300" i="3"/>
  <c r="M300" i="3"/>
  <c r="L300" i="3"/>
  <c r="K300" i="3"/>
  <c r="J300" i="3"/>
  <c r="AW299" i="3"/>
  <c r="AA299" i="3"/>
  <c r="Z299" i="3"/>
  <c r="Y299" i="3"/>
  <c r="X299" i="3"/>
  <c r="W299" i="3"/>
  <c r="V299" i="3"/>
  <c r="U299" i="3"/>
  <c r="T299" i="3"/>
  <c r="S299" i="3"/>
  <c r="R299" i="3"/>
  <c r="Q299" i="3"/>
  <c r="P299" i="3"/>
  <c r="O299" i="3"/>
  <c r="N299" i="3"/>
  <c r="M299" i="3"/>
  <c r="L299" i="3"/>
  <c r="K299" i="3"/>
  <c r="J299" i="3"/>
  <c r="AW298" i="3"/>
  <c r="AA298" i="3"/>
  <c r="Z298" i="3"/>
  <c r="Y298" i="3"/>
  <c r="X298" i="3"/>
  <c r="W298" i="3"/>
  <c r="V298" i="3"/>
  <c r="U298" i="3"/>
  <c r="T298" i="3"/>
  <c r="S298" i="3"/>
  <c r="R298" i="3"/>
  <c r="Q298" i="3"/>
  <c r="P298" i="3"/>
  <c r="O298" i="3"/>
  <c r="N298" i="3"/>
  <c r="M298" i="3"/>
  <c r="L298" i="3"/>
  <c r="K298" i="3"/>
  <c r="J298" i="3"/>
  <c r="AW297" i="3"/>
  <c r="AA297" i="3"/>
  <c r="Z297" i="3"/>
  <c r="Y297" i="3"/>
  <c r="X297" i="3"/>
  <c r="W297" i="3"/>
  <c r="V297" i="3"/>
  <c r="U297" i="3"/>
  <c r="T297" i="3"/>
  <c r="S297" i="3"/>
  <c r="R297" i="3"/>
  <c r="Q297" i="3"/>
  <c r="P297" i="3"/>
  <c r="O297" i="3"/>
  <c r="N297" i="3"/>
  <c r="M297" i="3"/>
  <c r="L297" i="3"/>
  <c r="K297" i="3"/>
  <c r="J297" i="3"/>
  <c r="AW296" i="3"/>
  <c r="AA296" i="3"/>
  <c r="Z296" i="3"/>
  <c r="Y296" i="3"/>
  <c r="X296" i="3"/>
  <c r="W296" i="3"/>
  <c r="V296" i="3"/>
  <c r="U296" i="3"/>
  <c r="T296" i="3"/>
  <c r="S296" i="3"/>
  <c r="R296" i="3"/>
  <c r="Q296" i="3"/>
  <c r="P296" i="3"/>
  <c r="O296" i="3"/>
  <c r="N296" i="3"/>
  <c r="M296" i="3"/>
  <c r="L296" i="3"/>
  <c r="K296" i="3"/>
  <c r="J296" i="3"/>
  <c r="AW295" i="3"/>
  <c r="AA295" i="3"/>
  <c r="Z295" i="3"/>
  <c r="Y295" i="3"/>
  <c r="X295" i="3"/>
  <c r="W295" i="3"/>
  <c r="V295" i="3"/>
  <c r="U295" i="3"/>
  <c r="T295" i="3"/>
  <c r="S295" i="3"/>
  <c r="R295" i="3"/>
  <c r="Q295" i="3"/>
  <c r="P295" i="3"/>
  <c r="O295" i="3"/>
  <c r="N295" i="3"/>
  <c r="M295" i="3"/>
  <c r="L295" i="3"/>
  <c r="K295" i="3"/>
  <c r="J295" i="3"/>
  <c r="AW294" i="3"/>
  <c r="AA294" i="3"/>
  <c r="Z294" i="3"/>
  <c r="Y294" i="3"/>
  <c r="X294" i="3"/>
  <c r="W294" i="3"/>
  <c r="V294" i="3"/>
  <c r="U294" i="3"/>
  <c r="T294" i="3"/>
  <c r="S294" i="3"/>
  <c r="R294" i="3"/>
  <c r="N294" i="3"/>
  <c r="M294" i="3"/>
  <c r="K294" i="3"/>
  <c r="J294" i="3"/>
  <c r="AW293" i="3"/>
  <c r="AA293" i="3"/>
  <c r="Z293" i="3"/>
  <c r="Y293" i="3"/>
  <c r="X293" i="3"/>
  <c r="W293" i="3"/>
  <c r="V293" i="3"/>
  <c r="U293" i="3"/>
  <c r="T293" i="3"/>
  <c r="S293" i="3"/>
  <c r="R293" i="3"/>
  <c r="Q293" i="3"/>
  <c r="N293" i="3"/>
  <c r="M293" i="3"/>
  <c r="AW292" i="3"/>
  <c r="AA292" i="3"/>
  <c r="Z292" i="3"/>
  <c r="Y292" i="3"/>
  <c r="X292" i="3"/>
  <c r="W292" i="3"/>
  <c r="V292" i="3"/>
  <c r="U292" i="3"/>
  <c r="T292" i="3"/>
  <c r="S292" i="3"/>
  <c r="R292" i="3"/>
  <c r="N292" i="3"/>
  <c r="M292" i="3"/>
  <c r="L292" i="3"/>
  <c r="AW291" i="3"/>
  <c r="AA291" i="3"/>
  <c r="Z291" i="3"/>
  <c r="Y291" i="3"/>
  <c r="X291" i="3"/>
  <c r="W291" i="3"/>
  <c r="V291" i="3"/>
  <c r="U291" i="3"/>
  <c r="T291" i="3"/>
  <c r="S291" i="3"/>
  <c r="R291" i="3"/>
  <c r="P291" i="3"/>
  <c r="O291" i="3"/>
  <c r="N291" i="3"/>
  <c r="M291" i="3"/>
  <c r="AW290" i="3"/>
  <c r="AA290" i="3"/>
  <c r="Z290" i="3"/>
  <c r="Y290" i="3"/>
  <c r="X290" i="3"/>
  <c r="W290" i="3"/>
  <c r="V290" i="3"/>
  <c r="U290" i="3"/>
  <c r="T290" i="3"/>
  <c r="S290" i="3"/>
  <c r="R290" i="3"/>
  <c r="Q290" i="3"/>
  <c r="N290" i="3"/>
  <c r="M290" i="3"/>
  <c r="K290" i="3"/>
  <c r="J290" i="3"/>
  <c r="AW289" i="3"/>
  <c r="AA289" i="3"/>
  <c r="Z289" i="3"/>
  <c r="Y289" i="3"/>
  <c r="X289" i="3"/>
  <c r="W289" i="3"/>
  <c r="V289" i="3"/>
  <c r="U289" i="3"/>
  <c r="T289" i="3"/>
  <c r="S289" i="3"/>
  <c r="R289" i="3"/>
  <c r="Q289" i="3"/>
  <c r="N289" i="3"/>
  <c r="M289" i="3"/>
  <c r="L289" i="3"/>
  <c r="AW288" i="3"/>
  <c r="AA288" i="3"/>
  <c r="Z288" i="3"/>
  <c r="Y288" i="3"/>
  <c r="X288" i="3"/>
  <c r="W288" i="3"/>
  <c r="V288" i="3"/>
  <c r="U288" i="3"/>
  <c r="T288" i="3"/>
  <c r="S288" i="3"/>
  <c r="R288" i="3"/>
  <c r="Q288" i="3"/>
  <c r="P288" i="3"/>
  <c r="N288" i="3"/>
  <c r="M288" i="3"/>
  <c r="L288" i="3"/>
  <c r="AW287" i="3"/>
  <c r="AL287" i="3"/>
  <c r="AK287" i="3"/>
  <c r="AJ287" i="3"/>
  <c r="AI287" i="3"/>
  <c r="AH287" i="3"/>
  <c r="AG287" i="3"/>
  <c r="AF287" i="3"/>
  <c r="AE287" i="3"/>
  <c r="AD287" i="3"/>
  <c r="AC287" i="3"/>
  <c r="AB287" i="3"/>
  <c r="AA287" i="3"/>
  <c r="Z287" i="3"/>
  <c r="Y287" i="3"/>
  <c r="X287" i="3"/>
  <c r="W287" i="3"/>
  <c r="V287" i="3"/>
  <c r="U287" i="3"/>
  <c r="T287" i="3"/>
  <c r="S287" i="3"/>
  <c r="R287" i="3"/>
  <c r="Q287" i="3"/>
  <c r="P287" i="3"/>
  <c r="O287" i="3"/>
  <c r="N287" i="3"/>
  <c r="M287" i="3"/>
  <c r="L287" i="3"/>
  <c r="K287" i="3"/>
  <c r="J287" i="3"/>
  <c r="AW286" i="3"/>
  <c r="AL286" i="3"/>
  <c r="AK286" i="3"/>
  <c r="AJ286" i="3"/>
  <c r="AI286" i="3"/>
  <c r="AH286" i="3"/>
  <c r="AG286" i="3"/>
  <c r="AF286" i="3"/>
  <c r="AE286" i="3"/>
  <c r="AD286" i="3"/>
  <c r="AC286" i="3"/>
  <c r="AB286" i="3"/>
  <c r="AA286" i="3"/>
  <c r="Z286" i="3"/>
  <c r="Y286" i="3"/>
  <c r="X286" i="3"/>
  <c r="W286" i="3"/>
  <c r="V286" i="3"/>
  <c r="U286" i="3"/>
  <c r="T286" i="3"/>
  <c r="S286" i="3"/>
  <c r="R286" i="3"/>
  <c r="Q286" i="3"/>
  <c r="P286" i="3"/>
  <c r="O286" i="3"/>
  <c r="N286" i="3"/>
  <c r="M286" i="3"/>
  <c r="L286" i="3"/>
  <c r="K286" i="3"/>
  <c r="J286" i="3"/>
  <c r="AW285" i="3"/>
  <c r="AL285" i="3"/>
  <c r="AK285" i="3"/>
  <c r="AJ285" i="3"/>
  <c r="AI285" i="3"/>
  <c r="AH285" i="3"/>
  <c r="AG285" i="3"/>
  <c r="AF285" i="3"/>
  <c r="AE285" i="3"/>
  <c r="AD285" i="3"/>
  <c r="AC285" i="3"/>
  <c r="AB285" i="3"/>
  <c r="AA285" i="3"/>
  <c r="Z285" i="3"/>
  <c r="Y285" i="3"/>
  <c r="X285" i="3"/>
  <c r="W285" i="3"/>
  <c r="V285" i="3"/>
  <c r="U285" i="3"/>
  <c r="T285" i="3"/>
  <c r="S285" i="3"/>
  <c r="R285" i="3"/>
  <c r="Q285" i="3"/>
  <c r="P285" i="3"/>
  <c r="O285" i="3"/>
  <c r="N285" i="3"/>
  <c r="M285" i="3"/>
  <c r="L285" i="3"/>
  <c r="K285" i="3"/>
  <c r="J285" i="3"/>
  <c r="AW284" i="3"/>
  <c r="AL284" i="3"/>
  <c r="AK284" i="3"/>
  <c r="AJ284" i="3"/>
  <c r="AI284" i="3"/>
  <c r="AH284" i="3"/>
  <c r="AG284" i="3"/>
  <c r="AF284" i="3"/>
  <c r="AE284" i="3"/>
  <c r="AD284" i="3"/>
  <c r="AC284" i="3"/>
  <c r="AB284" i="3"/>
  <c r="AA284" i="3"/>
  <c r="Z284" i="3"/>
  <c r="Y284" i="3"/>
  <c r="X284" i="3"/>
  <c r="W284" i="3"/>
  <c r="V284" i="3"/>
  <c r="U284" i="3"/>
  <c r="T284" i="3"/>
  <c r="S284" i="3"/>
  <c r="R284" i="3"/>
  <c r="Q284" i="3"/>
  <c r="P284" i="3"/>
  <c r="O284" i="3"/>
  <c r="N284" i="3"/>
  <c r="M284" i="3"/>
  <c r="L284" i="3"/>
  <c r="K284" i="3"/>
  <c r="J284" i="3"/>
  <c r="AW283" i="3"/>
  <c r="AL283" i="3"/>
  <c r="AK283" i="3"/>
  <c r="AJ283" i="3"/>
  <c r="AI283" i="3"/>
  <c r="AH283" i="3"/>
  <c r="AG283" i="3"/>
  <c r="AF283" i="3"/>
  <c r="AE283" i="3"/>
  <c r="AD283" i="3"/>
  <c r="AC283" i="3"/>
  <c r="AB283" i="3"/>
  <c r="AA283" i="3"/>
  <c r="Z283" i="3"/>
  <c r="Y283" i="3"/>
  <c r="X283" i="3"/>
  <c r="W283" i="3"/>
  <c r="V283" i="3"/>
  <c r="U283" i="3"/>
  <c r="T283" i="3"/>
  <c r="S283" i="3"/>
  <c r="R283" i="3"/>
  <c r="Q283" i="3"/>
  <c r="P283" i="3"/>
  <c r="O283" i="3"/>
  <c r="N283" i="3"/>
  <c r="M283" i="3"/>
  <c r="L283" i="3"/>
  <c r="K283" i="3"/>
  <c r="J283" i="3"/>
  <c r="AW282" i="3"/>
  <c r="AL282" i="3"/>
  <c r="AK282" i="3"/>
  <c r="AJ282" i="3"/>
  <c r="AI282" i="3"/>
  <c r="AH282" i="3"/>
  <c r="AG282" i="3"/>
  <c r="AF282" i="3"/>
  <c r="AE282" i="3"/>
  <c r="AD282" i="3"/>
  <c r="AC282" i="3"/>
  <c r="AB282" i="3"/>
  <c r="AA282" i="3"/>
  <c r="Z282" i="3"/>
  <c r="Y282" i="3"/>
  <c r="X282" i="3"/>
  <c r="W282" i="3"/>
  <c r="V282" i="3"/>
  <c r="U282" i="3"/>
  <c r="T282" i="3"/>
  <c r="S282" i="3"/>
  <c r="R282" i="3"/>
  <c r="Q282" i="3"/>
  <c r="P282" i="3"/>
  <c r="O282" i="3"/>
  <c r="N282" i="3"/>
  <c r="M282" i="3"/>
  <c r="L282" i="3"/>
  <c r="K282" i="3"/>
  <c r="J282" i="3"/>
  <c r="AW281" i="3"/>
  <c r="AA281" i="3"/>
  <c r="Z281" i="3"/>
  <c r="Y281" i="3"/>
  <c r="X281" i="3"/>
  <c r="W281" i="3"/>
  <c r="V281" i="3"/>
  <c r="U281" i="3"/>
  <c r="T281" i="3"/>
  <c r="S281" i="3"/>
  <c r="R281" i="3"/>
  <c r="Q281" i="3"/>
  <c r="P281" i="3"/>
  <c r="O281" i="3"/>
  <c r="N281" i="3"/>
  <c r="M281" i="3"/>
  <c r="L281" i="3"/>
  <c r="K281" i="3"/>
  <c r="J281" i="3"/>
  <c r="AW280" i="3"/>
  <c r="AA280" i="3"/>
  <c r="Z280" i="3"/>
  <c r="Y280" i="3"/>
  <c r="X280" i="3"/>
  <c r="W280" i="3"/>
  <c r="V280" i="3"/>
  <c r="U280" i="3"/>
  <c r="T280" i="3"/>
  <c r="S280" i="3"/>
  <c r="R280" i="3"/>
  <c r="Q280" i="3"/>
  <c r="P280" i="3"/>
  <c r="O280" i="3"/>
  <c r="N280" i="3"/>
  <c r="M280" i="3"/>
  <c r="L280" i="3"/>
  <c r="K280" i="3"/>
  <c r="J280" i="3"/>
  <c r="AW279" i="3"/>
  <c r="AA279" i="3"/>
  <c r="Z279" i="3"/>
  <c r="Y279" i="3"/>
  <c r="X279" i="3"/>
  <c r="W279" i="3"/>
  <c r="V279" i="3"/>
  <c r="U279" i="3"/>
  <c r="T279" i="3"/>
  <c r="S279" i="3"/>
  <c r="R279" i="3"/>
  <c r="Q279" i="3"/>
  <c r="P279" i="3"/>
  <c r="O279" i="3"/>
  <c r="N279" i="3"/>
  <c r="M279" i="3"/>
  <c r="L279" i="3"/>
  <c r="K279" i="3"/>
  <c r="J279" i="3"/>
  <c r="AW278" i="3"/>
  <c r="AA278" i="3"/>
  <c r="Z278" i="3"/>
  <c r="Y278" i="3"/>
  <c r="X278" i="3"/>
  <c r="W278" i="3"/>
  <c r="V278" i="3"/>
  <c r="U278" i="3"/>
  <c r="T278" i="3"/>
  <c r="S278" i="3"/>
  <c r="R278" i="3"/>
  <c r="Q278" i="3"/>
  <c r="P278" i="3"/>
  <c r="O278" i="3"/>
  <c r="N278" i="3"/>
  <c r="M278" i="3"/>
  <c r="L278" i="3"/>
  <c r="K278" i="3"/>
  <c r="J278" i="3"/>
  <c r="AW277" i="3"/>
  <c r="AA277" i="3"/>
  <c r="Z277" i="3"/>
  <c r="Y277" i="3"/>
  <c r="X277" i="3"/>
  <c r="W277" i="3"/>
  <c r="V277" i="3"/>
  <c r="U277" i="3"/>
  <c r="T277" i="3"/>
  <c r="S277" i="3"/>
  <c r="R277" i="3"/>
  <c r="Q277" i="3"/>
  <c r="P277" i="3"/>
  <c r="O277" i="3"/>
  <c r="N277" i="3"/>
  <c r="M277" i="3"/>
  <c r="L277" i="3"/>
  <c r="K277" i="3"/>
  <c r="J277" i="3"/>
  <c r="AW276" i="3"/>
  <c r="AA276" i="3"/>
  <c r="Z276" i="3"/>
  <c r="Y276" i="3"/>
  <c r="X276" i="3"/>
  <c r="W276" i="3"/>
  <c r="V276" i="3"/>
  <c r="U276" i="3"/>
  <c r="T276" i="3"/>
  <c r="S276" i="3"/>
  <c r="R276" i="3"/>
  <c r="Q276" i="3"/>
  <c r="P276" i="3"/>
  <c r="O276" i="3"/>
  <c r="N276" i="3"/>
  <c r="M276" i="3"/>
  <c r="L276" i="3"/>
  <c r="K276" i="3"/>
  <c r="J276" i="3"/>
  <c r="AW275" i="3"/>
  <c r="AA275" i="3"/>
  <c r="Z275" i="3"/>
  <c r="Y275" i="3"/>
  <c r="X275" i="3"/>
  <c r="W275" i="3"/>
  <c r="V275" i="3"/>
  <c r="U275" i="3"/>
  <c r="T275" i="3"/>
  <c r="S275" i="3"/>
  <c r="R275" i="3"/>
  <c r="Q275" i="3"/>
  <c r="P275" i="3"/>
  <c r="O275" i="3"/>
  <c r="N275" i="3"/>
  <c r="M275" i="3"/>
  <c r="L275" i="3"/>
  <c r="K275" i="3"/>
  <c r="J275" i="3"/>
  <c r="AW274" i="3"/>
  <c r="AA274" i="3"/>
  <c r="Z274" i="3"/>
  <c r="Y274" i="3"/>
  <c r="X274" i="3"/>
  <c r="W274" i="3"/>
  <c r="V274" i="3"/>
  <c r="U274" i="3"/>
  <c r="T274" i="3"/>
  <c r="S274" i="3"/>
  <c r="R274" i="3"/>
  <c r="Q274" i="3"/>
  <c r="P274" i="3"/>
  <c r="O274" i="3"/>
  <c r="N274" i="3"/>
  <c r="M274" i="3"/>
  <c r="L274" i="3"/>
  <c r="K274" i="3"/>
  <c r="J274" i="3"/>
  <c r="AW273" i="3"/>
  <c r="AA273" i="3"/>
  <c r="Z273" i="3"/>
  <c r="Y273" i="3"/>
  <c r="X273" i="3"/>
  <c r="W273" i="3"/>
  <c r="V273" i="3"/>
  <c r="U273" i="3"/>
  <c r="T273" i="3"/>
  <c r="S273" i="3"/>
  <c r="R273" i="3"/>
  <c r="Q273" i="3"/>
  <c r="P273" i="3"/>
  <c r="O273" i="3"/>
  <c r="N273" i="3"/>
  <c r="M273" i="3"/>
  <c r="L273" i="3"/>
  <c r="K273" i="3"/>
  <c r="J273" i="3"/>
  <c r="AW272" i="3"/>
  <c r="AA272" i="3"/>
  <c r="Z272" i="3"/>
  <c r="Y272" i="3"/>
  <c r="X272" i="3"/>
  <c r="W272" i="3"/>
  <c r="V272" i="3"/>
  <c r="U272" i="3"/>
  <c r="T272" i="3"/>
  <c r="S272" i="3"/>
  <c r="R272" i="3"/>
  <c r="Q272" i="3"/>
  <c r="P272" i="3"/>
  <c r="O272" i="3"/>
  <c r="N272" i="3"/>
  <c r="M272" i="3"/>
  <c r="L272" i="3"/>
  <c r="K272" i="3"/>
  <c r="J272" i="3"/>
  <c r="AW271" i="3"/>
  <c r="AA271" i="3"/>
  <c r="Z271" i="3"/>
  <c r="Y271" i="3"/>
  <c r="X271" i="3"/>
  <c r="W271" i="3"/>
  <c r="V271" i="3"/>
  <c r="U271" i="3"/>
  <c r="T271" i="3"/>
  <c r="S271" i="3"/>
  <c r="R271" i="3"/>
  <c r="Q271" i="3"/>
  <c r="P271" i="3"/>
  <c r="O271" i="3"/>
  <c r="N271" i="3"/>
  <c r="M271" i="3"/>
  <c r="L271" i="3"/>
  <c r="K271" i="3"/>
  <c r="J271" i="3"/>
  <c r="AW270" i="3"/>
  <c r="AA270" i="3"/>
  <c r="Z270" i="3"/>
  <c r="Y270" i="3"/>
  <c r="X270" i="3"/>
  <c r="W270" i="3"/>
  <c r="V270" i="3"/>
  <c r="U270" i="3"/>
  <c r="T270" i="3"/>
  <c r="S270" i="3"/>
  <c r="R270" i="3"/>
  <c r="Q270" i="3"/>
  <c r="P270" i="3"/>
  <c r="O270" i="3"/>
  <c r="N270" i="3"/>
  <c r="M270" i="3"/>
  <c r="L270" i="3"/>
  <c r="K270" i="3"/>
  <c r="J270" i="3"/>
  <c r="AW269" i="3"/>
  <c r="AA269" i="3"/>
  <c r="Z269" i="3"/>
  <c r="Y269" i="3"/>
  <c r="X269" i="3"/>
  <c r="W269" i="3"/>
  <c r="V269" i="3"/>
  <c r="U269" i="3"/>
  <c r="T269" i="3"/>
  <c r="S269" i="3"/>
  <c r="R269" i="3"/>
  <c r="N269" i="3"/>
  <c r="M269" i="3"/>
  <c r="L269" i="3"/>
  <c r="AW268" i="3"/>
  <c r="AA268" i="3"/>
  <c r="Z268" i="3"/>
  <c r="Y268" i="3"/>
  <c r="X268" i="3"/>
  <c r="W268" i="3"/>
  <c r="V268" i="3"/>
  <c r="U268" i="3"/>
  <c r="T268" i="3"/>
  <c r="S268" i="3"/>
  <c r="R268" i="3"/>
  <c r="P268" i="3"/>
  <c r="O268" i="3"/>
  <c r="N268" i="3"/>
  <c r="M268" i="3"/>
  <c r="AW267" i="3"/>
  <c r="AA267" i="3"/>
  <c r="Z267" i="3"/>
  <c r="Y267" i="3"/>
  <c r="X267" i="3"/>
  <c r="W267" i="3"/>
  <c r="V267" i="3"/>
  <c r="U267" i="3"/>
  <c r="T267" i="3"/>
  <c r="S267" i="3"/>
  <c r="R267" i="3"/>
  <c r="P267" i="3"/>
  <c r="O267" i="3"/>
  <c r="N267" i="3"/>
  <c r="M267" i="3"/>
  <c r="K267" i="3"/>
  <c r="J267" i="3"/>
  <c r="AW266" i="3"/>
  <c r="AA266" i="3"/>
  <c r="Z266" i="3"/>
  <c r="Y266" i="3"/>
  <c r="X266" i="3"/>
  <c r="W266" i="3"/>
  <c r="V266" i="3"/>
  <c r="U266" i="3"/>
  <c r="T266" i="3"/>
  <c r="S266" i="3"/>
  <c r="R266" i="3"/>
  <c r="Q266" i="3"/>
  <c r="P266" i="3"/>
  <c r="N266" i="3"/>
  <c r="M266" i="3"/>
  <c r="K266" i="3"/>
  <c r="J266" i="3"/>
  <c r="AW265" i="3"/>
  <c r="AA265" i="3"/>
  <c r="Z265" i="3"/>
  <c r="Y265" i="3"/>
  <c r="X265" i="3"/>
  <c r="W265" i="3"/>
  <c r="V265" i="3"/>
  <c r="U265" i="3"/>
  <c r="T265" i="3"/>
  <c r="S265" i="3"/>
  <c r="R265" i="3"/>
  <c r="Q265" i="3"/>
  <c r="P265" i="3"/>
  <c r="O265" i="3"/>
  <c r="N265" i="3"/>
  <c r="M265" i="3"/>
  <c r="L265" i="3"/>
  <c r="K265" i="3"/>
  <c r="J265" i="3"/>
  <c r="AW264" i="3"/>
  <c r="AA264" i="3"/>
  <c r="Z264" i="3"/>
  <c r="Y264" i="3"/>
  <c r="X264" i="3"/>
  <c r="W264" i="3"/>
  <c r="V264" i="3"/>
  <c r="U264" i="3"/>
  <c r="T264" i="3"/>
  <c r="S264" i="3"/>
  <c r="R264" i="3"/>
  <c r="Q264" i="3"/>
  <c r="P264" i="3"/>
  <c r="O264" i="3"/>
  <c r="N264" i="3"/>
  <c r="M264" i="3"/>
  <c r="L264" i="3"/>
  <c r="K264" i="3"/>
  <c r="J264" i="3"/>
  <c r="AW263" i="3"/>
  <c r="AA263" i="3"/>
  <c r="Z263" i="3"/>
  <c r="Y263" i="3"/>
  <c r="X263" i="3"/>
  <c r="W263" i="3"/>
  <c r="V263" i="3"/>
  <c r="U263" i="3"/>
  <c r="T263" i="3"/>
  <c r="S263" i="3"/>
  <c r="R263" i="3"/>
  <c r="Q263" i="3"/>
  <c r="P263" i="3"/>
  <c r="O263" i="3"/>
  <c r="N263" i="3"/>
  <c r="M263" i="3"/>
  <c r="L263" i="3"/>
  <c r="K263" i="3"/>
  <c r="J263" i="3"/>
  <c r="AW262" i="3"/>
  <c r="AA262" i="3"/>
  <c r="Z262" i="3"/>
  <c r="Y262" i="3"/>
  <c r="X262" i="3"/>
  <c r="W262" i="3"/>
  <c r="V262" i="3"/>
  <c r="U262" i="3"/>
  <c r="T262" i="3"/>
  <c r="S262" i="3"/>
  <c r="R262" i="3"/>
  <c r="Q262" i="3"/>
  <c r="P262" i="3"/>
  <c r="O262" i="3"/>
  <c r="N262" i="3"/>
  <c r="M262" i="3"/>
  <c r="L262" i="3"/>
  <c r="K262" i="3"/>
  <c r="J262" i="3"/>
  <c r="AW261" i="3"/>
  <c r="AA261" i="3"/>
  <c r="Z261" i="3"/>
  <c r="Y261" i="3"/>
  <c r="X261" i="3"/>
  <c r="W261" i="3"/>
  <c r="V261" i="3"/>
  <c r="U261" i="3"/>
  <c r="T261" i="3"/>
  <c r="S261" i="3"/>
  <c r="R261" i="3"/>
  <c r="Q261" i="3"/>
  <c r="P261" i="3"/>
  <c r="O261" i="3"/>
  <c r="N261" i="3"/>
  <c r="M261" i="3"/>
  <c r="AW260" i="3"/>
  <c r="AA260" i="3"/>
  <c r="Z260" i="3"/>
  <c r="Y260" i="3"/>
  <c r="X260" i="3"/>
  <c r="W260" i="3"/>
  <c r="V260" i="3"/>
  <c r="U260" i="3"/>
  <c r="T260" i="3"/>
  <c r="S260" i="3"/>
  <c r="R260" i="3"/>
  <c r="Q260" i="3"/>
  <c r="P260" i="3"/>
  <c r="O260" i="3"/>
  <c r="N260" i="3"/>
  <c r="M260" i="3"/>
  <c r="L260" i="3"/>
  <c r="K260" i="3"/>
  <c r="J260" i="3"/>
  <c r="AW259" i="3"/>
  <c r="AA259" i="3"/>
  <c r="Z259" i="3"/>
  <c r="Y259" i="3"/>
  <c r="X259" i="3"/>
  <c r="W259" i="3"/>
  <c r="V259" i="3"/>
  <c r="U259" i="3"/>
  <c r="T259" i="3"/>
  <c r="S259" i="3"/>
  <c r="R259" i="3"/>
  <c r="Q259" i="3"/>
  <c r="P259" i="3"/>
  <c r="O259" i="3"/>
  <c r="N259" i="3"/>
  <c r="M259" i="3"/>
  <c r="L259" i="3"/>
  <c r="K259" i="3"/>
  <c r="J259" i="3"/>
  <c r="AW258" i="3"/>
  <c r="AA258" i="3"/>
  <c r="Z258" i="3"/>
  <c r="Y258" i="3"/>
  <c r="X258" i="3"/>
  <c r="W258" i="3"/>
  <c r="V258" i="3"/>
  <c r="U258" i="3"/>
  <c r="T258" i="3"/>
  <c r="S258" i="3"/>
  <c r="R258" i="3"/>
  <c r="Q258" i="3"/>
  <c r="P258" i="3"/>
  <c r="O258" i="3"/>
  <c r="N258" i="3"/>
  <c r="M258" i="3"/>
  <c r="L258" i="3"/>
  <c r="K258" i="3"/>
  <c r="J258" i="3"/>
  <c r="AW257" i="3"/>
  <c r="AA257" i="3"/>
  <c r="Z257" i="3"/>
  <c r="Y257" i="3"/>
  <c r="X257" i="3"/>
  <c r="W257" i="3"/>
  <c r="V257" i="3"/>
  <c r="U257" i="3"/>
  <c r="T257" i="3"/>
  <c r="S257" i="3"/>
  <c r="R257" i="3"/>
  <c r="Q257" i="3"/>
  <c r="P257" i="3"/>
  <c r="O257" i="3"/>
  <c r="N257" i="3"/>
  <c r="M257" i="3"/>
  <c r="L257" i="3"/>
  <c r="K257" i="3"/>
  <c r="J257" i="3"/>
  <c r="AW256" i="3"/>
  <c r="AA256" i="3"/>
  <c r="Z256" i="3"/>
  <c r="Y256" i="3"/>
  <c r="X256" i="3"/>
  <c r="W256" i="3"/>
  <c r="V256" i="3"/>
  <c r="U256" i="3"/>
  <c r="T256" i="3"/>
  <c r="S256" i="3"/>
  <c r="R256" i="3"/>
  <c r="Q256" i="3"/>
  <c r="P256" i="3"/>
  <c r="O256" i="3"/>
  <c r="N256" i="3"/>
  <c r="M256" i="3"/>
  <c r="L256" i="3"/>
  <c r="K256" i="3"/>
  <c r="J256" i="3"/>
  <c r="AW255" i="3"/>
  <c r="AA255" i="3"/>
  <c r="Z255" i="3"/>
  <c r="Y255" i="3"/>
  <c r="X255" i="3"/>
  <c r="W255" i="3"/>
  <c r="V255" i="3"/>
  <c r="U255" i="3"/>
  <c r="T255" i="3"/>
  <c r="S255" i="3"/>
  <c r="R255" i="3"/>
  <c r="Q255" i="3"/>
  <c r="P255" i="3"/>
  <c r="O255" i="3"/>
  <c r="N255" i="3"/>
  <c r="M255" i="3"/>
  <c r="L255" i="3"/>
  <c r="K255" i="3"/>
  <c r="J255" i="3"/>
  <c r="AW254" i="3"/>
  <c r="AA254" i="3"/>
  <c r="Z254" i="3"/>
  <c r="Y254" i="3"/>
  <c r="X254" i="3"/>
  <c r="W254" i="3"/>
  <c r="V254" i="3"/>
  <c r="U254" i="3"/>
  <c r="T254" i="3"/>
  <c r="S254" i="3"/>
  <c r="R254" i="3"/>
  <c r="Q254" i="3"/>
  <c r="P254" i="3"/>
  <c r="O254" i="3"/>
  <c r="N254" i="3"/>
  <c r="M254" i="3"/>
  <c r="L254" i="3"/>
  <c r="K254" i="3"/>
  <c r="J254" i="3"/>
  <c r="AW253" i="3"/>
  <c r="AA253" i="3"/>
  <c r="Z253" i="3"/>
  <c r="Y253" i="3"/>
  <c r="X253" i="3"/>
  <c r="W253" i="3"/>
  <c r="V253" i="3"/>
  <c r="U253" i="3"/>
  <c r="T253" i="3"/>
  <c r="S253" i="3"/>
  <c r="R253" i="3"/>
  <c r="Q253" i="3"/>
  <c r="P253" i="3"/>
  <c r="O253" i="3"/>
  <c r="N253" i="3"/>
  <c r="M253" i="3"/>
  <c r="L253" i="3"/>
  <c r="K253" i="3"/>
  <c r="J253" i="3"/>
  <c r="AW252" i="3"/>
  <c r="AA252" i="3"/>
  <c r="Z252" i="3"/>
  <c r="Y252" i="3"/>
  <c r="X252" i="3"/>
  <c r="W252" i="3"/>
  <c r="V252" i="3"/>
  <c r="U252" i="3"/>
  <c r="T252" i="3"/>
  <c r="S252" i="3"/>
  <c r="R252" i="3"/>
  <c r="Q252" i="3"/>
  <c r="P252" i="3"/>
  <c r="O252" i="3"/>
  <c r="N252" i="3"/>
  <c r="M252" i="3"/>
  <c r="L252" i="3"/>
  <c r="K252" i="3"/>
  <c r="J252" i="3"/>
  <c r="AW251" i="3"/>
  <c r="AA251" i="3"/>
  <c r="Z251" i="3"/>
  <c r="Y251" i="3"/>
  <c r="X251" i="3"/>
  <c r="W251" i="3"/>
  <c r="V251" i="3"/>
  <c r="U251" i="3"/>
  <c r="T251" i="3"/>
  <c r="S251" i="3"/>
  <c r="R251" i="3"/>
  <c r="Q251" i="3"/>
  <c r="P251" i="3"/>
  <c r="O251" i="3"/>
  <c r="N251" i="3"/>
  <c r="M251" i="3"/>
  <c r="L251" i="3"/>
  <c r="K251" i="3"/>
  <c r="J251" i="3"/>
  <c r="AW250" i="3"/>
  <c r="AA250" i="3"/>
  <c r="Z250" i="3"/>
  <c r="Y250" i="3"/>
  <c r="X250" i="3"/>
  <c r="W250" i="3"/>
  <c r="V250" i="3"/>
  <c r="U250" i="3"/>
  <c r="T250" i="3"/>
  <c r="S250" i="3"/>
  <c r="R250" i="3"/>
  <c r="Q250" i="3"/>
  <c r="P250" i="3"/>
  <c r="O250" i="3"/>
  <c r="N250" i="3"/>
  <c r="M250" i="3"/>
  <c r="L250" i="3"/>
  <c r="K250" i="3"/>
  <c r="J250" i="3"/>
  <c r="AW249" i="3"/>
  <c r="AA249" i="3"/>
  <c r="Z249" i="3"/>
  <c r="Y249" i="3"/>
  <c r="X249" i="3"/>
  <c r="W249" i="3"/>
  <c r="V249" i="3"/>
  <c r="U249" i="3"/>
  <c r="T249" i="3"/>
  <c r="S249" i="3"/>
  <c r="R249" i="3"/>
  <c r="Q249" i="3"/>
  <c r="P249" i="3"/>
  <c r="O249" i="3"/>
  <c r="N249" i="3"/>
  <c r="M249" i="3"/>
  <c r="L249" i="3"/>
  <c r="K249" i="3"/>
  <c r="J249" i="3"/>
  <c r="AW248" i="3"/>
  <c r="AA248" i="3"/>
  <c r="Z248" i="3"/>
  <c r="Y248" i="3"/>
  <c r="X248" i="3"/>
  <c r="W248" i="3"/>
  <c r="V248" i="3"/>
  <c r="U248" i="3"/>
  <c r="T248" i="3"/>
  <c r="S248" i="3"/>
  <c r="R248" i="3"/>
  <c r="Q248" i="3"/>
  <c r="P248" i="3"/>
  <c r="O248" i="3"/>
  <c r="N248" i="3"/>
  <c r="M248" i="3"/>
  <c r="L248" i="3"/>
  <c r="K248" i="3"/>
  <c r="J248" i="3"/>
  <c r="AW247" i="3"/>
  <c r="AA247" i="3"/>
  <c r="Z247" i="3"/>
  <c r="Y247" i="3"/>
  <c r="X247" i="3"/>
  <c r="W247" i="3"/>
  <c r="V247" i="3"/>
  <c r="U247" i="3"/>
  <c r="T247" i="3"/>
  <c r="S247" i="3"/>
  <c r="R247" i="3"/>
  <c r="Q247" i="3"/>
  <c r="P247" i="3"/>
  <c r="O247" i="3"/>
  <c r="N247" i="3"/>
  <c r="M247" i="3"/>
  <c r="L247" i="3"/>
  <c r="K247" i="3"/>
  <c r="J247" i="3"/>
  <c r="AW246" i="3"/>
  <c r="AA246" i="3"/>
  <c r="Z246" i="3"/>
  <c r="Y246" i="3"/>
  <c r="X246" i="3"/>
  <c r="W246" i="3"/>
  <c r="V246" i="3"/>
  <c r="U246" i="3"/>
  <c r="T246" i="3"/>
  <c r="S246" i="3"/>
  <c r="R246" i="3"/>
  <c r="Q246" i="3"/>
  <c r="P246" i="3"/>
  <c r="O246" i="3"/>
  <c r="N246" i="3"/>
  <c r="M246" i="3"/>
  <c r="L246" i="3"/>
  <c r="K246" i="3"/>
  <c r="J246" i="3"/>
  <c r="AW245" i="3"/>
  <c r="AA245" i="3"/>
  <c r="Z245" i="3"/>
  <c r="Y245" i="3"/>
  <c r="X245" i="3"/>
  <c r="W245" i="3"/>
  <c r="V245" i="3"/>
  <c r="U245" i="3"/>
  <c r="T245" i="3"/>
  <c r="S245" i="3"/>
  <c r="R245" i="3"/>
  <c r="Q245" i="3"/>
  <c r="P245" i="3"/>
  <c r="O245" i="3"/>
  <c r="N245" i="3"/>
  <c r="M245" i="3"/>
  <c r="L245" i="3"/>
  <c r="K245" i="3"/>
  <c r="J245" i="3"/>
  <c r="AW244" i="3"/>
  <c r="AA244" i="3"/>
  <c r="Z244" i="3"/>
  <c r="Y244" i="3"/>
  <c r="X244" i="3"/>
  <c r="W244" i="3"/>
  <c r="V244" i="3"/>
  <c r="U244" i="3"/>
  <c r="T244" i="3"/>
  <c r="S244" i="3"/>
  <c r="R244" i="3"/>
  <c r="Q244" i="3"/>
  <c r="P244" i="3"/>
  <c r="O244" i="3"/>
  <c r="N244" i="3"/>
  <c r="M244" i="3"/>
  <c r="L244" i="3"/>
  <c r="K244" i="3"/>
  <c r="J244" i="3"/>
  <c r="AW243" i="3"/>
  <c r="AA243" i="3"/>
  <c r="Z243" i="3"/>
  <c r="Y243" i="3"/>
  <c r="X243" i="3"/>
  <c r="W243" i="3"/>
  <c r="V243" i="3"/>
  <c r="U243" i="3"/>
  <c r="T243" i="3"/>
  <c r="S243" i="3"/>
  <c r="R243" i="3"/>
  <c r="Q243" i="3"/>
  <c r="P243" i="3"/>
  <c r="O243" i="3"/>
  <c r="N243" i="3"/>
  <c r="M243" i="3"/>
  <c r="L243" i="3"/>
  <c r="K243" i="3"/>
  <c r="J243" i="3"/>
  <c r="AW242" i="3"/>
  <c r="AA242" i="3"/>
  <c r="Z242" i="3"/>
  <c r="Y242" i="3"/>
  <c r="X242" i="3"/>
  <c r="W242" i="3"/>
  <c r="V242" i="3"/>
  <c r="U242" i="3"/>
  <c r="T242" i="3"/>
  <c r="S242" i="3"/>
  <c r="R242" i="3"/>
  <c r="Q242" i="3"/>
  <c r="P242" i="3"/>
  <c r="O242" i="3"/>
  <c r="N242" i="3"/>
  <c r="M242" i="3"/>
  <c r="L242" i="3"/>
  <c r="K242" i="3"/>
  <c r="J242" i="3"/>
  <c r="AW241" i="3"/>
  <c r="AA241" i="3"/>
  <c r="Z241" i="3"/>
  <c r="Y241" i="3"/>
  <c r="X241" i="3"/>
  <c r="W241" i="3"/>
  <c r="V241" i="3"/>
  <c r="U241" i="3"/>
  <c r="T241" i="3"/>
  <c r="S241" i="3"/>
  <c r="R241" i="3"/>
  <c r="Q241" i="3"/>
  <c r="P241" i="3"/>
  <c r="O241" i="3"/>
  <c r="N241" i="3"/>
  <c r="M241" i="3"/>
  <c r="L241" i="3"/>
  <c r="K241" i="3"/>
  <c r="J241" i="3"/>
  <c r="AW240" i="3"/>
  <c r="AA240" i="3"/>
  <c r="Z240" i="3"/>
  <c r="Y240" i="3"/>
  <c r="X240" i="3"/>
  <c r="W240" i="3"/>
  <c r="V240" i="3"/>
  <c r="U240" i="3"/>
  <c r="T240" i="3"/>
  <c r="S240" i="3"/>
  <c r="R240" i="3"/>
  <c r="Q240" i="3"/>
  <c r="P240" i="3"/>
  <c r="O240" i="3"/>
  <c r="N240" i="3"/>
  <c r="M240" i="3"/>
  <c r="L240" i="3"/>
  <c r="K240" i="3"/>
  <c r="J240" i="3"/>
  <c r="AW239" i="3"/>
  <c r="AA239" i="3"/>
  <c r="Z239" i="3"/>
  <c r="Y239" i="3"/>
  <c r="X239" i="3"/>
  <c r="W239" i="3"/>
  <c r="V239" i="3"/>
  <c r="U239" i="3"/>
  <c r="T239" i="3"/>
  <c r="S239" i="3"/>
  <c r="R239" i="3"/>
  <c r="Q239" i="3"/>
  <c r="P239" i="3"/>
  <c r="O239" i="3"/>
  <c r="N239" i="3"/>
  <c r="M239" i="3"/>
  <c r="L239" i="3"/>
  <c r="K239" i="3"/>
  <c r="J239" i="3"/>
  <c r="AW238" i="3"/>
  <c r="AA238" i="3"/>
  <c r="Z238" i="3"/>
  <c r="Y238" i="3"/>
  <c r="X238" i="3"/>
  <c r="W238" i="3"/>
  <c r="V238" i="3"/>
  <c r="U238" i="3"/>
  <c r="T238" i="3"/>
  <c r="S238" i="3"/>
  <c r="R238" i="3"/>
  <c r="Q238" i="3"/>
  <c r="P238" i="3"/>
  <c r="O238" i="3"/>
  <c r="N238" i="3"/>
  <c r="M238" i="3"/>
  <c r="L238" i="3"/>
  <c r="K238" i="3"/>
  <c r="J238" i="3"/>
  <c r="AW237" i="3"/>
  <c r="AA237" i="3"/>
  <c r="Z237" i="3"/>
  <c r="Y237" i="3"/>
  <c r="X237" i="3"/>
  <c r="W237" i="3"/>
  <c r="V237" i="3"/>
  <c r="U237" i="3"/>
  <c r="T237" i="3"/>
  <c r="S237" i="3"/>
  <c r="R237" i="3"/>
  <c r="Q237" i="3"/>
  <c r="P237" i="3"/>
  <c r="O237" i="3"/>
  <c r="N237" i="3"/>
  <c r="M237" i="3"/>
  <c r="L237" i="3"/>
  <c r="K237" i="3"/>
  <c r="J237" i="3"/>
  <c r="AW236" i="3"/>
  <c r="AA236" i="3"/>
  <c r="Z236" i="3"/>
  <c r="Y236" i="3"/>
  <c r="X236" i="3"/>
  <c r="W236" i="3"/>
  <c r="V236" i="3"/>
  <c r="U236" i="3"/>
  <c r="T236" i="3"/>
  <c r="S236" i="3"/>
  <c r="R236" i="3"/>
  <c r="Q236" i="3"/>
  <c r="P236" i="3"/>
  <c r="O236" i="3"/>
  <c r="N236" i="3"/>
  <c r="M236" i="3"/>
  <c r="L236" i="3"/>
  <c r="K236" i="3"/>
  <c r="J236" i="3"/>
  <c r="AW235" i="3"/>
  <c r="AA235" i="3"/>
  <c r="Z235" i="3"/>
  <c r="Y235" i="3"/>
  <c r="X235" i="3"/>
  <c r="W235" i="3"/>
  <c r="V235" i="3"/>
  <c r="U235" i="3"/>
  <c r="T235" i="3"/>
  <c r="S235" i="3"/>
  <c r="R235" i="3"/>
  <c r="Q235" i="3"/>
  <c r="P235" i="3"/>
  <c r="O235" i="3"/>
  <c r="N235" i="3"/>
  <c r="M235" i="3"/>
  <c r="L235" i="3"/>
  <c r="K235" i="3"/>
  <c r="J235" i="3"/>
  <c r="AW234" i="3"/>
  <c r="AA234" i="3"/>
  <c r="Z234" i="3"/>
  <c r="Y234" i="3"/>
  <c r="X234" i="3"/>
  <c r="W234" i="3"/>
  <c r="V234" i="3"/>
  <c r="U234" i="3"/>
  <c r="T234" i="3"/>
  <c r="S234" i="3"/>
  <c r="R234" i="3"/>
  <c r="Q234" i="3"/>
  <c r="P234" i="3"/>
  <c r="O234" i="3"/>
  <c r="N234" i="3"/>
  <c r="M234" i="3"/>
  <c r="L234" i="3"/>
  <c r="K234" i="3"/>
  <c r="J234" i="3"/>
  <c r="AW233" i="3"/>
  <c r="AA233" i="3"/>
  <c r="Z233" i="3"/>
  <c r="Y233" i="3"/>
  <c r="X233" i="3"/>
  <c r="W233" i="3"/>
  <c r="V233" i="3"/>
  <c r="U233" i="3"/>
  <c r="T233" i="3"/>
  <c r="S233" i="3"/>
  <c r="R233" i="3"/>
  <c r="Q233" i="3"/>
  <c r="P233" i="3"/>
  <c r="O233" i="3"/>
  <c r="N233" i="3"/>
  <c r="M233" i="3"/>
  <c r="L233" i="3"/>
  <c r="K233" i="3"/>
  <c r="J233" i="3"/>
  <c r="AW232" i="3"/>
  <c r="AA232" i="3"/>
  <c r="Z232" i="3"/>
  <c r="Y232" i="3"/>
  <c r="X232" i="3"/>
  <c r="W232" i="3"/>
  <c r="V232" i="3"/>
  <c r="U232" i="3"/>
  <c r="T232" i="3"/>
  <c r="S232" i="3"/>
  <c r="R232" i="3"/>
  <c r="Q232" i="3"/>
  <c r="P232" i="3"/>
  <c r="O232" i="3"/>
  <c r="N232" i="3"/>
  <c r="M232" i="3"/>
  <c r="L232" i="3"/>
  <c r="K232" i="3"/>
  <c r="J232" i="3"/>
  <c r="AW231" i="3"/>
  <c r="AA231" i="3"/>
  <c r="Z231" i="3"/>
  <c r="Y231" i="3"/>
  <c r="X231" i="3"/>
  <c r="W231" i="3"/>
  <c r="V231" i="3"/>
  <c r="U231" i="3"/>
  <c r="T231" i="3"/>
  <c r="S231" i="3"/>
  <c r="R231" i="3"/>
  <c r="Q231" i="3"/>
  <c r="P231" i="3"/>
  <c r="O231" i="3"/>
  <c r="N231" i="3"/>
  <c r="M231" i="3"/>
  <c r="L231" i="3"/>
  <c r="K231" i="3"/>
  <c r="J231" i="3"/>
  <c r="AW230" i="3"/>
  <c r="AA230" i="3"/>
  <c r="Z230" i="3"/>
  <c r="Y230" i="3"/>
  <c r="X230" i="3"/>
  <c r="W230" i="3"/>
  <c r="V230" i="3"/>
  <c r="U230" i="3"/>
  <c r="T230" i="3"/>
  <c r="S230" i="3"/>
  <c r="R230" i="3"/>
  <c r="Q230" i="3"/>
  <c r="P230" i="3"/>
  <c r="O230" i="3"/>
  <c r="N230" i="3"/>
  <c r="M230" i="3"/>
  <c r="L230" i="3"/>
  <c r="K230" i="3"/>
  <c r="J230" i="3"/>
  <c r="AW229" i="3"/>
  <c r="AA229" i="3"/>
  <c r="Z229" i="3"/>
  <c r="Y229" i="3"/>
  <c r="X229" i="3"/>
  <c r="W229" i="3"/>
  <c r="V229" i="3"/>
  <c r="U229" i="3"/>
  <c r="T229" i="3"/>
  <c r="S229" i="3"/>
  <c r="R229" i="3"/>
  <c r="Q229" i="3"/>
  <c r="P229" i="3"/>
  <c r="O229" i="3"/>
  <c r="N229" i="3"/>
  <c r="M229" i="3"/>
  <c r="L229" i="3"/>
  <c r="K229" i="3"/>
  <c r="J229" i="3"/>
  <c r="AW228" i="3"/>
  <c r="AA228" i="3"/>
  <c r="Z228" i="3"/>
  <c r="Y228" i="3"/>
  <c r="X228" i="3"/>
  <c r="W228" i="3"/>
  <c r="V228" i="3"/>
  <c r="U228" i="3"/>
  <c r="T228" i="3"/>
  <c r="S228" i="3"/>
  <c r="R228" i="3"/>
  <c r="Q228" i="3"/>
  <c r="P228" i="3"/>
  <c r="O228" i="3"/>
  <c r="N228" i="3"/>
  <c r="M228" i="3"/>
  <c r="L228" i="3"/>
  <c r="K228" i="3"/>
  <c r="J228" i="3"/>
  <c r="AW227" i="3"/>
  <c r="AA227" i="3"/>
  <c r="Z227" i="3"/>
  <c r="Y227" i="3"/>
  <c r="X227" i="3"/>
  <c r="W227" i="3"/>
  <c r="V227" i="3"/>
  <c r="U227" i="3"/>
  <c r="T227" i="3"/>
  <c r="S227" i="3"/>
  <c r="R227" i="3"/>
  <c r="Q227" i="3"/>
  <c r="P227" i="3"/>
  <c r="O227" i="3"/>
  <c r="N227" i="3"/>
  <c r="M227" i="3"/>
  <c r="L227" i="3"/>
  <c r="K227" i="3"/>
  <c r="J227" i="3"/>
  <c r="AW226" i="3"/>
  <c r="AA226" i="3"/>
  <c r="Z226" i="3"/>
  <c r="Y226" i="3"/>
  <c r="X226" i="3"/>
  <c r="W226" i="3"/>
  <c r="V226" i="3"/>
  <c r="U226" i="3"/>
  <c r="T226" i="3"/>
  <c r="S226" i="3"/>
  <c r="R226" i="3"/>
  <c r="N226" i="3"/>
  <c r="M226" i="3"/>
  <c r="J226" i="3"/>
  <c r="AW225" i="3"/>
  <c r="AA225" i="3"/>
  <c r="Z225" i="3"/>
  <c r="Y225" i="3"/>
  <c r="X225" i="3"/>
  <c r="W225" i="3"/>
  <c r="V225" i="3"/>
  <c r="U225" i="3"/>
  <c r="T225" i="3"/>
  <c r="S225" i="3"/>
  <c r="R225" i="3"/>
  <c r="Q225" i="3"/>
  <c r="P225" i="3"/>
  <c r="O225" i="3"/>
  <c r="N225" i="3"/>
  <c r="M225" i="3"/>
  <c r="AW224" i="3"/>
  <c r="AA224" i="3"/>
  <c r="Z224" i="3"/>
  <c r="Y224" i="3"/>
  <c r="X224" i="3"/>
  <c r="W224" i="3"/>
  <c r="V224" i="3"/>
  <c r="U224" i="3"/>
  <c r="T224" i="3"/>
  <c r="S224" i="3"/>
  <c r="R224" i="3"/>
  <c r="Q224" i="3"/>
  <c r="P224" i="3"/>
  <c r="O224" i="3"/>
  <c r="N224" i="3"/>
  <c r="M224" i="3"/>
  <c r="L224" i="3"/>
  <c r="K224" i="3"/>
  <c r="J224" i="3"/>
  <c r="AW223" i="3"/>
  <c r="AA223" i="3"/>
  <c r="Z223" i="3"/>
  <c r="Y223" i="3"/>
  <c r="X223" i="3"/>
  <c r="W223" i="3"/>
  <c r="V223" i="3"/>
  <c r="U223" i="3"/>
  <c r="T223" i="3"/>
  <c r="S223" i="3"/>
  <c r="R223" i="3"/>
  <c r="N223" i="3"/>
  <c r="M223" i="3"/>
  <c r="L223" i="3"/>
  <c r="K223" i="3"/>
  <c r="J223" i="3"/>
  <c r="AW222" i="3"/>
  <c r="AA222" i="3"/>
  <c r="Z222" i="3"/>
  <c r="Y222" i="3"/>
  <c r="X222" i="3"/>
  <c r="W222" i="3"/>
  <c r="V222" i="3"/>
  <c r="U222" i="3"/>
  <c r="T222" i="3"/>
  <c r="S222" i="3"/>
  <c r="R222" i="3"/>
  <c r="Q222" i="3"/>
  <c r="P222" i="3"/>
  <c r="O222" i="3"/>
  <c r="N222" i="3"/>
  <c r="M222" i="3"/>
  <c r="L222" i="3"/>
  <c r="K222" i="3"/>
  <c r="J222" i="3"/>
  <c r="AW221" i="3"/>
  <c r="AA221" i="3"/>
  <c r="Z221" i="3"/>
  <c r="Y221" i="3"/>
  <c r="X221" i="3"/>
  <c r="W221" i="3"/>
  <c r="V221" i="3"/>
  <c r="U221" i="3"/>
  <c r="T221" i="3"/>
  <c r="S221" i="3"/>
  <c r="R221" i="3"/>
  <c r="Q221" i="3"/>
  <c r="P221" i="3"/>
  <c r="O221" i="3"/>
  <c r="N221" i="3"/>
  <c r="M221" i="3"/>
  <c r="L221" i="3"/>
  <c r="K221" i="3"/>
  <c r="J221" i="3"/>
  <c r="AW220" i="3"/>
  <c r="AA220" i="3"/>
  <c r="Z220" i="3"/>
  <c r="Y220" i="3"/>
  <c r="X220" i="3"/>
  <c r="W220" i="3"/>
  <c r="V220" i="3"/>
  <c r="U220" i="3"/>
  <c r="T220" i="3"/>
  <c r="S220" i="3"/>
  <c r="R220" i="3"/>
  <c r="Q220" i="3"/>
  <c r="P220" i="3"/>
  <c r="O220" i="3"/>
  <c r="N220" i="3"/>
  <c r="M220" i="3"/>
  <c r="L220" i="3"/>
  <c r="K220" i="3"/>
  <c r="J220" i="3"/>
  <c r="AW219" i="3"/>
  <c r="AA219" i="3"/>
  <c r="Z219" i="3"/>
  <c r="Y219" i="3"/>
  <c r="X219" i="3"/>
  <c r="W219" i="3"/>
  <c r="V219" i="3"/>
  <c r="U219" i="3"/>
  <c r="T219" i="3"/>
  <c r="S219" i="3"/>
  <c r="R219" i="3"/>
  <c r="N219" i="3"/>
  <c r="M219" i="3"/>
  <c r="AW218" i="3"/>
  <c r="AA218" i="3"/>
  <c r="Z218" i="3"/>
  <c r="Y218" i="3"/>
  <c r="X218" i="3"/>
  <c r="W218" i="3"/>
  <c r="V218" i="3"/>
  <c r="U218" i="3"/>
  <c r="T218" i="3"/>
  <c r="S218" i="3"/>
  <c r="R218" i="3"/>
  <c r="Q218" i="3"/>
  <c r="P218" i="3"/>
  <c r="N218" i="3"/>
  <c r="M218" i="3"/>
  <c r="AW217" i="3"/>
  <c r="AA217" i="3"/>
  <c r="Z217" i="3"/>
  <c r="Y217" i="3"/>
  <c r="X217" i="3"/>
  <c r="W217" i="3"/>
  <c r="V217" i="3"/>
  <c r="U217" i="3"/>
  <c r="T217" i="3"/>
  <c r="S217" i="3"/>
  <c r="R217" i="3"/>
  <c r="Q217" i="3"/>
  <c r="P217" i="3"/>
  <c r="O217" i="3"/>
  <c r="N217" i="3"/>
  <c r="M217" i="3"/>
  <c r="L217" i="3"/>
  <c r="K217" i="3"/>
  <c r="J217" i="3"/>
  <c r="AW216" i="3"/>
  <c r="AA216" i="3"/>
  <c r="Z216" i="3"/>
  <c r="Y216" i="3"/>
  <c r="X216" i="3"/>
  <c r="W216" i="3"/>
  <c r="V216" i="3"/>
  <c r="U216" i="3"/>
  <c r="T216" i="3"/>
  <c r="S216" i="3"/>
  <c r="R216" i="3"/>
  <c r="Q216" i="3"/>
  <c r="P216" i="3"/>
  <c r="O216" i="3"/>
  <c r="N216" i="3"/>
  <c r="M216" i="3"/>
  <c r="L216" i="3"/>
  <c r="K216" i="3"/>
  <c r="J216" i="3"/>
  <c r="AW215" i="3"/>
  <c r="AA215" i="3"/>
  <c r="Z215" i="3"/>
  <c r="Y215" i="3"/>
  <c r="X215" i="3"/>
  <c r="W215" i="3"/>
  <c r="V215" i="3"/>
  <c r="U215" i="3"/>
  <c r="T215" i="3"/>
  <c r="S215" i="3"/>
  <c r="R215" i="3"/>
  <c r="Q215" i="3"/>
  <c r="P215" i="3"/>
  <c r="O215" i="3"/>
  <c r="N215" i="3"/>
  <c r="M215" i="3"/>
  <c r="L215" i="3"/>
  <c r="K215" i="3"/>
  <c r="J215" i="3"/>
  <c r="AW214" i="3"/>
  <c r="AA214" i="3"/>
  <c r="Z214" i="3"/>
  <c r="Y214" i="3"/>
  <c r="X214" i="3"/>
  <c r="W214" i="3"/>
  <c r="V214" i="3"/>
  <c r="U214" i="3"/>
  <c r="T214" i="3"/>
  <c r="S214" i="3"/>
  <c r="R214" i="3"/>
  <c r="Q214" i="3"/>
  <c r="P214" i="3"/>
  <c r="O214" i="3"/>
  <c r="N214" i="3"/>
  <c r="M214" i="3"/>
  <c r="L214" i="3"/>
  <c r="K214" i="3"/>
  <c r="J214" i="3"/>
  <c r="AW213" i="3"/>
  <c r="AL213" i="3"/>
  <c r="AK213" i="3"/>
  <c r="AJ213" i="3"/>
  <c r="AI213" i="3"/>
  <c r="AH213" i="3"/>
  <c r="AG213" i="3"/>
  <c r="AF213" i="3"/>
  <c r="AE213" i="3"/>
  <c r="AD213" i="3"/>
  <c r="AC213" i="3"/>
  <c r="AB213" i="3"/>
  <c r="AA213" i="3"/>
  <c r="Z213" i="3"/>
  <c r="Y213" i="3"/>
  <c r="X213" i="3"/>
  <c r="W213" i="3"/>
  <c r="V213" i="3"/>
  <c r="U213" i="3"/>
  <c r="T213" i="3"/>
  <c r="S213" i="3"/>
  <c r="R213" i="3"/>
  <c r="Q213" i="3"/>
  <c r="P213" i="3"/>
  <c r="O213" i="3"/>
  <c r="N213" i="3"/>
  <c r="M213" i="3"/>
  <c r="L213" i="3"/>
  <c r="K213" i="3"/>
  <c r="J213" i="3"/>
  <c r="AW212" i="3"/>
  <c r="AL212" i="3"/>
  <c r="AK212" i="3"/>
  <c r="AJ212" i="3"/>
  <c r="AI212" i="3"/>
  <c r="AH212" i="3"/>
  <c r="AG212" i="3"/>
  <c r="AF212" i="3"/>
  <c r="AE212" i="3"/>
  <c r="AD212" i="3"/>
  <c r="AC212" i="3"/>
  <c r="AB212" i="3"/>
  <c r="AA212" i="3"/>
  <c r="Z212" i="3"/>
  <c r="Y212" i="3"/>
  <c r="X212" i="3"/>
  <c r="W212" i="3"/>
  <c r="V212" i="3"/>
  <c r="U212" i="3"/>
  <c r="T212" i="3"/>
  <c r="S212" i="3"/>
  <c r="R212" i="3"/>
  <c r="Q212" i="3"/>
  <c r="P212" i="3"/>
  <c r="O212" i="3"/>
  <c r="N212" i="3"/>
  <c r="M212" i="3"/>
  <c r="L212" i="3"/>
  <c r="K212" i="3"/>
  <c r="J212" i="3"/>
  <c r="AW211" i="3"/>
  <c r="AL211" i="3"/>
  <c r="AK211" i="3"/>
  <c r="AJ211" i="3"/>
  <c r="AI211" i="3"/>
  <c r="AH211" i="3"/>
  <c r="AG211" i="3"/>
  <c r="AF211" i="3"/>
  <c r="AE211" i="3"/>
  <c r="AD211" i="3"/>
  <c r="AC211" i="3"/>
  <c r="AB211" i="3"/>
  <c r="AA211" i="3"/>
  <c r="Z211" i="3"/>
  <c r="Y211" i="3"/>
  <c r="X211" i="3"/>
  <c r="W211" i="3"/>
  <c r="V211" i="3"/>
  <c r="U211" i="3"/>
  <c r="T211" i="3"/>
  <c r="S211" i="3"/>
  <c r="R211" i="3"/>
  <c r="Q211" i="3"/>
  <c r="P211" i="3"/>
  <c r="O211" i="3"/>
  <c r="N211" i="3"/>
  <c r="M211" i="3"/>
  <c r="L211" i="3"/>
  <c r="K211" i="3"/>
  <c r="J211" i="3"/>
  <c r="AW210" i="3"/>
  <c r="AL210" i="3"/>
  <c r="AK210" i="3"/>
  <c r="AJ210" i="3"/>
  <c r="AI210" i="3"/>
  <c r="AH210" i="3"/>
  <c r="AG210" i="3"/>
  <c r="AF210" i="3"/>
  <c r="AE210" i="3"/>
  <c r="AD210" i="3"/>
  <c r="AC210" i="3"/>
  <c r="AB210" i="3"/>
  <c r="AA210" i="3"/>
  <c r="Z210" i="3"/>
  <c r="Y210" i="3"/>
  <c r="X210" i="3"/>
  <c r="W210" i="3"/>
  <c r="V210" i="3"/>
  <c r="U210" i="3"/>
  <c r="T210" i="3"/>
  <c r="S210" i="3"/>
  <c r="R210" i="3"/>
  <c r="Q210" i="3"/>
  <c r="P210" i="3"/>
  <c r="O210" i="3"/>
  <c r="N210" i="3"/>
  <c r="M210" i="3"/>
  <c r="L210" i="3"/>
  <c r="K210" i="3"/>
  <c r="J210" i="3"/>
  <c r="AW209" i="3"/>
  <c r="AL209" i="3"/>
  <c r="AK209" i="3"/>
  <c r="AJ209" i="3"/>
  <c r="AI209" i="3"/>
  <c r="AH209" i="3"/>
  <c r="AG209" i="3"/>
  <c r="AF209" i="3"/>
  <c r="AE209" i="3"/>
  <c r="AD209" i="3"/>
  <c r="AC209" i="3"/>
  <c r="AB209" i="3"/>
  <c r="AA209" i="3"/>
  <c r="Z209" i="3"/>
  <c r="Y209" i="3"/>
  <c r="X209" i="3"/>
  <c r="W209" i="3"/>
  <c r="V209" i="3"/>
  <c r="U209" i="3"/>
  <c r="T209" i="3"/>
  <c r="S209" i="3"/>
  <c r="R209" i="3"/>
  <c r="Q209" i="3"/>
  <c r="P209" i="3"/>
  <c r="O209" i="3"/>
  <c r="N209" i="3"/>
  <c r="M209" i="3"/>
  <c r="L209" i="3"/>
  <c r="K209" i="3"/>
  <c r="J209" i="3"/>
  <c r="AW208" i="3"/>
  <c r="AL208" i="3"/>
  <c r="AK208" i="3"/>
  <c r="AJ208" i="3"/>
  <c r="AI208" i="3"/>
  <c r="AH208" i="3"/>
  <c r="AG208" i="3"/>
  <c r="AF208" i="3"/>
  <c r="AE208" i="3"/>
  <c r="AD208" i="3"/>
  <c r="AC208" i="3"/>
  <c r="AB208" i="3"/>
  <c r="AA208" i="3"/>
  <c r="Z208" i="3"/>
  <c r="Y208" i="3"/>
  <c r="X208" i="3"/>
  <c r="W208" i="3"/>
  <c r="V208" i="3"/>
  <c r="U208" i="3"/>
  <c r="T208" i="3"/>
  <c r="S208" i="3"/>
  <c r="R208" i="3"/>
  <c r="Q208" i="3"/>
  <c r="P208" i="3"/>
  <c r="O208" i="3"/>
  <c r="N208" i="3"/>
  <c r="M208" i="3"/>
  <c r="L208" i="3"/>
  <c r="K208" i="3"/>
  <c r="J208" i="3"/>
  <c r="AW207" i="3"/>
  <c r="AA207" i="3"/>
  <c r="Z207" i="3"/>
  <c r="Y207" i="3"/>
  <c r="X207" i="3"/>
  <c r="W207" i="3"/>
  <c r="V207" i="3"/>
  <c r="U207" i="3"/>
  <c r="T207" i="3"/>
  <c r="S207" i="3"/>
  <c r="R207" i="3"/>
  <c r="Q207" i="3"/>
  <c r="P207" i="3"/>
  <c r="O207" i="3"/>
  <c r="N207" i="3"/>
  <c r="M207" i="3"/>
  <c r="L207" i="3"/>
  <c r="K207" i="3"/>
  <c r="J207" i="3"/>
  <c r="AW206" i="3"/>
  <c r="AA206" i="3"/>
  <c r="Z206" i="3"/>
  <c r="Y206" i="3"/>
  <c r="X206" i="3"/>
  <c r="W206" i="3"/>
  <c r="V206" i="3"/>
  <c r="U206" i="3"/>
  <c r="T206" i="3"/>
  <c r="S206" i="3"/>
  <c r="R206" i="3"/>
  <c r="Q206" i="3"/>
  <c r="P206" i="3"/>
  <c r="O206" i="3"/>
  <c r="N206" i="3"/>
  <c r="M206" i="3"/>
  <c r="L206" i="3"/>
  <c r="K206" i="3"/>
  <c r="J206" i="3"/>
  <c r="AW205" i="3"/>
  <c r="AA205" i="3"/>
  <c r="Z205" i="3"/>
  <c r="Y205" i="3"/>
  <c r="X205" i="3"/>
  <c r="W205" i="3"/>
  <c r="V205" i="3"/>
  <c r="U205" i="3"/>
  <c r="T205" i="3"/>
  <c r="S205" i="3"/>
  <c r="R205" i="3"/>
  <c r="Q205" i="3"/>
  <c r="P205" i="3"/>
  <c r="O205" i="3"/>
  <c r="N205" i="3"/>
  <c r="M205" i="3"/>
  <c r="L205" i="3"/>
  <c r="K205" i="3"/>
  <c r="J205" i="3"/>
  <c r="AW204" i="3"/>
  <c r="AA204" i="3"/>
  <c r="Z204" i="3"/>
  <c r="Y204" i="3"/>
  <c r="X204" i="3"/>
  <c r="W204" i="3"/>
  <c r="V204" i="3"/>
  <c r="U204" i="3"/>
  <c r="T204" i="3"/>
  <c r="S204" i="3"/>
  <c r="R204" i="3"/>
  <c r="Q204" i="3"/>
  <c r="P204" i="3"/>
  <c r="O204" i="3"/>
  <c r="N204" i="3"/>
  <c r="M204" i="3"/>
  <c r="L204" i="3"/>
  <c r="K204" i="3"/>
  <c r="J204" i="3"/>
  <c r="AW203" i="3"/>
  <c r="AA203" i="3"/>
  <c r="Z203" i="3"/>
  <c r="Y203" i="3"/>
  <c r="X203" i="3"/>
  <c r="W203" i="3"/>
  <c r="V203" i="3"/>
  <c r="U203" i="3"/>
  <c r="T203" i="3"/>
  <c r="S203" i="3"/>
  <c r="R203" i="3"/>
  <c r="Q203" i="3"/>
  <c r="P203" i="3"/>
  <c r="O203" i="3"/>
  <c r="N203" i="3"/>
  <c r="M203" i="3"/>
  <c r="L203" i="3"/>
  <c r="K203" i="3"/>
  <c r="J203" i="3"/>
  <c r="AW202" i="3"/>
  <c r="AA202" i="3"/>
  <c r="Z202" i="3"/>
  <c r="Y202" i="3"/>
  <c r="X202" i="3"/>
  <c r="W202" i="3"/>
  <c r="V202" i="3"/>
  <c r="U202" i="3"/>
  <c r="T202" i="3"/>
  <c r="S202" i="3"/>
  <c r="R202" i="3"/>
  <c r="Q202" i="3"/>
  <c r="P202" i="3"/>
  <c r="O202" i="3"/>
  <c r="N202" i="3"/>
  <c r="M202" i="3"/>
  <c r="L202" i="3"/>
  <c r="K202" i="3"/>
  <c r="J202" i="3"/>
  <c r="AW201" i="3"/>
  <c r="AA201" i="3"/>
  <c r="Z201" i="3"/>
  <c r="Y201" i="3"/>
  <c r="X201" i="3"/>
  <c r="W201" i="3"/>
  <c r="V201" i="3"/>
  <c r="U201" i="3"/>
  <c r="T201" i="3"/>
  <c r="S201" i="3"/>
  <c r="R201" i="3"/>
  <c r="P201" i="3"/>
  <c r="O201" i="3"/>
  <c r="N201" i="3"/>
  <c r="M201" i="3"/>
  <c r="L201" i="3"/>
  <c r="K201" i="3"/>
  <c r="J201" i="3"/>
  <c r="AW200" i="3"/>
  <c r="AA200" i="3"/>
  <c r="Z200" i="3"/>
  <c r="Y200" i="3"/>
  <c r="X200" i="3"/>
  <c r="W200" i="3"/>
  <c r="V200" i="3"/>
  <c r="U200" i="3"/>
  <c r="T200" i="3"/>
  <c r="S200" i="3"/>
  <c r="R200" i="3"/>
  <c r="Q200" i="3"/>
  <c r="P200" i="3"/>
  <c r="N200" i="3"/>
  <c r="M200" i="3"/>
  <c r="K200" i="3"/>
  <c r="J200" i="3"/>
  <c r="AW199" i="3"/>
  <c r="AA199" i="3"/>
  <c r="Z199" i="3"/>
  <c r="Y199" i="3"/>
  <c r="X199" i="3"/>
  <c r="W199" i="3"/>
  <c r="V199" i="3"/>
  <c r="U199" i="3"/>
  <c r="T199" i="3"/>
  <c r="S199" i="3"/>
  <c r="R199" i="3"/>
  <c r="Q199" i="3"/>
  <c r="P199" i="3"/>
  <c r="O199" i="3"/>
  <c r="N199" i="3"/>
  <c r="M199" i="3"/>
  <c r="L199" i="3"/>
  <c r="K199" i="3"/>
  <c r="J199" i="3"/>
  <c r="AW198" i="3"/>
  <c r="AA198" i="3"/>
  <c r="Z198" i="3"/>
  <c r="Y198" i="3"/>
  <c r="X198" i="3"/>
  <c r="W198" i="3"/>
  <c r="V198" i="3"/>
  <c r="U198" i="3"/>
  <c r="T198" i="3"/>
  <c r="S198" i="3"/>
  <c r="R198" i="3"/>
  <c r="Q198" i="3"/>
  <c r="P198" i="3"/>
  <c r="O198" i="3"/>
  <c r="N198" i="3"/>
  <c r="M198" i="3"/>
  <c r="L198" i="3"/>
  <c r="K198" i="3"/>
  <c r="J198" i="3"/>
  <c r="AW197" i="3"/>
  <c r="AA197" i="3"/>
  <c r="Z197" i="3"/>
  <c r="Y197" i="3"/>
  <c r="X197" i="3"/>
  <c r="W197" i="3"/>
  <c r="V197" i="3"/>
  <c r="U197" i="3"/>
  <c r="T197" i="3"/>
  <c r="S197" i="3"/>
  <c r="R197" i="3"/>
  <c r="Q197" i="3"/>
  <c r="P197" i="3"/>
  <c r="O197" i="3"/>
  <c r="N197" i="3"/>
  <c r="M197" i="3"/>
  <c r="L197" i="3"/>
  <c r="K197" i="3"/>
  <c r="J197" i="3"/>
  <c r="AW196" i="3"/>
  <c r="AA196" i="3"/>
  <c r="Z196" i="3"/>
  <c r="Y196" i="3"/>
  <c r="X196" i="3"/>
  <c r="W196" i="3"/>
  <c r="V196" i="3"/>
  <c r="U196" i="3"/>
  <c r="T196" i="3"/>
  <c r="S196" i="3"/>
  <c r="R196" i="3"/>
  <c r="N196" i="3"/>
  <c r="M196" i="3"/>
  <c r="L196" i="3"/>
  <c r="AW195" i="3"/>
  <c r="AA195" i="3"/>
  <c r="Z195" i="3"/>
  <c r="Y195" i="3"/>
  <c r="X195" i="3"/>
  <c r="W195" i="3"/>
  <c r="V195" i="3"/>
  <c r="U195" i="3"/>
  <c r="T195" i="3"/>
  <c r="S195" i="3"/>
  <c r="R195" i="3"/>
  <c r="Q195" i="3"/>
  <c r="P195" i="3"/>
  <c r="O195" i="3"/>
  <c r="N195" i="3"/>
  <c r="M195" i="3"/>
  <c r="L195" i="3"/>
  <c r="K195" i="3"/>
  <c r="J195" i="3"/>
  <c r="AW194" i="3"/>
  <c r="AA194" i="3"/>
  <c r="Z194" i="3"/>
  <c r="Y194" i="3"/>
  <c r="X194" i="3"/>
  <c r="W194" i="3"/>
  <c r="V194" i="3"/>
  <c r="U194" i="3"/>
  <c r="T194" i="3"/>
  <c r="S194" i="3"/>
  <c r="R194" i="3"/>
  <c r="Q194" i="3"/>
  <c r="P194" i="3"/>
  <c r="O194" i="3"/>
  <c r="N194" i="3"/>
  <c r="M194" i="3"/>
  <c r="L194" i="3"/>
  <c r="K194" i="3"/>
  <c r="J194" i="3"/>
  <c r="AW193" i="3"/>
  <c r="AA193" i="3"/>
  <c r="Z193" i="3"/>
  <c r="Y193" i="3"/>
  <c r="X193" i="3"/>
  <c r="W193" i="3"/>
  <c r="V193" i="3"/>
  <c r="U193" i="3"/>
  <c r="T193" i="3"/>
  <c r="S193" i="3"/>
  <c r="R193" i="3"/>
  <c r="N193" i="3"/>
  <c r="M193" i="3"/>
  <c r="L193" i="3"/>
  <c r="K193" i="3"/>
  <c r="J193" i="3"/>
  <c r="AW192" i="3"/>
  <c r="AA192" i="3"/>
  <c r="Z192" i="3"/>
  <c r="Y192" i="3"/>
  <c r="X192" i="3"/>
  <c r="W192" i="3"/>
  <c r="V192" i="3"/>
  <c r="U192" i="3"/>
  <c r="T192" i="3"/>
  <c r="S192" i="3"/>
  <c r="R192" i="3"/>
  <c r="Q192" i="3"/>
  <c r="P192" i="3"/>
  <c r="O192" i="3"/>
  <c r="N192" i="3"/>
  <c r="M192" i="3"/>
  <c r="L192" i="3"/>
  <c r="K192" i="3"/>
  <c r="J192" i="3"/>
  <c r="AW191" i="3"/>
  <c r="AA191" i="3"/>
  <c r="Z191" i="3"/>
  <c r="Y191" i="3"/>
  <c r="X191" i="3"/>
  <c r="W191" i="3"/>
  <c r="V191" i="3"/>
  <c r="U191" i="3"/>
  <c r="T191" i="3"/>
  <c r="S191" i="3"/>
  <c r="R191" i="3"/>
  <c r="Q191" i="3"/>
  <c r="P191" i="3"/>
  <c r="O191" i="3"/>
  <c r="N191" i="3"/>
  <c r="M191" i="3"/>
  <c r="L191" i="3"/>
  <c r="K191" i="3"/>
  <c r="J191" i="3"/>
  <c r="AW190" i="3"/>
  <c r="AA190" i="3"/>
  <c r="Z190" i="3"/>
  <c r="Y190" i="3"/>
  <c r="X190" i="3"/>
  <c r="W190" i="3"/>
  <c r="V190" i="3"/>
  <c r="U190" i="3"/>
  <c r="T190" i="3"/>
  <c r="S190" i="3"/>
  <c r="R190" i="3"/>
  <c r="Q190" i="3"/>
  <c r="P190" i="3"/>
  <c r="O190" i="3"/>
  <c r="N190" i="3"/>
  <c r="M190" i="3"/>
  <c r="L190" i="3"/>
  <c r="K190" i="3"/>
  <c r="J190" i="3"/>
  <c r="AW189" i="3"/>
  <c r="AA189" i="3"/>
  <c r="Z189" i="3"/>
  <c r="Y189" i="3"/>
  <c r="X189" i="3"/>
  <c r="W189" i="3"/>
  <c r="V189" i="3"/>
  <c r="U189" i="3"/>
  <c r="T189" i="3"/>
  <c r="S189" i="3"/>
  <c r="R189" i="3"/>
  <c r="Q189" i="3"/>
  <c r="P189" i="3"/>
  <c r="O189" i="3"/>
  <c r="N189" i="3"/>
  <c r="M189" i="3"/>
  <c r="L189" i="3"/>
  <c r="K189" i="3"/>
  <c r="J189" i="3"/>
  <c r="AW188" i="3"/>
  <c r="AA188" i="3"/>
  <c r="Z188" i="3"/>
  <c r="Y188" i="3"/>
  <c r="X188" i="3"/>
  <c r="W188" i="3"/>
  <c r="V188" i="3"/>
  <c r="U188" i="3"/>
  <c r="T188" i="3"/>
  <c r="S188" i="3"/>
  <c r="R188" i="3"/>
  <c r="Q188" i="3"/>
  <c r="P188" i="3"/>
  <c r="O188" i="3"/>
  <c r="N188" i="3"/>
  <c r="M188" i="3"/>
  <c r="L188" i="3"/>
  <c r="K188" i="3"/>
  <c r="J188" i="3"/>
  <c r="AW187" i="3"/>
  <c r="AA187" i="3"/>
  <c r="Z187" i="3"/>
  <c r="Y187" i="3"/>
  <c r="X187" i="3"/>
  <c r="W187" i="3"/>
  <c r="V187" i="3"/>
  <c r="U187" i="3"/>
  <c r="T187" i="3"/>
  <c r="S187" i="3"/>
  <c r="R187" i="3"/>
  <c r="Q187" i="3"/>
  <c r="P187" i="3"/>
  <c r="O187" i="3"/>
  <c r="N187" i="3"/>
  <c r="M187" i="3"/>
  <c r="L187" i="3"/>
  <c r="K187" i="3"/>
  <c r="J187" i="3"/>
  <c r="AW186" i="3"/>
  <c r="AA186" i="3"/>
  <c r="Z186" i="3"/>
  <c r="Y186" i="3"/>
  <c r="X186" i="3"/>
  <c r="W186" i="3"/>
  <c r="V186" i="3"/>
  <c r="U186" i="3"/>
  <c r="T186" i="3"/>
  <c r="S186" i="3"/>
  <c r="R186" i="3"/>
  <c r="Q186" i="3"/>
  <c r="P186" i="3"/>
  <c r="O186" i="3"/>
  <c r="N186" i="3"/>
  <c r="M186" i="3"/>
  <c r="L186" i="3"/>
  <c r="K186" i="3"/>
  <c r="J186" i="3"/>
  <c r="AW185" i="3"/>
  <c r="AA185" i="3"/>
  <c r="Z185" i="3"/>
  <c r="Y185" i="3"/>
  <c r="X185" i="3"/>
  <c r="W185" i="3"/>
  <c r="V185" i="3"/>
  <c r="U185" i="3"/>
  <c r="T185" i="3"/>
  <c r="S185" i="3"/>
  <c r="R185" i="3"/>
  <c r="Q185" i="3"/>
  <c r="P185" i="3"/>
  <c r="O185" i="3"/>
  <c r="N185" i="3"/>
  <c r="M185" i="3"/>
  <c r="L185" i="3"/>
  <c r="K185" i="3"/>
  <c r="J185" i="3"/>
  <c r="AW184" i="3"/>
  <c r="AA184" i="3"/>
  <c r="Z184" i="3"/>
  <c r="Y184" i="3"/>
  <c r="X184" i="3"/>
  <c r="W184" i="3"/>
  <c r="V184" i="3"/>
  <c r="U184" i="3"/>
  <c r="T184" i="3"/>
  <c r="S184" i="3"/>
  <c r="R184" i="3"/>
  <c r="Q184" i="3"/>
  <c r="P184" i="3"/>
  <c r="O184" i="3"/>
  <c r="N184" i="3"/>
  <c r="M184" i="3"/>
  <c r="L184" i="3"/>
  <c r="K184" i="3"/>
  <c r="J184" i="3"/>
  <c r="AW183" i="3"/>
  <c r="AA183" i="3"/>
  <c r="Z183" i="3"/>
  <c r="Y183" i="3"/>
  <c r="X183" i="3"/>
  <c r="W183" i="3"/>
  <c r="V183" i="3"/>
  <c r="U183" i="3"/>
  <c r="T183" i="3"/>
  <c r="S183" i="3"/>
  <c r="R183" i="3"/>
  <c r="Q183" i="3"/>
  <c r="P183" i="3"/>
  <c r="O183" i="3"/>
  <c r="N183" i="3"/>
  <c r="M183" i="3"/>
  <c r="L183" i="3"/>
  <c r="K183" i="3"/>
  <c r="J183" i="3"/>
  <c r="AW182" i="3"/>
  <c r="AA182" i="3"/>
  <c r="Z182" i="3"/>
  <c r="Y182" i="3"/>
  <c r="X182" i="3"/>
  <c r="W182" i="3"/>
  <c r="V182" i="3"/>
  <c r="U182" i="3"/>
  <c r="T182" i="3"/>
  <c r="S182" i="3"/>
  <c r="R182" i="3"/>
  <c r="Q182" i="3"/>
  <c r="P182" i="3"/>
  <c r="O182" i="3"/>
  <c r="N182" i="3"/>
  <c r="M182" i="3"/>
  <c r="L182" i="3"/>
  <c r="K182" i="3"/>
  <c r="J182" i="3"/>
  <c r="AW181" i="3"/>
  <c r="AA181" i="3"/>
  <c r="Z181" i="3"/>
  <c r="Y181" i="3"/>
  <c r="X181" i="3"/>
  <c r="W181" i="3"/>
  <c r="V181" i="3"/>
  <c r="U181" i="3"/>
  <c r="T181" i="3"/>
  <c r="S181" i="3"/>
  <c r="R181" i="3"/>
  <c r="Q181" i="3"/>
  <c r="P181" i="3"/>
  <c r="O181" i="3"/>
  <c r="N181" i="3"/>
  <c r="M181" i="3"/>
  <c r="L181" i="3"/>
  <c r="K181" i="3"/>
  <c r="J181" i="3"/>
  <c r="AW180" i="3"/>
  <c r="AA180" i="3"/>
  <c r="Z180" i="3"/>
  <c r="Y180" i="3"/>
  <c r="X180" i="3"/>
  <c r="W180" i="3"/>
  <c r="V180" i="3"/>
  <c r="U180" i="3"/>
  <c r="T180" i="3"/>
  <c r="S180" i="3"/>
  <c r="R180" i="3"/>
  <c r="Q180" i="3"/>
  <c r="P180" i="3"/>
  <c r="O180" i="3"/>
  <c r="N180" i="3"/>
  <c r="M180" i="3"/>
  <c r="L180" i="3"/>
  <c r="K180" i="3"/>
  <c r="J180" i="3"/>
  <c r="AW179" i="3"/>
  <c r="AA179" i="3"/>
  <c r="Z179" i="3"/>
  <c r="Y179" i="3"/>
  <c r="X179" i="3"/>
  <c r="W179" i="3"/>
  <c r="V179" i="3"/>
  <c r="U179" i="3"/>
  <c r="T179" i="3"/>
  <c r="S179" i="3"/>
  <c r="R179" i="3"/>
  <c r="Q179" i="3"/>
  <c r="P179" i="3"/>
  <c r="O179" i="3"/>
  <c r="N179" i="3"/>
  <c r="M179" i="3"/>
  <c r="L179" i="3"/>
  <c r="K179" i="3"/>
  <c r="J179" i="3"/>
  <c r="AW178" i="3"/>
  <c r="AA178" i="3"/>
  <c r="Z178" i="3"/>
  <c r="Y178" i="3"/>
  <c r="X178" i="3"/>
  <c r="W178" i="3"/>
  <c r="V178" i="3"/>
  <c r="U178" i="3"/>
  <c r="T178" i="3"/>
  <c r="S178" i="3"/>
  <c r="R178" i="3"/>
  <c r="Q178" i="3"/>
  <c r="P178" i="3"/>
  <c r="O178" i="3"/>
  <c r="N178" i="3"/>
  <c r="M178" i="3"/>
  <c r="L178" i="3"/>
  <c r="K178" i="3"/>
  <c r="J178" i="3"/>
  <c r="AW177" i="3"/>
  <c r="AA177" i="3"/>
  <c r="Z177" i="3"/>
  <c r="Y177" i="3"/>
  <c r="X177" i="3"/>
  <c r="W177" i="3"/>
  <c r="V177" i="3"/>
  <c r="U177" i="3"/>
  <c r="T177" i="3"/>
  <c r="S177" i="3"/>
  <c r="R177" i="3"/>
  <c r="N177" i="3"/>
  <c r="M177" i="3"/>
  <c r="AW176" i="3"/>
  <c r="AA176" i="3"/>
  <c r="Z176" i="3"/>
  <c r="Y176" i="3"/>
  <c r="X176" i="3"/>
  <c r="W176" i="3"/>
  <c r="V176" i="3"/>
  <c r="U176" i="3"/>
  <c r="T176" i="3"/>
  <c r="S176" i="3"/>
  <c r="R176" i="3"/>
  <c r="Q176" i="3"/>
  <c r="P176" i="3"/>
  <c r="O176" i="3"/>
  <c r="N176" i="3"/>
  <c r="M176" i="3"/>
  <c r="L176" i="3"/>
  <c r="K176" i="3"/>
  <c r="J176" i="3"/>
  <c r="AW175" i="3"/>
  <c r="AA175" i="3"/>
  <c r="Z175" i="3"/>
  <c r="Y175" i="3"/>
  <c r="X175" i="3"/>
  <c r="W175" i="3"/>
  <c r="V175" i="3"/>
  <c r="U175" i="3"/>
  <c r="T175" i="3"/>
  <c r="S175" i="3"/>
  <c r="R175" i="3"/>
  <c r="Q175" i="3"/>
  <c r="P175" i="3"/>
  <c r="O175" i="3"/>
  <c r="N175" i="3"/>
  <c r="M175" i="3"/>
  <c r="L175" i="3"/>
  <c r="K175" i="3"/>
  <c r="J175" i="3"/>
  <c r="AW174" i="3"/>
  <c r="AA174" i="3"/>
  <c r="Z174" i="3"/>
  <c r="Y174" i="3"/>
  <c r="X174" i="3"/>
  <c r="W174" i="3"/>
  <c r="V174" i="3"/>
  <c r="U174" i="3"/>
  <c r="T174" i="3"/>
  <c r="S174" i="3"/>
  <c r="R174" i="3"/>
  <c r="Q174" i="3"/>
  <c r="P174" i="3"/>
  <c r="O174" i="3"/>
  <c r="N174" i="3"/>
  <c r="M174" i="3"/>
  <c r="L174" i="3"/>
  <c r="K174" i="3"/>
  <c r="J174" i="3"/>
  <c r="AW173" i="3"/>
  <c r="AA173" i="3"/>
  <c r="Z173" i="3"/>
  <c r="Y173" i="3"/>
  <c r="X173" i="3"/>
  <c r="W173" i="3"/>
  <c r="V173" i="3"/>
  <c r="U173" i="3"/>
  <c r="T173" i="3"/>
  <c r="S173" i="3"/>
  <c r="R173" i="3"/>
  <c r="Q173" i="3"/>
  <c r="P173" i="3"/>
  <c r="O173" i="3"/>
  <c r="N173" i="3"/>
  <c r="M173" i="3"/>
  <c r="L173" i="3"/>
  <c r="K173" i="3"/>
  <c r="J173" i="3"/>
  <c r="AW172" i="3"/>
  <c r="AL172" i="3"/>
  <c r="AK172" i="3"/>
  <c r="AJ172" i="3"/>
  <c r="AI172" i="3"/>
  <c r="AH172" i="3"/>
  <c r="AG172" i="3"/>
  <c r="AF172" i="3"/>
  <c r="AE172" i="3"/>
  <c r="AD172" i="3"/>
  <c r="AC172" i="3"/>
  <c r="AB172" i="3"/>
  <c r="AA172" i="3"/>
  <c r="Z172" i="3"/>
  <c r="Y172" i="3"/>
  <c r="X172" i="3"/>
  <c r="W172" i="3"/>
  <c r="V172" i="3"/>
  <c r="U172" i="3"/>
  <c r="T172" i="3"/>
  <c r="S172" i="3"/>
  <c r="R172" i="3"/>
  <c r="Q172" i="3"/>
  <c r="P172" i="3"/>
  <c r="O172" i="3"/>
  <c r="N172" i="3"/>
  <c r="M172" i="3"/>
  <c r="L172" i="3"/>
  <c r="K172" i="3"/>
  <c r="J172" i="3"/>
  <c r="AW171" i="3"/>
  <c r="AL171" i="3"/>
  <c r="AK171" i="3"/>
  <c r="AJ171" i="3"/>
  <c r="AI171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P171" i="3"/>
  <c r="O171" i="3"/>
  <c r="N171" i="3"/>
  <c r="M171" i="3"/>
  <c r="L171" i="3"/>
  <c r="K171" i="3"/>
  <c r="J171" i="3"/>
  <c r="AW170" i="3"/>
  <c r="AA170" i="3"/>
  <c r="Z170" i="3"/>
  <c r="Y170" i="3"/>
  <c r="X170" i="3"/>
  <c r="W170" i="3"/>
  <c r="V170" i="3"/>
  <c r="U170" i="3"/>
  <c r="T170" i="3"/>
  <c r="S170" i="3"/>
  <c r="R170" i="3"/>
  <c r="Q170" i="3"/>
  <c r="P170" i="3"/>
  <c r="O170" i="3"/>
  <c r="N170" i="3"/>
  <c r="M170" i="3"/>
  <c r="L170" i="3"/>
  <c r="K170" i="3"/>
  <c r="J170" i="3"/>
  <c r="AW169" i="3"/>
  <c r="AA169" i="3"/>
  <c r="Z169" i="3"/>
  <c r="Y169" i="3"/>
  <c r="X169" i="3"/>
  <c r="W169" i="3"/>
  <c r="V169" i="3"/>
  <c r="U169" i="3"/>
  <c r="T169" i="3"/>
  <c r="S169" i="3"/>
  <c r="R169" i="3"/>
  <c r="Q169" i="3"/>
  <c r="P169" i="3"/>
  <c r="O169" i="3"/>
  <c r="N169" i="3"/>
  <c r="M169" i="3"/>
  <c r="L169" i="3"/>
  <c r="K169" i="3"/>
  <c r="J169" i="3"/>
  <c r="AW168" i="3"/>
  <c r="AA168" i="3"/>
  <c r="Z168" i="3"/>
  <c r="Y168" i="3"/>
  <c r="X168" i="3"/>
  <c r="W168" i="3"/>
  <c r="V168" i="3"/>
  <c r="U168" i="3"/>
  <c r="T168" i="3"/>
  <c r="S168" i="3"/>
  <c r="R168" i="3"/>
  <c r="Q168" i="3"/>
  <c r="P168" i="3"/>
  <c r="O168" i="3"/>
  <c r="N168" i="3"/>
  <c r="M168" i="3"/>
  <c r="L168" i="3"/>
  <c r="K168" i="3"/>
  <c r="J168" i="3"/>
  <c r="AW167" i="3"/>
  <c r="AA167" i="3"/>
  <c r="Z167" i="3"/>
  <c r="Y167" i="3"/>
  <c r="X167" i="3"/>
  <c r="W167" i="3"/>
  <c r="V167" i="3"/>
  <c r="U167" i="3"/>
  <c r="T167" i="3"/>
  <c r="S167" i="3"/>
  <c r="R167" i="3"/>
  <c r="Q167" i="3"/>
  <c r="P167" i="3"/>
  <c r="O167" i="3"/>
  <c r="N167" i="3"/>
  <c r="M167" i="3"/>
  <c r="L167" i="3"/>
  <c r="K167" i="3"/>
  <c r="J167" i="3"/>
  <c r="AW166" i="3"/>
  <c r="AA166" i="3"/>
  <c r="Z166" i="3"/>
  <c r="Y166" i="3"/>
  <c r="X166" i="3"/>
  <c r="W166" i="3"/>
  <c r="V166" i="3"/>
  <c r="U166" i="3"/>
  <c r="T166" i="3"/>
  <c r="S166" i="3"/>
  <c r="R166" i="3"/>
  <c r="Q166" i="3"/>
  <c r="P166" i="3"/>
  <c r="O166" i="3"/>
  <c r="N166" i="3"/>
  <c r="M166" i="3"/>
  <c r="L166" i="3"/>
  <c r="K166" i="3"/>
  <c r="J166" i="3"/>
  <c r="AW165" i="3"/>
  <c r="AA165" i="3"/>
  <c r="Z165" i="3"/>
  <c r="Y165" i="3"/>
  <c r="X165" i="3"/>
  <c r="W165" i="3"/>
  <c r="V165" i="3"/>
  <c r="U165" i="3"/>
  <c r="T165" i="3"/>
  <c r="S165" i="3"/>
  <c r="R165" i="3"/>
  <c r="Q165" i="3"/>
  <c r="P165" i="3"/>
  <c r="O165" i="3"/>
  <c r="N165" i="3"/>
  <c r="M165" i="3"/>
  <c r="L165" i="3"/>
  <c r="K165" i="3"/>
  <c r="J165" i="3"/>
  <c r="AW164" i="3"/>
  <c r="AA164" i="3"/>
  <c r="Z164" i="3"/>
  <c r="Y164" i="3"/>
  <c r="X164" i="3"/>
  <c r="W164" i="3"/>
  <c r="V164" i="3"/>
  <c r="U164" i="3"/>
  <c r="T164" i="3"/>
  <c r="S164" i="3"/>
  <c r="R164" i="3"/>
  <c r="Q164" i="3"/>
  <c r="P164" i="3"/>
  <c r="O164" i="3"/>
  <c r="N164" i="3"/>
  <c r="M164" i="3"/>
  <c r="L164" i="3"/>
  <c r="K164" i="3"/>
  <c r="J164" i="3"/>
  <c r="AW163" i="3"/>
  <c r="AL163" i="3"/>
  <c r="AK163" i="3"/>
  <c r="AJ163" i="3"/>
  <c r="AI163" i="3"/>
  <c r="AH163" i="3"/>
  <c r="AG163" i="3"/>
  <c r="AF163" i="3"/>
  <c r="AE163" i="3"/>
  <c r="AD163" i="3"/>
  <c r="AC163" i="3"/>
  <c r="AB163" i="3"/>
  <c r="AA163" i="3"/>
  <c r="Z163" i="3"/>
  <c r="Y163" i="3"/>
  <c r="X163" i="3"/>
  <c r="W163" i="3"/>
  <c r="V163" i="3"/>
  <c r="U163" i="3"/>
  <c r="T163" i="3"/>
  <c r="S163" i="3"/>
  <c r="R163" i="3"/>
  <c r="Q163" i="3"/>
  <c r="P163" i="3"/>
  <c r="O163" i="3"/>
  <c r="N163" i="3"/>
  <c r="M163" i="3"/>
  <c r="L163" i="3"/>
  <c r="K163" i="3"/>
  <c r="J163" i="3"/>
  <c r="AW162" i="3"/>
  <c r="AL162" i="3"/>
  <c r="AK162" i="3"/>
  <c r="AJ162" i="3"/>
  <c r="AI162" i="3"/>
  <c r="AH162" i="3"/>
  <c r="AG162" i="3"/>
  <c r="AF162" i="3"/>
  <c r="AE162" i="3"/>
  <c r="AD162" i="3"/>
  <c r="AC162" i="3"/>
  <c r="AB162" i="3"/>
  <c r="AA162" i="3"/>
  <c r="Z162" i="3"/>
  <c r="Y162" i="3"/>
  <c r="X162" i="3"/>
  <c r="W162" i="3"/>
  <c r="V162" i="3"/>
  <c r="U162" i="3"/>
  <c r="T162" i="3"/>
  <c r="S162" i="3"/>
  <c r="R162" i="3"/>
  <c r="Q162" i="3"/>
  <c r="P162" i="3"/>
  <c r="O162" i="3"/>
  <c r="N162" i="3"/>
  <c r="M162" i="3"/>
  <c r="L162" i="3"/>
  <c r="K162" i="3"/>
  <c r="J162" i="3"/>
  <c r="AW161" i="3"/>
  <c r="AA161" i="3"/>
  <c r="Z161" i="3"/>
  <c r="Y161" i="3"/>
  <c r="X161" i="3"/>
  <c r="W161" i="3"/>
  <c r="V161" i="3"/>
  <c r="U161" i="3"/>
  <c r="T161" i="3"/>
  <c r="S161" i="3"/>
  <c r="R161" i="3"/>
  <c r="Q161" i="3"/>
  <c r="P161" i="3"/>
  <c r="O161" i="3"/>
  <c r="N161" i="3"/>
  <c r="M161" i="3"/>
  <c r="L161" i="3"/>
  <c r="K161" i="3"/>
  <c r="J161" i="3"/>
  <c r="AW160" i="3"/>
  <c r="AA160" i="3"/>
  <c r="Z160" i="3"/>
  <c r="Y160" i="3"/>
  <c r="X160" i="3"/>
  <c r="W160" i="3"/>
  <c r="V160" i="3"/>
  <c r="U160" i="3"/>
  <c r="T160" i="3"/>
  <c r="S160" i="3"/>
  <c r="R160" i="3"/>
  <c r="Q160" i="3"/>
  <c r="P160" i="3"/>
  <c r="O160" i="3"/>
  <c r="N160" i="3"/>
  <c r="M160" i="3"/>
  <c r="L160" i="3"/>
  <c r="K160" i="3"/>
  <c r="J160" i="3"/>
  <c r="AW159" i="3"/>
  <c r="AA159" i="3"/>
  <c r="Z159" i="3"/>
  <c r="Y159" i="3"/>
  <c r="X159" i="3"/>
  <c r="W159" i="3"/>
  <c r="V159" i="3"/>
  <c r="U159" i="3"/>
  <c r="T159" i="3"/>
  <c r="S159" i="3"/>
  <c r="R159" i="3"/>
  <c r="Q159" i="3"/>
  <c r="P159" i="3"/>
  <c r="O159" i="3"/>
  <c r="N159" i="3"/>
  <c r="M159" i="3"/>
  <c r="L159" i="3"/>
  <c r="K159" i="3"/>
  <c r="J159" i="3"/>
  <c r="AW158" i="3"/>
  <c r="AA158" i="3"/>
  <c r="Z158" i="3"/>
  <c r="Y158" i="3"/>
  <c r="X158" i="3"/>
  <c r="W158" i="3"/>
  <c r="V158" i="3"/>
  <c r="U158" i="3"/>
  <c r="T158" i="3"/>
  <c r="S158" i="3"/>
  <c r="R158" i="3"/>
  <c r="Q158" i="3"/>
  <c r="P158" i="3"/>
  <c r="O158" i="3"/>
  <c r="N158" i="3"/>
  <c r="M158" i="3"/>
  <c r="L158" i="3"/>
  <c r="K158" i="3"/>
  <c r="J158" i="3"/>
  <c r="AW157" i="3"/>
  <c r="AA157" i="3"/>
  <c r="Z157" i="3"/>
  <c r="Y157" i="3"/>
  <c r="X157" i="3"/>
  <c r="W157" i="3"/>
  <c r="V157" i="3"/>
  <c r="U157" i="3"/>
  <c r="T157" i="3"/>
  <c r="S157" i="3"/>
  <c r="R157" i="3"/>
  <c r="Q157" i="3"/>
  <c r="P157" i="3"/>
  <c r="N157" i="3"/>
  <c r="M157" i="3"/>
  <c r="AW156" i="3"/>
  <c r="AA156" i="3"/>
  <c r="Z156" i="3"/>
  <c r="Y156" i="3"/>
  <c r="X156" i="3"/>
  <c r="W156" i="3"/>
  <c r="V156" i="3"/>
  <c r="U156" i="3"/>
  <c r="T156" i="3"/>
  <c r="S156" i="3"/>
  <c r="R156" i="3"/>
  <c r="Q156" i="3"/>
  <c r="N156" i="3"/>
  <c r="M156" i="3"/>
  <c r="L156" i="3"/>
  <c r="AW155" i="3"/>
  <c r="AA155" i="3"/>
  <c r="Z155" i="3"/>
  <c r="Y155" i="3"/>
  <c r="X155" i="3"/>
  <c r="W155" i="3"/>
  <c r="V155" i="3"/>
  <c r="U155" i="3"/>
  <c r="T155" i="3"/>
  <c r="S155" i="3"/>
  <c r="R155" i="3"/>
  <c r="Q155" i="3"/>
  <c r="P155" i="3"/>
  <c r="O155" i="3"/>
  <c r="N155" i="3"/>
  <c r="M155" i="3"/>
  <c r="AW154" i="3"/>
  <c r="AA154" i="3"/>
  <c r="Z154" i="3"/>
  <c r="Y154" i="3"/>
  <c r="X154" i="3"/>
  <c r="W154" i="3"/>
  <c r="V154" i="3"/>
  <c r="U154" i="3"/>
  <c r="T154" i="3"/>
  <c r="S154" i="3"/>
  <c r="R154" i="3"/>
  <c r="P154" i="3"/>
  <c r="O154" i="3"/>
  <c r="N154" i="3"/>
  <c r="M154" i="3"/>
  <c r="L154" i="3"/>
  <c r="K154" i="3"/>
  <c r="J154" i="3"/>
  <c r="AW153" i="3"/>
  <c r="AA153" i="3"/>
  <c r="Z153" i="3"/>
  <c r="Y153" i="3"/>
  <c r="X153" i="3"/>
  <c r="W153" i="3"/>
  <c r="V153" i="3"/>
  <c r="U153" i="3"/>
  <c r="T153" i="3"/>
  <c r="S153" i="3"/>
  <c r="R153" i="3"/>
  <c r="Q153" i="3"/>
  <c r="P153" i="3"/>
  <c r="O153" i="3"/>
  <c r="N153" i="3"/>
  <c r="M153" i="3"/>
  <c r="L153" i="3"/>
  <c r="K153" i="3"/>
  <c r="J153" i="3"/>
  <c r="AW152" i="3"/>
  <c r="AL152" i="3"/>
  <c r="AK152" i="3"/>
  <c r="AJ152" i="3"/>
  <c r="AI152" i="3"/>
  <c r="AH152" i="3"/>
  <c r="AG152" i="3"/>
  <c r="AF152" i="3"/>
  <c r="AE152" i="3"/>
  <c r="AD152" i="3"/>
  <c r="AC152" i="3"/>
  <c r="AB152" i="3"/>
  <c r="AA152" i="3"/>
  <c r="Z152" i="3"/>
  <c r="Y152" i="3"/>
  <c r="X152" i="3"/>
  <c r="W152" i="3"/>
  <c r="V152" i="3"/>
  <c r="U152" i="3"/>
  <c r="T152" i="3"/>
  <c r="S152" i="3"/>
  <c r="R152" i="3"/>
  <c r="Q152" i="3"/>
  <c r="P152" i="3"/>
  <c r="O152" i="3"/>
  <c r="N152" i="3"/>
  <c r="M152" i="3"/>
  <c r="L152" i="3"/>
  <c r="K152" i="3"/>
  <c r="J152" i="3"/>
  <c r="AW151" i="3"/>
  <c r="AL151" i="3"/>
  <c r="AK151" i="3"/>
  <c r="AJ151" i="3"/>
  <c r="AI151" i="3"/>
  <c r="AH151" i="3"/>
  <c r="AG151" i="3"/>
  <c r="AF151" i="3"/>
  <c r="AE151" i="3"/>
  <c r="AD151" i="3"/>
  <c r="AC151" i="3"/>
  <c r="AB151" i="3"/>
  <c r="AA151" i="3"/>
  <c r="Z151" i="3"/>
  <c r="Y151" i="3"/>
  <c r="X151" i="3"/>
  <c r="W151" i="3"/>
  <c r="V151" i="3"/>
  <c r="U151" i="3"/>
  <c r="T151" i="3"/>
  <c r="S151" i="3"/>
  <c r="R151" i="3"/>
  <c r="Q151" i="3"/>
  <c r="P151" i="3"/>
  <c r="O151" i="3"/>
  <c r="N151" i="3"/>
  <c r="M151" i="3"/>
  <c r="L151" i="3"/>
  <c r="K151" i="3"/>
  <c r="J151" i="3"/>
  <c r="AW150" i="3"/>
  <c r="AA150" i="3"/>
  <c r="Z150" i="3"/>
  <c r="Y150" i="3"/>
  <c r="X150" i="3"/>
  <c r="W150" i="3"/>
  <c r="V150" i="3"/>
  <c r="U150" i="3"/>
  <c r="T150" i="3"/>
  <c r="S150" i="3"/>
  <c r="R150" i="3"/>
  <c r="Q150" i="3"/>
  <c r="P150" i="3"/>
  <c r="O150" i="3"/>
  <c r="N150" i="3"/>
  <c r="M150" i="3"/>
  <c r="L150" i="3"/>
  <c r="K150" i="3"/>
  <c r="J150" i="3"/>
  <c r="AW149" i="3"/>
  <c r="AL149" i="3"/>
  <c r="AK149" i="3"/>
  <c r="AJ149" i="3"/>
  <c r="AI149" i="3"/>
  <c r="AH149" i="3"/>
  <c r="AG149" i="3"/>
  <c r="AF149" i="3"/>
  <c r="AE149" i="3"/>
  <c r="AD149" i="3"/>
  <c r="AC149" i="3"/>
  <c r="AB149" i="3"/>
  <c r="AA149" i="3"/>
  <c r="Z149" i="3"/>
  <c r="Y149" i="3"/>
  <c r="X149" i="3"/>
  <c r="W149" i="3"/>
  <c r="V149" i="3"/>
  <c r="U149" i="3"/>
  <c r="T149" i="3"/>
  <c r="S149" i="3"/>
  <c r="R149" i="3"/>
  <c r="Q149" i="3"/>
  <c r="P149" i="3"/>
  <c r="O149" i="3"/>
  <c r="N149" i="3"/>
  <c r="M149" i="3"/>
  <c r="L149" i="3"/>
  <c r="K149" i="3"/>
  <c r="J149" i="3"/>
  <c r="AW148" i="3"/>
  <c r="AL148" i="3"/>
  <c r="AK148" i="3"/>
  <c r="AJ148" i="3"/>
  <c r="AI148" i="3"/>
  <c r="AH148" i="3"/>
  <c r="AG148" i="3"/>
  <c r="AF148" i="3"/>
  <c r="AE148" i="3"/>
  <c r="AD148" i="3"/>
  <c r="AC148" i="3"/>
  <c r="AB148" i="3"/>
  <c r="AA148" i="3"/>
  <c r="Z148" i="3"/>
  <c r="Y148" i="3"/>
  <c r="X148" i="3"/>
  <c r="W148" i="3"/>
  <c r="V148" i="3"/>
  <c r="U148" i="3"/>
  <c r="T148" i="3"/>
  <c r="S148" i="3"/>
  <c r="R148" i="3"/>
  <c r="Q148" i="3"/>
  <c r="P148" i="3"/>
  <c r="O148" i="3"/>
  <c r="N148" i="3"/>
  <c r="M148" i="3"/>
  <c r="L148" i="3"/>
  <c r="K148" i="3"/>
  <c r="J148" i="3"/>
  <c r="AW147" i="3"/>
  <c r="AL147" i="3"/>
  <c r="AK147" i="3"/>
  <c r="AJ147" i="3"/>
  <c r="AI147" i="3"/>
  <c r="AH147" i="3"/>
  <c r="AG147" i="3"/>
  <c r="AF147" i="3"/>
  <c r="AE147" i="3"/>
  <c r="AD147" i="3"/>
  <c r="AC147" i="3"/>
  <c r="AB147" i="3"/>
  <c r="AA147" i="3"/>
  <c r="Z147" i="3"/>
  <c r="Y147" i="3"/>
  <c r="X147" i="3"/>
  <c r="W147" i="3"/>
  <c r="V147" i="3"/>
  <c r="U147" i="3"/>
  <c r="T147" i="3"/>
  <c r="S147" i="3"/>
  <c r="R147" i="3"/>
  <c r="Q147" i="3"/>
  <c r="P147" i="3"/>
  <c r="O147" i="3"/>
  <c r="N147" i="3"/>
  <c r="M147" i="3"/>
  <c r="L147" i="3"/>
  <c r="K147" i="3"/>
  <c r="J147" i="3"/>
  <c r="AW146" i="3"/>
  <c r="AL146" i="3"/>
  <c r="AK146" i="3"/>
  <c r="AJ146" i="3"/>
  <c r="AI146" i="3"/>
  <c r="AH146" i="3"/>
  <c r="AG146" i="3"/>
  <c r="AF146" i="3"/>
  <c r="AE146" i="3"/>
  <c r="AD146" i="3"/>
  <c r="AC146" i="3"/>
  <c r="AB146" i="3"/>
  <c r="AA146" i="3"/>
  <c r="Z146" i="3"/>
  <c r="Y146" i="3"/>
  <c r="X146" i="3"/>
  <c r="W146" i="3"/>
  <c r="V146" i="3"/>
  <c r="U146" i="3"/>
  <c r="T146" i="3"/>
  <c r="S146" i="3"/>
  <c r="R146" i="3"/>
  <c r="Q146" i="3"/>
  <c r="P146" i="3"/>
  <c r="O146" i="3"/>
  <c r="N146" i="3"/>
  <c r="M146" i="3"/>
  <c r="L146" i="3"/>
  <c r="K146" i="3"/>
  <c r="J146" i="3"/>
  <c r="AW145" i="3"/>
  <c r="AA145" i="3"/>
  <c r="Z145" i="3"/>
  <c r="Y145" i="3"/>
  <c r="X145" i="3"/>
  <c r="W145" i="3"/>
  <c r="V145" i="3"/>
  <c r="U145" i="3"/>
  <c r="T145" i="3"/>
  <c r="S145" i="3"/>
  <c r="R145" i="3"/>
  <c r="Q145" i="3"/>
  <c r="P145" i="3"/>
  <c r="O145" i="3"/>
  <c r="N145" i="3"/>
  <c r="M145" i="3"/>
  <c r="L145" i="3"/>
  <c r="K145" i="3"/>
  <c r="J145" i="3"/>
  <c r="AW144" i="3"/>
  <c r="AA144" i="3"/>
  <c r="Z144" i="3"/>
  <c r="Y144" i="3"/>
  <c r="X144" i="3"/>
  <c r="W144" i="3"/>
  <c r="V144" i="3"/>
  <c r="U144" i="3"/>
  <c r="T144" i="3"/>
  <c r="S144" i="3"/>
  <c r="R144" i="3"/>
  <c r="Q144" i="3"/>
  <c r="P144" i="3"/>
  <c r="O144" i="3"/>
  <c r="N144" i="3"/>
  <c r="M144" i="3"/>
  <c r="L144" i="3"/>
  <c r="K144" i="3"/>
  <c r="J144" i="3"/>
  <c r="AW143" i="3"/>
  <c r="AA143" i="3"/>
  <c r="Z143" i="3"/>
  <c r="Y143" i="3"/>
  <c r="X143" i="3"/>
  <c r="W143" i="3"/>
  <c r="V143" i="3"/>
  <c r="U143" i="3"/>
  <c r="T143" i="3"/>
  <c r="S143" i="3"/>
  <c r="R143" i="3"/>
  <c r="Q143" i="3"/>
  <c r="P143" i="3"/>
  <c r="O143" i="3"/>
  <c r="N143" i="3"/>
  <c r="M143" i="3"/>
  <c r="L143" i="3"/>
  <c r="K143" i="3"/>
  <c r="J143" i="3"/>
  <c r="AW142" i="3"/>
  <c r="AA142" i="3"/>
  <c r="Z142" i="3"/>
  <c r="Y142" i="3"/>
  <c r="X142" i="3"/>
  <c r="W142" i="3"/>
  <c r="V142" i="3"/>
  <c r="U142" i="3"/>
  <c r="T142" i="3"/>
  <c r="S142" i="3"/>
  <c r="R142" i="3"/>
  <c r="Q142" i="3"/>
  <c r="P142" i="3"/>
  <c r="O142" i="3"/>
  <c r="N142" i="3"/>
  <c r="M142" i="3"/>
  <c r="L142" i="3"/>
  <c r="K142" i="3"/>
  <c r="J142" i="3"/>
  <c r="AW141" i="3"/>
  <c r="AA141" i="3"/>
  <c r="Z141" i="3"/>
  <c r="Y141" i="3"/>
  <c r="X141" i="3"/>
  <c r="W141" i="3"/>
  <c r="V141" i="3"/>
  <c r="U141" i="3"/>
  <c r="T141" i="3"/>
  <c r="S141" i="3"/>
  <c r="R141" i="3"/>
  <c r="Q141" i="3"/>
  <c r="P141" i="3"/>
  <c r="O141" i="3"/>
  <c r="N141" i="3"/>
  <c r="M141" i="3"/>
  <c r="L141" i="3"/>
  <c r="K141" i="3"/>
  <c r="J141" i="3"/>
  <c r="AW140" i="3"/>
  <c r="AA140" i="3"/>
  <c r="Z140" i="3"/>
  <c r="Y140" i="3"/>
  <c r="X140" i="3"/>
  <c r="W140" i="3"/>
  <c r="V140" i="3"/>
  <c r="U140" i="3"/>
  <c r="T140" i="3"/>
  <c r="S140" i="3"/>
  <c r="R140" i="3"/>
  <c r="Q140" i="3"/>
  <c r="P140" i="3"/>
  <c r="O140" i="3"/>
  <c r="N140" i="3"/>
  <c r="M140" i="3"/>
  <c r="L140" i="3"/>
  <c r="K140" i="3"/>
  <c r="J140" i="3"/>
  <c r="AW139" i="3"/>
  <c r="AA139" i="3"/>
  <c r="Z139" i="3"/>
  <c r="Y139" i="3"/>
  <c r="X139" i="3"/>
  <c r="W139" i="3"/>
  <c r="V139" i="3"/>
  <c r="U139" i="3"/>
  <c r="T139" i="3"/>
  <c r="S139" i="3"/>
  <c r="R139" i="3"/>
  <c r="Q139" i="3"/>
  <c r="P139" i="3"/>
  <c r="O139" i="3"/>
  <c r="N139" i="3"/>
  <c r="M139" i="3"/>
  <c r="L139" i="3"/>
  <c r="K139" i="3"/>
  <c r="J139" i="3"/>
  <c r="AW138" i="3"/>
  <c r="AA138" i="3"/>
  <c r="Z138" i="3"/>
  <c r="Y138" i="3"/>
  <c r="X138" i="3"/>
  <c r="W138" i="3"/>
  <c r="V138" i="3"/>
  <c r="U138" i="3"/>
  <c r="T138" i="3"/>
  <c r="S138" i="3"/>
  <c r="R138" i="3"/>
  <c r="Q138" i="3"/>
  <c r="P138" i="3"/>
  <c r="O138" i="3"/>
  <c r="N138" i="3"/>
  <c r="M138" i="3"/>
  <c r="L138" i="3"/>
  <c r="K138" i="3"/>
  <c r="J138" i="3"/>
  <c r="AW137" i="3"/>
  <c r="AA137" i="3"/>
  <c r="Z137" i="3"/>
  <c r="Y137" i="3"/>
  <c r="X137" i="3"/>
  <c r="W137" i="3"/>
  <c r="V137" i="3"/>
  <c r="U137" i="3"/>
  <c r="T137" i="3"/>
  <c r="S137" i="3"/>
  <c r="R137" i="3"/>
  <c r="Q137" i="3"/>
  <c r="P137" i="3"/>
  <c r="O137" i="3"/>
  <c r="N137" i="3"/>
  <c r="M137" i="3"/>
  <c r="L137" i="3"/>
  <c r="K137" i="3"/>
  <c r="J137" i="3"/>
  <c r="AW136" i="3"/>
  <c r="AA136" i="3"/>
  <c r="Z136" i="3"/>
  <c r="Y136" i="3"/>
  <c r="X136" i="3"/>
  <c r="W136" i="3"/>
  <c r="V136" i="3"/>
  <c r="U136" i="3"/>
  <c r="T136" i="3"/>
  <c r="S136" i="3"/>
  <c r="R136" i="3"/>
  <c r="P136" i="3"/>
  <c r="O136" i="3"/>
  <c r="N136" i="3"/>
  <c r="M136" i="3"/>
  <c r="L136" i="3"/>
  <c r="K136" i="3"/>
  <c r="J136" i="3"/>
  <c r="AW135" i="3"/>
  <c r="AA135" i="3"/>
  <c r="Z135" i="3"/>
  <c r="Y135" i="3"/>
  <c r="X135" i="3"/>
  <c r="W135" i="3"/>
  <c r="V135" i="3"/>
  <c r="U135" i="3"/>
  <c r="T135" i="3"/>
  <c r="S135" i="3"/>
  <c r="R135" i="3"/>
  <c r="Q135" i="3"/>
  <c r="P135" i="3"/>
  <c r="O135" i="3"/>
  <c r="N135" i="3"/>
  <c r="M135" i="3"/>
  <c r="L135" i="3"/>
  <c r="K135" i="3"/>
  <c r="J135" i="3"/>
  <c r="AW134" i="3"/>
  <c r="AA134" i="3"/>
  <c r="Z134" i="3"/>
  <c r="Y134" i="3"/>
  <c r="X134" i="3"/>
  <c r="W134" i="3"/>
  <c r="V134" i="3"/>
  <c r="U134" i="3"/>
  <c r="T134" i="3"/>
  <c r="S134" i="3"/>
  <c r="R134" i="3"/>
  <c r="P134" i="3"/>
  <c r="O134" i="3"/>
  <c r="N134" i="3"/>
  <c r="M134" i="3"/>
  <c r="L134" i="3"/>
  <c r="AW133" i="3"/>
  <c r="AA133" i="3"/>
  <c r="Z133" i="3"/>
  <c r="Y133" i="3"/>
  <c r="X133" i="3"/>
  <c r="W133" i="3"/>
  <c r="V133" i="3"/>
  <c r="U133" i="3"/>
  <c r="T133" i="3"/>
  <c r="S133" i="3"/>
  <c r="R133" i="3"/>
  <c r="Q133" i="3"/>
  <c r="P133" i="3"/>
  <c r="O133" i="3"/>
  <c r="N133" i="3"/>
  <c r="M133" i="3"/>
  <c r="L133" i="3"/>
  <c r="K133" i="3"/>
  <c r="J133" i="3"/>
  <c r="AW132" i="3"/>
  <c r="AA132" i="3"/>
  <c r="Z132" i="3"/>
  <c r="Y132" i="3"/>
  <c r="X132" i="3"/>
  <c r="W132" i="3"/>
  <c r="V132" i="3"/>
  <c r="U132" i="3"/>
  <c r="T132" i="3"/>
  <c r="S132" i="3"/>
  <c r="R132" i="3"/>
  <c r="Q132" i="3"/>
  <c r="P132" i="3"/>
  <c r="O132" i="3"/>
  <c r="N132" i="3"/>
  <c r="M132" i="3"/>
  <c r="L132" i="3"/>
  <c r="K132" i="3"/>
  <c r="J132" i="3"/>
  <c r="AW131" i="3"/>
  <c r="AA131" i="3"/>
  <c r="Z131" i="3"/>
  <c r="Y131" i="3"/>
  <c r="X131" i="3"/>
  <c r="W131" i="3"/>
  <c r="V131" i="3"/>
  <c r="U131" i="3"/>
  <c r="T131" i="3"/>
  <c r="S131" i="3"/>
  <c r="R131" i="3"/>
  <c r="Q131" i="3"/>
  <c r="P131" i="3"/>
  <c r="O131" i="3"/>
  <c r="N131" i="3"/>
  <c r="M131" i="3"/>
  <c r="L131" i="3"/>
  <c r="K131" i="3"/>
  <c r="J131" i="3"/>
  <c r="AW130" i="3"/>
  <c r="AA130" i="3"/>
  <c r="Z130" i="3"/>
  <c r="Y130" i="3"/>
  <c r="X130" i="3"/>
  <c r="W130" i="3"/>
  <c r="V130" i="3"/>
  <c r="U130" i="3"/>
  <c r="T130" i="3"/>
  <c r="S130" i="3"/>
  <c r="R130" i="3"/>
  <c r="Q130" i="3"/>
  <c r="P130" i="3"/>
  <c r="O130" i="3"/>
  <c r="N130" i="3"/>
  <c r="M130" i="3"/>
  <c r="L130" i="3"/>
  <c r="K130" i="3"/>
  <c r="J130" i="3"/>
  <c r="AW129" i="3"/>
  <c r="AA129" i="3"/>
  <c r="Z129" i="3"/>
  <c r="Y129" i="3"/>
  <c r="X129" i="3"/>
  <c r="W129" i="3"/>
  <c r="V129" i="3"/>
  <c r="U129" i="3"/>
  <c r="T129" i="3"/>
  <c r="S129" i="3"/>
  <c r="R129" i="3"/>
  <c r="Q129" i="3"/>
  <c r="P129" i="3"/>
  <c r="O129" i="3"/>
  <c r="N129" i="3"/>
  <c r="M129" i="3"/>
  <c r="L129" i="3"/>
  <c r="K129" i="3"/>
  <c r="J129" i="3"/>
  <c r="AW128" i="3"/>
  <c r="AA128" i="3"/>
  <c r="Z128" i="3"/>
  <c r="Y128" i="3"/>
  <c r="X128" i="3"/>
  <c r="W128" i="3"/>
  <c r="V128" i="3"/>
  <c r="U128" i="3"/>
  <c r="T128" i="3"/>
  <c r="S128" i="3"/>
  <c r="R128" i="3"/>
  <c r="Q128" i="3"/>
  <c r="P128" i="3"/>
  <c r="O128" i="3"/>
  <c r="N128" i="3"/>
  <c r="M128" i="3"/>
  <c r="L128" i="3"/>
  <c r="K128" i="3"/>
  <c r="J128" i="3"/>
  <c r="AW127" i="3"/>
  <c r="AA127" i="3"/>
  <c r="Z127" i="3"/>
  <c r="Y127" i="3"/>
  <c r="X127" i="3"/>
  <c r="W127" i="3"/>
  <c r="V127" i="3"/>
  <c r="U127" i="3"/>
  <c r="T127" i="3"/>
  <c r="S127" i="3"/>
  <c r="R127" i="3"/>
  <c r="Q127" i="3"/>
  <c r="P127" i="3"/>
  <c r="O127" i="3"/>
  <c r="N127" i="3"/>
  <c r="M127" i="3"/>
  <c r="L127" i="3"/>
  <c r="K127" i="3"/>
  <c r="J127" i="3"/>
  <c r="AW126" i="3"/>
  <c r="AA126" i="3"/>
  <c r="Z126" i="3"/>
  <c r="Y126" i="3"/>
  <c r="X126" i="3"/>
  <c r="W126" i="3"/>
  <c r="V126" i="3"/>
  <c r="U126" i="3"/>
  <c r="T126" i="3"/>
  <c r="S126" i="3"/>
  <c r="R126" i="3"/>
  <c r="Q126" i="3"/>
  <c r="P126" i="3"/>
  <c r="O126" i="3"/>
  <c r="N126" i="3"/>
  <c r="M126" i="3"/>
  <c r="L126" i="3"/>
  <c r="K126" i="3"/>
  <c r="J126" i="3"/>
  <c r="AW125" i="3"/>
  <c r="AA125" i="3"/>
  <c r="Z125" i="3"/>
  <c r="Y125" i="3"/>
  <c r="X125" i="3"/>
  <c r="W125" i="3"/>
  <c r="V125" i="3"/>
  <c r="U125" i="3"/>
  <c r="T125" i="3"/>
  <c r="S125" i="3"/>
  <c r="R125" i="3"/>
  <c r="Q125" i="3"/>
  <c r="P125" i="3"/>
  <c r="O125" i="3"/>
  <c r="N125" i="3"/>
  <c r="M125" i="3"/>
  <c r="L125" i="3"/>
  <c r="K125" i="3"/>
  <c r="J125" i="3"/>
  <c r="AW124" i="3"/>
  <c r="AL124" i="3"/>
  <c r="AK124" i="3"/>
  <c r="AJ124" i="3"/>
  <c r="AI124" i="3"/>
  <c r="AH124" i="3"/>
  <c r="AG124" i="3"/>
  <c r="AF124" i="3"/>
  <c r="AE124" i="3"/>
  <c r="AD124" i="3"/>
  <c r="AC124" i="3"/>
  <c r="AB124" i="3"/>
  <c r="AA124" i="3"/>
  <c r="Z124" i="3"/>
  <c r="Y124" i="3"/>
  <c r="X124" i="3"/>
  <c r="W124" i="3"/>
  <c r="V124" i="3"/>
  <c r="U124" i="3"/>
  <c r="T124" i="3"/>
  <c r="S124" i="3"/>
  <c r="R124" i="3"/>
  <c r="Q124" i="3"/>
  <c r="P124" i="3"/>
  <c r="O124" i="3"/>
  <c r="N124" i="3"/>
  <c r="M124" i="3"/>
  <c r="L124" i="3"/>
  <c r="K124" i="3"/>
  <c r="J124" i="3"/>
  <c r="AW123" i="3"/>
  <c r="AL123" i="3"/>
  <c r="AK123" i="3"/>
  <c r="AJ123" i="3"/>
  <c r="AI123" i="3"/>
  <c r="AH123" i="3"/>
  <c r="AG123" i="3"/>
  <c r="AF123" i="3"/>
  <c r="AE123" i="3"/>
  <c r="AD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P123" i="3"/>
  <c r="O123" i="3"/>
  <c r="N123" i="3"/>
  <c r="M123" i="3"/>
  <c r="L123" i="3"/>
  <c r="K123" i="3"/>
  <c r="J123" i="3"/>
  <c r="AW122" i="3"/>
  <c r="AL122" i="3"/>
  <c r="AK122" i="3"/>
  <c r="AJ122" i="3"/>
  <c r="AI122" i="3"/>
  <c r="AH122" i="3"/>
  <c r="AG122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P122" i="3"/>
  <c r="O122" i="3"/>
  <c r="N122" i="3"/>
  <c r="M122" i="3"/>
  <c r="L122" i="3"/>
  <c r="K122" i="3"/>
  <c r="J122" i="3"/>
  <c r="AW121" i="3"/>
  <c r="AL121" i="3"/>
  <c r="AK121" i="3"/>
  <c r="AJ121" i="3"/>
  <c r="AI121" i="3"/>
  <c r="AH121" i="3"/>
  <c r="AG121" i="3"/>
  <c r="AF121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P121" i="3"/>
  <c r="O121" i="3"/>
  <c r="N121" i="3"/>
  <c r="M121" i="3"/>
  <c r="L121" i="3"/>
  <c r="K121" i="3"/>
  <c r="J121" i="3"/>
  <c r="AW120" i="3"/>
  <c r="AL120" i="3"/>
  <c r="AK120" i="3"/>
  <c r="AJ120" i="3"/>
  <c r="AI120" i="3"/>
  <c r="AH120" i="3"/>
  <c r="AG120" i="3"/>
  <c r="AF120" i="3"/>
  <c r="AE120" i="3"/>
  <c r="AD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P120" i="3"/>
  <c r="O120" i="3"/>
  <c r="N120" i="3"/>
  <c r="M120" i="3"/>
  <c r="L120" i="3"/>
  <c r="K120" i="3"/>
  <c r="J120" i="3"/>
  <c r="AW119" i="3"/>
  <c r="AL119" i="3"/>
  <c r="AK119" i="3"/>
  <c r="AJ119" i="3"/>
  <c r="AI119" i="3"/>
  <c r="AH119" i="3"/>
  <c r="AG119" i="3"/>
  <c r="AF119" i="3"/>
  <c r="AE119" i="3"/>
  <c r="AD119" i="3"/>
  <c r="AC119" i="3"/>
  <c r="AB119" i="3"/>
  <c r="AA119" i="3"/>
  <c r="Z119" i="3"/>
  <c r="Y119" i="3"/>
  <c r="X119" i="3"/>
  <c r="W119" i="3"/>
  <c r="V119" i="3"/>
  <c r="U119" i="3"/>
  <c r="T119" i="3"/>
  <c r="S119" i="3"/>
  <c r="R119" i="3"/>
  <c r="Q119" i="3"/>
  <c r="P119" i="3"/>
  <c r="O119" i="3"/>
  <c r="N119" i="3"/>
  <c r="M119" i="3"/>
  <c r="L119" i="3"/>
  <c r="K119" i="3"/>
  <c r="J119" i="3"/>
  <c r="AW118" i="3"/>
  <c r="AA118" i="3"/>
  <c r="Z118" i="3"/>
  <c r="Y118" i="3"/>
  <c r="X118" i="3"/>
  <c r="W118" i="3"/>
  <c r="V118" i="3"/>
  <c r="U118" i="3"/>
  <c r="T118" i="3"/>
  <c r="S118" i="3"/>
  <c r="R118" i="3"/>
  <c r="Q118" i="3"/>
  <c r="P118" i="3"/>
  <c r="O118" i="3"/>
  <c r="N118" i="3"/>
  <c r="M118" i="3"/>
  <c r="L118" i="3"/>
  <c r="K118" i="3"/>
  <c r="J118" i="3"/>
  <c r="AW117" i="3"/>
  <c r="AA117" i="3"/>
  <c r="Z117" i="3"/>
  <c r="Y117" i="3"/>
  <c r="X117" i="3"/>
  <c r="W117" i="3"/>
  <c r="V117" i="3"/>
  <c r="U117" i="3"/>
  <c r="T117" i="3"/>
  <c r="S117" i="3"/>
  <c r="R117" i="3"/>
  <c r="Q117" i="3"/>
  <c r="P117" i="3"/>
  <c r="O117" i="3"/>
  <c r="N117" i="3"/>
  <c r="M117" i="3"/>
  <c r="L117" i="3"/>
  <c r="K117" i="3"/>
  <c r="J117" i="3"/>
  <c r="AW116" i="3"/>
  <c r="AA116" i="3"/>
  <c r="Z116" i="3"/>
  <c r="Y116" i="3"/>
  <c r="X116" i="3"/>
  <c r="W116" i="3"/>
  <c r="V116" i="3"/>
  <c r="U116" i="3"/>
  <c r="T116" i="3"/>
  <c r="S116" i="3"/>
  <c r="R116" i="3"/>
  <c r="Q116" i="3"/>
  <c r="P116" i="3"/>
  <c r="O116" i="3"/>
  <c r="N116" i="3"/>
  <c r="M116" i="3"/>
  <c r="L116" i="3"/>
  <c r="K116" i="3"/>
  <c r="J116" i="3"/>
  <c r="AW115" i="3"/>
  <c r="AA115" i="3"/>
  <c r="Z115" i="3"/>
  <c r="Y115" i="3"/>
  <c r="X115" i="3"/>
  <c r="W115" i="3"/>
  <c r="V115" i="3"/>
  <c r="U115" i="3"/>
  <c r="T115" i="3"/>
  <c r="S115" i="3"/>
  <c r="R115" i="3"/>
  <c r="Q115" i="3"/>
  <c r="P115" i="3"/>
  <c r="O115" i="3"/>
  <c r="N115" i="3"/>
  <c r="M115" i="3"/>
  <c r="L115" i="3"/>
  <c r="K115" i="3"/>
  <c r="J115" i="3"/>
  <c r="AW114" i="3"/>
  <c r="AA114" i="3"/>
  <c r="Z114" i="3"/>
  <c r="Y114" i="3"/>
  <c r="X114" i="3"/>
  <c r="W114" i="3"/>
  <c r="V114" i="3"/>
  <c r="U114" i="3"/>
  <c r="T114" i="3"/>
  <c r="S114" i="3"/>
  <c r="R114" i="3"/>
  <c r="Q114" i="3"/>
  <c r="P114" i="3"/>
  <c r="O114" i="3"/>
  <c r="N114" i="3"/>
  <c r="M114" i="3"/>
  <c r="L114" i="3"/>
  <c r="K114" i="3"/>
  <c r="J114" i="3"/>
  <c r="AW113" i="3"/>
  <c r="AA113" i="3"/>
  <c r="Z113" i="3"/>
  <c r="Y113" i="3"/>
  <c r="X113" i="3"/>
  <c r="W113" i="3"/>
  <c r="V113" i="3"/>
  <c r="U113" i="3"/>
  <c r="T113" i="3"/>
  <c r="S113" i="3"/>
  <c r="R113" i="3"/>
  <c r="Q113" i="3"/>
  <c r="P113" i="3"/>
  <c r="O113" i="3"/>
  <c r="N113" i="3"/>
  <c r="M113" i="3"/>
  <c r="L113" i="3"/>
  <c r="K113" i="3"/>
  <c r="J113" i="3"/>
  <c r="AW112" i="3"/>
  <c r="AA112" i="3"/>
  <c r="Z112" i="3"/>
  <c r="Y112" i="3"/>
  <c r="X112" i="3"/>
  <c r="W112" i="3"/>
  <c r="V112" i="3"/>
  <c r="U112" i="3"/>
  <c r="T112" i="3"/>
  <c r="S112" i="3"/>
  <c r="R112" i="3"/>
  <c r="Q112" i="3"/>
  <c r="P112" i="3"/>
  <c r="O112" i="3"/>
  <c r="N112" i="3"/>
  <c r="M112" i="3"/>
  <c r="L112" i="3"/>
  <c r="K112" i="3"/>
  <c r="J112" i="3"/>
  <c r="AW111" i="3"/>
  <c r="AA111" i="3"/>
  <c r="Z111" i="3"/>
  <c r="Y111" i="3"/>
  <c r="X111" i="3"/>
  <c r="W111" i="3"/>
  <c r="V111" i="3"/>
  <c r="U111" i="3"/>
  <c r="T111" i="3"/>
  <c r="S111" i="3"/>
  <c r="R111" i="3"/>
  <c r="Q111" i="3"/>
  <c r="P111" i="3"/>
  <c r="O111" i="3"/>
  <c r="N111" i="3"/>
  <c r="M111" i="3"/>
  <c r="L111" i="3"/>
  <c r="K111" i="3"/>
  <c r="J111" i="3"/>
  <c r="AW110" i="3"/>
  <c r="AA110" i="3"/>
  <c r="Z110" i="3"/>
  <c r="Y110" i="3"/>
  <c r="X110" i="3"/>
  <c r="W110" i="3"/>
  <c r="V110" i="3"/>
  <c r="U110" i="3"/>
  <c r="T110" i="3"/>
  <c r="S110" i="3"/>
  <c r="R110" i="3"/>
  <c r="Q110" i="3"/>
  <c r="P110" i="3"/>
  <c r="O110" i="3"/>
  <c r="N110" i="3"/>
  <c r="M110" i="3"/>
  <c r="L110" i="3"/>
  <c r="K110" i="3"/>
  <c r="J110" i="3"/>
  <c r="AW109" i="3"/>
  <c r="AA109" i="3"/>
  <c r="Z109" i="3"/>
  <c r="Y109" i="3"/>
  <c r="X109" i="3"/>
  <c r="W109" i="3"/>
  <c r="V109" i="3"/>
  <c r="U109" i="3"/>
  <c r="T109" i="3"/>
  <c r="S109" i="3"/>
  <c r="R109" i="3"/>
  <c r="Q109" i="3"/>
  <c r="P109" i="3"/>
  <c r="O109" i="3"/>
  <c r="N109" i="3"/>
  <c r="M109" i="3"/>
  <c r="L109" i="3"/>
  <c r="K109" i="3"/>
  <c r="J109" i="3"/>
  <c r="AW108" i="3"/>
  <c r="AA108" i="3"/>
  <c r="Z108" i="3"/>
  <c r="Y108" i="3"/>
  <c r="X108" i="3"/>
  <c r="W108" i="3"/>
  <c r="V108" i="3"/>
  <c r="U108" i="3"/>
  <c r="T108" i="3"/>
  <c r="S108" i="3"/>
  <c r="R108" i="3"/>
  <c r="Q108" i="3"/>
  <c r="P108" i="3"/>
  <c r="O108" i="3"/>
  <c r="N108" i="3"/>
  <c r="M108" i="3"/>
  <c r="L108" i="3"/>
  <c r="K108" i="3"/>
  <c r="J108" i="3"/>
  <c r="AW107" i="3"/>
  <c r="AA107" i="3"/>
  <c r="Z107" i="3"/>
  <c r="Y107" i="3"/>
  <c r="X107" i="3"/>
  <c r="W107" i="3"/>
  <c r="V107" i="3"/>
  <c r="U107" i="3"/>
  <c r="T107" i="3"/>
  <c r="S107" i="3"/>
  <c r="R107" i="3"/>
  <c r="Q107" i="3"/>
  <c r="P107" i="3"/>
  <c r="O107" i="3"/>
  <c r="N107" i="3"/>
  <c r="M107" i="3"/>
  <c r="L107" i="3"/>
  <c r="K107" i="3"/>
  <c r="J107" i="3"/>
  <c r="AW106" i="3"/>
  <c r="AA106" i="3"/>
  <c r="Z106" i="3"/>
  <c r="Y106" i="3"/>
  <c r="X106" i="3"/>
  <c r="W106" i="3"/>
  <c r="V106" i="3"/>
  <c r="U106" i="3"/>
  <c r="T106" i="3"/>
  <c r="S106" i="3"/>
  <c r="R106" i="3"/>
  <c r="Q106" i="3"/>
  <c r="P106" i="3"/>
  <c r="O106" i="3"/>
  <c r="N106" i="3"/>
  <c r="M106" i="3"/>
  <c r="L106" i="3"/>
  <c r="K106" i="3"/>
  <c r="J106" i="3"/>
  <c r="AW105" i="3"/>
  <c r="AA105" i="3"/>
  <c r="Z105" i="3"/>
  <c r="Y105" i="3"/>
  <c r="X105" i="3"/>
  <c r="W105" i="3"/>
  <c r="V105" i="3"/>
  <c r="U105" i="3"/>
  <c r="T105" i="3"/>
  <c r="S105" i="3"/>
  <c r="R105" i="3"/>
  <c r="Q105" i="3"/>
  <c r="P105" i="3"/>
  <c r="O105" i="3"/>
  <c r="N105" i="3"/>
  <c r="M105" i="3"/>
  <c r="L105" i="3"/>
  <c r="K105" i="3"/>
  <c r="J105" i="3"/>
  <c r="AW104" i="3"/>
  <c r="AA104" i="3"/>
  <c r="Z104" i="3"/>
  <c r="Y104" i="3"/>
  <c r="X104" i="3"/>
  <c r="W104" i="3"/>
  <c r="V104" i="3"/>
  <c r="U104" i="3"/>
  <c r="T104" i="3"/>
  <c r="S104" i="3"/>
  <c r="R104" i="3"/>
  <c r="Q104" i="3"/>
  <c r="P104" i="3"/>
  <c r="O104" i="3"/>
  <c r="N104" i="3"/>
  <c r="M104" i="3"/>
  <c r="L104" i="3"/>
  <c r="K104" i="3"/>
  <c r="J104" i="3"/>
  <c r="AW103" i="3"/>
  <c r="AA103" i="3"/>
  <c r="Z103" i="3"/>
  <c r="Y103" i="3"/>
  <c r="X103" i="3"/>
  <c r="W103" i="3"/>
  <c r="V103" i="3"/>
  <c r="U103" i="3"/>
  <c r="T103" i="3"/>
  <c r="S103" i="3"/>
  <c r="R103" i="3"/>
  <c r="Q103" i="3"/>
  <c r="P103" i="3"/>
  <c r="O103" i="3"/>
  <c r="N103" i="3"/>
  <c r="M103" i="3"/>
  <c r="L103" i="3"/>
  <c r="K103" i="3"/>
  <c r="J103" i="3"/>
  <c r="AW102" i="3"/>
  <c r="AA102" i="3"/>
  <c r="Z102" i="3"/>
  <c r="Y102" i="3"/>
  <c r="X102" i="3"/>
  <c r="W102" i="3"/>
  <c r="V102" i="3"/>
  <c r="U102" i="3"/>
  <c r="T102" i="3"/>
  <c r="S102" i="3"/>
  <c r="R102" i="3"/>
  <c r="Q102" i="3"/>
  <c r="P102" i="3"/>
  <c r="O102" i="3"/>
  <c r="N102" i="3"/>
  <c r="M102" i="3"/>
  <c r="L102" i="3"/>
  <c r="K102" i="3"/>
  <c r="J102" i="3"/>
  <c r="AW101" i="3"/>
  <c r="AA101" i="3"/>
  <c r="Z101" i="3"/>
  <c r="Y101" i="3"/>
  <c r="X101" i="3"/>
  <c r="W101" i="3"/>
  <c r="V101" i="3"/>
  <c r="U101" i="3"/>
  <c r="T101" i="3"/>
  <c r="S101" i="3"/>
  <c r="R101" i="3"/>
  <c r="Q101" i="3"/>
  <c r="P101" i="3"/>
  <c r="O101" i="3"/>
  <c r="N101" i="3"/>
  <c r="M101" i="3"/>
  <c r="L101" i="3"/>
  <c r="K101" i="3"/>
  <c r="J101" i="3"/>
  <c r="AW100" i="3"/>
  <c r="AA100" i="3"/>
  <c r="Z100" i="3"/>
  <c r="Y100" i="3"/>
  <c r="X100" i="3"/>
  <c r="W100" i="3"/>
  <c r="V100" i="3"/>
  <c r="U100" i="3"/>
  <c r="T100" i="3"/>
  <c r="S100" i="3"/>
  <c r="R100" i="3"/>
  <c r="Q100" i="3"/>
  <c r="P100" i="3"/>
  <c r="O100" i="3"/>
  <c r="N100" i="3"/>
  <c r="M100" i="3"/>
  <c r="L100" i="3"/>
  <c r="K100" i="3"/>
  <c r="J100" i="3"/>
  <c r="AW99" i="3"/>
  <c r="AA99" i="3"/>
  <c r="Z99" i="3"/>
  <c r="Y99" i="3"/>
  <c r="X99" i="3"/>
  <c r="W99" i="3"/>
  <c r="V99" i="3"/>
  <c r="U99" i="3"/>
  <c r="T99" i="3"/>
  <c r="S99" i="3"/>
  <c r="R99" i="3"/>
  <c r="Q99" i="3"/>
  <c r="P99" i="3"/>
  <c r="O99" i="3"/>
  <c r="N99" i="3"/>
  <c r="M99" i="3"/>
  <c r="L99" i="3"/>
  <c r="K99" i="3"/>
  <c r="J99" i="3"/>
  <c r="AW98" i="3"/>
  <c r="AA98" i="3"/>
  <c r="Z98" i="3"/>
  <c r="Y98" i="3"/>
  <c r="X98" i="3"/>
  <c r="W98" i="3"/>
  <c r="V98" i="3"/>
  <c r="U98" i="3"/>
  <c r="T98" i="3"/>
  <c r="S98" i="3"/>
  <c r="R98" i="3"/>
  <c r="Q98" i="3"/>
  <c r="P98" i="3"/>
  <c r="O98" i="3"/>
  <c r="N98" i="3"/>
  <c r="M98" i="3"/>
  <c r="L98" i="3"/>
  <c r="K98" i="3"/>
  <c r="J98" i="3"/>
  <c r="AW97" i="3"/>
  <c r="AA97" i="3"/>
  <c r="Z97" i="3"/>
  <c r="Y97" i="3"/>
  <c r="X97" i="3"/>
  <c r="W97" i="3"/>
  <c r="V97" i="3"/>
  <c r="U97" i="3"/>
  <c r="T97" i="3"/>
  <c r="S97" i="3"/>
  <c r="R97" i="3"/>
  <c r="Q97" i="3"/>
  <c r="P97" i="3"/>
  <c r="O97" i="3"/>
  <c r="N97" i="3"/>
  <c r="M97" i="3"/>
  <c r="L97" i="3"/>
  <c r="K97" i="3"/>
  <c r="J97" i="3"/>
  <c r="AW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P96" i="3"/>
  <c r="O96" i="3"/>
  <c r="N96" i="3"/>
  <c r="M96" i="3"/>
  <c r="L96" i="3"/>
  <c r="K96" i="3"/>
  <c r="J96" i="3"/>
  <c r="AW95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P95" i="3"/>
  <c r="O95" i="3"/>
  <c r="N95" i="3"/>
  <c r="M95" i="3"/>
  <c r="L95" i="3"/>
  <c r="K95" i="3"/>
  <c r="J95" i="3"/>
  <c r="AW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P94" i="3"/>
  <c r="O94" i="3"/>
  <c r="N94" i="3"/>
  <c r="M94" i="3"/>
  <c r="L94" i="3"/>
  <c r="K94" i="3"/>
  <c r="J94" i="3"/>
  <c r="AW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P93" i="3"/>
  <c r="O93" i="3"/>
  <c r="N93" i="3"/>
  <c r="M93" i="3"/>
  <c r="L93" i="3"/>
  <c r="K93" i="3"/>
  <c r="J93" i="3"/>
  <c r="AW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O92" i="3"/>
  <c r="N92" i="3"/>
  <c r="M92" i="3"/>
  <c r="L92" i="3"/>
  <c r="K92" i="3"/>
  <c r="J92" i="3"/>
  <c r="AW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P91" i="3"/>
  <c r="O91" i="3"/>
  <c r="N91" i="3"/>
  <c r="M91" i="3"/>
  <c r="L91" i="3"/>
  <c r="K91" i="3"/>
  <c r="J91" i="3"/>
  <c r="AW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P90" i="3"/>
  <c r="O90" i="3"/>
  <c r="N90" i="3"/>
  <c r="M90" i="3"/>
  <c r="L90" i="3"/>
  <c r="K90" i="3"/>
  <c r="J90" i="3"/>
  <c r="AW89" i="3"/>
  <c r="AL89" i="3"/>
  <c r="AK89" i="3"/>
  <c r="AJ89" i="3"/>
  <c r="AI89" i="3"/>
  <c r="AH89" i="3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P89" i="3"/>
  <c r="O89" i="3"/>
  <c r="N89" i="3"/>
  <c r="M89" i="3"/>
  <c r="L89" i="3"/>
  <c r="K89" i="3"/>
  <c r="J89" i="3"/>
  <c r="AW88" i="3"/>
  <c r="AL88" i="3"/>
  <c r="AK88" i="3"/>
  <c r="AJ88" i="3"/>
  <c r="AI88" i="3"/>
  <c r="AH88" i="3"/>
  <c r="AG88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P88" i="3"/>
  <c r="O88" i="3"/>
  <c r="N88" i="3"/>
  <c r="M88" i="3"/>
  <c r="L88" i="3"/>
  <c r="K88" i="3"/>
  <c r="J88" i="3"/>
  <c r="AW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P87" i="3"/>
  <c r="O87" i="3"/>
  <c r="N87" i="3"/>
  <c r="M87" i="3"/>
  <c r="L87" i="3"/>
  <c r="K87" i="3"/>
  <c r="J87" i="3"/>
  <c r="AW86" i="3"/>
  <c r="AL86" i="3"/>
  <c r="AK86" i="3"/>
  <c r="AJ86" i="3"/>
  <c r="AI86" i="3"/>
  <c r="AH86" i="3"/>
  <c r="AG86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P86" i="3"/>
  <c r="O86" i="3"/>
  <c r="N86" i="3"/>
  <c r="M86" i="3"/>
  <c r="L86" i="3"/>
  <c r="K86" i="3"/>
  <c r="J86" i="3"/>
  <c r="AW85" i="3"/>
  <c r="AA85" i="3"/>
  <c r="Z85" i="3"/>
  <c r="Y85" i="3"/>
  <c r="X85" i="3"/>
  <c r="W85" i="3"/>
  <c r="V85" i="3"/>
  <c r="U85" i="3"/>
  <c r="T85" i="3"/>
  <c r="S85" i="3"/>
  <c r="R85" i="3"/>
  <c r="Q85" i="3"/>
  <c r="P85" i="3"/>
  <c r="O85" i="3"/>
  <c r="N85" i="3"/>
  <c r="M85" i="3"/>
  <c r="L85" i="3"/>
  <c r="K85" i="3"/>
  <c r="J85" i="3"/>
  <c r="AW84" i="3"/>
  <c r="AA84" i="3"/>
  <c r="Z84" i="3"/>
  <c r="Y84" i="3"/>
  <c r="X84" i="3"/>
  <c r="W84" i="3"/>
  <c r="V84" i="3"/>
  <c r="U84" i="3"/>
  <c r="T84" i="3"/>
  <c r="S84" i="3"/>
  <c r="R84" i="3"/>
  <c r="Q84" i="3"/>
  <c r="P84" i="3"/>
  <c r="O84" i="3"/>
  <c r="N84" i="3"/>
  <c r="M84" i="3"/>
  <c r="L84" i="3"/>
  <c r="K84" i="3"/>
  <c r="J84" i="3"/>
  <c r="AW83" i="3"/>
  <c r="AA83" i="3"/>
  <c r="Z83" i="3"/>
  <c r="Y83" i="3"/>
  <c r="X83" i="3"/>
  <c r="W83" i="3"/>
  <c r="V83" i="3"/>
  <c r="U83" i="3"/>
  <c r="T83" i="3"/>
  <c r="S83" i="3"/>
  <c r="R83" i="3"/>
  <c r="Q83" i="3"/>
  <c r="P83" i="3"/>
  <c r="O83" i="3"/>
  <c r="N83" i="3"/>
  <c r="M83" i="3"/>
  <c r="L83" i="3"/>
  <c r="K83" i="3"/>
  <c r="J83" i="3"/>
  <c r="AW82" i="3"/>
  <c r="AA82" i="3"/>
  <c r="Z82" i="3"/>
  <c r="Y82" i="3"/>
  <c r="X82" i="3"/>
  <c r="W82" i="3"/>
  <c r="V82" i="3"/>
  <c r="U82" i="3"/>
  <c r="T82" i="3"/>
  <c r="S82" i="3"/>
  <c r="R82" i="3"/>
  <c r="Q82" i="3"/>
  <c r="P82" i="3"/>
  <c r="O82" i="3"/>
  <c r="N82" i="3"/>
  <c r="M82" i="3"/>
  <c r="L82" i="3"/>
  <c r="K82" i="3"/>
  <c r="J82" i="3"/>
  <c r="AW81" i="3"/>
  <c r="AA81" i="3"/>
  <c r="Z81" i="3"/>
  <c r="Y81" i="3"/>
  <c r="X81" i="3"/>
  <c r="W81" i="3"/>
  <c r="V81" i="3"/>
  <c r="U81" i="3"/>
  <c r="T81" i="3"/>
  <c r="S81" i="3"/>
  <c r="R81" i="3"/>
  <c r="Q81" i="3"/>
  <c r="P81" i="3"/>
  <c r="O81" i="3"/>
  <c r="N81" i="3"/>
  <c r="M81" i="3"/>
  <c r="L81" i="3"/>
  <c r="K81" i="3"/>
  <c r="J81" i="3"/>
  <c r="AW80" i="3"/>
  <c r="AA80" i="3"/>
  <c r="Z80" i="3"/>
  <c r="Y80" i="3"/>
  <c r="X80" i="3"/>
  <c r="W80" i="3"/>
  <c r="V80" i="3"/>
  <c r="U80" i="3"/>
  <c r="T80" i="3"/>
  <c r="S80" i="3"/>
  <c r="R80" i="3"/>
  <c r="Q80" i="3"/>
  <c r="P80" i="3"/>
  <c r="O80" i="3"/>
  <c r="N80" i="3"/>
  <c r="M80" i="3"/>
  <c r="L80" i="3"/>
  <c r="K80" i="3"/>
  <c r="J80" i="3"/>
  <c r="AW79" i="3"/>
  <c r="AA79" i="3"/>
  <c r="Z79" i="3"/>
  <c r="Y79" i="3"/>
  <c r="X79" i="3"/>
  <c r="W79" i="3"/>
  <c r="V79" i="3"/>
  <c r="U79" i="3"/>
  <c r="T79" i="3"/>
  <c r="S79" i="3"/>
  <c r="R79" i="3"/>
  <c r="Q79" i="3"/>
  <c r="P79" i="3"/>
  <c r="O79" i="3"/>
  <c r="N79" i="3"/>
  <c r="M79" i="3"/>
  <c r="L79" i="3"/>
  <c r="K79" i="3"/>
  <c r="J79" i="3"/>
  <c r="AW78" i="3"/>
  <c r="AA78" i="3"/>
  <c r="Z78" i="3"/>
  <c r="Y78" i="3"/>
  <c r="X78" i="3"/>
  <c r="W78" i="3"/>
  <c r="V78" i="3"/>
  <c r="U78" i="3"/>
  <c r="T78" i="3"/>
  <c r="S78" i="3"/>
  <c r="R78" i="3"/>
  <c r="Q78" i="3"/>
  <c r="P78" i="3"/>
  <c r="O78" i="3"/>
  <c r="N78" i="3"/>
  <c r="M78" i="3"/>
  <c r="L78" i="3"/>
  <c r="K78" i="3"/>
  <c r="J78" i="3"/>
  <c r="AW77" i="3"/>
  <c r="AA77" i="3"/>
  <c r="Z77" i="3"/>
  <c r="Y77" i="3"/>
  <c r="X77" i="3"/>
  <c r="W77" i="3"/>
  <c r="V77" i="3"/>
  <c r="U77" i="3"/>
  <c r="T77" i="3"/>
  <c r="S77" i="3"/>
  <c r="R77" i="3"/>
  <c r="Q77" i="3"/>
  <c r="P77" i="3"/>
  <c r="O77" i="3"/>
  <c r="N77" i="3"/>
  <c r="M77" i="3"/>
  <c r="L77" i="3"/>
  <c r="K77" i="3"/>
  <c r="J77" i="3"/>
  <c r="AW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AW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AW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AW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AW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AW71" i="3"/>
  <c r="AA71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AW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AW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AW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AW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AW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AW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AW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AW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AW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AW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AW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AW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AW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AW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AW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AW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AW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AW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AW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AW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AW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AW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AW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AW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AW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AW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AW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AW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AW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AW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AW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AW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AW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AW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AW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AW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AW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AW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AW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AW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AW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AW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AW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AW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AW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AW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AW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AW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AW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AW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AW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AW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AW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AW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AW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AW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AW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AW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D11" i="3"/>
  <c r="D6" i="2"/>
  <c r="BA455" i="1"/>
  <c r="AZ455" i="1"/>
  <c r="AY455" i="1"/>
  <c r="BA454" i="1"/>
  <c r="AZ454" i="1"/>
  <c r="AY454" i="1"/>
  <c r="BA453" i="1"/>
  <c r="AZ453" i="1"/>
  <c r="AY453" i="1"/>
  <c r="BA452" i="1"/>
  <c r="AZ452" i="1"/>
  <c r="AY452" i="1"/>
  <c r="BA451" i="1"/>
  <c r="AZ451" i="1"/>
  <c r="AY451" i="1"/>
  <c r="BA450" i="1"/>
  <c r="AZ450" i="1"/>
  <c r="AY450" i="1"/>
  <c r="BA449" i="1"/>
  <c r="AZ449" i="1"/>
  <c r="AY449" i="1"/>
  <c r="BA448" i="1"/>
  <c r="AZ448" i="1"/>
  <c r="AY448" i="1"/>
  <c r="BA447" i="1"/>
  <c r="AZ447" i="1"/>
  <c r="AY447" i="1"/>
  <c r="BA446" i="1"/>
  <c r="AZ446" i="1"/>
  <c r="AY446" i="1"/>
  <c r="BA445" i="1"/>
  <c r="AZ445" i="1"/>
  <c r="AY445" i="1"/>
  <c r="BA444" i="1"/>
  <c r="AZ444" i="1"/>
  <c r="AY444" i="1"/>
  <c r="BA443" i="1"/>
  <c r="AZ443" i="1"/>
  <c r="AY443" i="1"/>
  <c r="BA442" i="1"/>
  <c r="AZ442" i="1"/>
  <c r="AY442" i="1"/>
  <c r="BA441" i="1"/>
  <c r="AZ441" i="1"/>
  <c r="AY441" i="1"/>
  <c r="BA440" i="1"/>
  <c r="AZ440" i="1"/>
  <c r="AY440" i="1"/>
  <c r="BA439" i="1"/>
  <c r="AZ439" i="1"/>
  <c r="AY439" i="1"/>
  <c r="BA438" i="1"/>
  <c r="AZ438" i="1"/>
  <c r="AY438" i="1"/>
  <c r="BA437" i="1"/>
  <c r="AZ437" i="1"/>
  <c r="AY437" i="1"/>
  <c r="BA436" i="1"/>
  <c r="AZ436" i="1"/>
  <c r="AY436" i="1"/>
  <c r="BA435" i="1"/>
  <c r="AZ435" i="1"/>
  <c r="AY435" i="1"/>
  <c r="BA434" i="1"/>
  <c r="AZ434" i="1"/>
  <c r="AY434" i="1"/>
  <c r="BA433" i="1"/>
  <c r="AZ433" i="1"/>
  <c r="AY433" i="1"/>
  <c r="BA432" i="1"/>
  <c r="AZ432" i="1"/>
  <c r="AY432" i="1"/>
  <c r="BA431" i="1"/>
  <c r="AZ431" i="1"/>
  <c r="AY431" i="1"/>
  <c r="BA430" i="1"/>
  <c r="AZ430" i="1"/>
  <c r="AY430" i="1"/>
  <c r="BA429" i="1"/>
  <c r="AZ429" i="1"/>
  <c r="AY429" i="1"/>
  <c r="BA428" i="1"/>
  <c r="AZ428" i="1"/>
  <c r="AY428" i="1"/>
  <c r="BA427" i="1"/>
  <c r="AZ427" i="1"/>
  <c r="AY427" i="1"/>
  <c r="BA426" i="1"/>
  <c r="AZ426" i="1"/>
  <c r="AY426" i="1"/>
  <c r="BA425" i="1"/>
  <c r="AZ425" i="1"/>
  <c r="AY425" i="1"/>
  <c r="BA424" i="1"/>
  <c r="AZ424" i="1"/>
  <c r="AY424" i="1"/>
  <c r="BA423" i="1"/>
  <c r="AZ423" i="1"/>
  <c r="AY423" i="1"/>
  <c r="BA422" i="1"/>
  <c r="AZ422" i="1"/>
  <c r="AY422" i="1"/>
  <c r="BA421" i="1"/>
  <c r="AZ421" i="1"/>
  <c r="AY421" i="1"/>
  <c r="BA420" i="1"/>
  <c r="AZ420" i="1"/>
  <c r="AY420" i="1"/>
  <c r="BA419" i="1"/>
  <c r="AZ419" i="1"/>
  <c r="AY419" i="1"/>
  <c r="BA418" i="1"/>
  <c r="AZ418" i="1"/>
  <c r="AY418" i="1"/>
  <c r="BA417" i="1"/>
  <c r="AZ417" i="1"/>
  <c r="AY417" i="1"/>
  <c r="BA416" i="1"/>
  <c r="AZ416" i="1"/>
  <c r="AY416" i="1"/>
  <c r="BA415" i="1"/>
  <c r="AZ415" i="1"/>
  <c r="AY415" i="1"/>
  <c r="BA414" i="1"/>
  <c r="AZ414" i="1"/>
  <c r="AY414" i="1"/>
  <c r="BA413" i="1"/>
  <c r="AZ413" i="1"/>
  <c r="AY413" i="1"/>
  <c r="BA412" i="1"/>
  <c r="AZ412" i="1"/>
  <c r="AY412" i="1"/>
  <c r="BA411" i="1"/>
  <c r="AZ411" i="1"/>
  <c r="AY411" i="1"/>
  <c r="BA410" i="1"/>
  <c r="AZ410" i="1"/>
  <c r="AY410" i="1"/>
  <c r="BA409" i="1"/>
  <c r="AZ409" i="1"/>
  <c r="AY409" i="1"/>
  <c r="BA408" i="1"/>
  <c r="AZ408" i="1"/>
  <c r="AY408" i="1"/>
  <c r="BA407" i="1"/>
  <c r="AZ407" i="1"/>
  <c r="AY407" i="1"/>
  <c r="BA406" i="1"/>
  <c r="AZ406" i="1"/>
  <c r="AY406" i="1"/>
  <c r="BA405" i="1"/>
  <c r="AZ405" i="1"/>
  <c r="AY405" i="1"/>
  <c r="BA404" i="1"/>
  <c r="AZ404" i="1"/>
  <c r="AY404" i="1"/>
  <c r="BA403" i="1"/>
  <c r="AZ403" i="1"/>
  <c r="AY403" i="1"/>
  <c r="BA402" i="1"/>
  <c r="AZ402" i="1"/>
  <c r="AY402" i="1"/>
  <c r="BA401" i="1"/>
  <c r="AZ401" i="1"/>
  <c r="AY401" i="1"/>
  <c r="BA400" i="1"/>
  <c r="AZ400" i="1"/>
  <c r="AY400" i="1"/>
  <c r="BA399" i="1"/>
  <c r="AZ399" i="1"/>
  <c r="AY399" i="1"/>
  <c r="BA398" i="1"/>
  <c r="AZ398" i="1"/>
  <c r="AY398" i="1"/>
  <c r="BA397" i="1"/>
  <c r="AZ397" i="1"/>
  <c r="AY397" i="1"/>
  <c r="BA396" i="1"/>
  <c r="AZ396" i="1"/>
  <c r="AY396" i="1"/>
  <c r="BA395" i="1"/>
  <c r="AZ395" i="1"/>
  <c r="AY395" i="1"/>
  <c r="BA394" i="1"/>
  <c r="AZ394" i="1"/>
  <c r="AY394" i="1"/>
  <c r="BA393" i="1"/>
  <c r="AZ393" i="1"/>
  <c r="AY393" i="1"/>
  <c r="BA392" i="1"/>
  <c r="AZ392" i="1"/>
  <c r="AY392" i="1"/>
  <c r="BA391" i="1"/>
  <c r="AZ391" i="1"/>
  <c r="AY391" i="1"/>
  <c r="BA390" i="1"/>
  <c r="AZ390" i="1"/>
  <c r="AY390" i="1"/>
  <c r="BA389" i="1"/>
  <c r="AZ389" i="1"/>
  <c r="AY389" i="1"/>
  <c r="BA388" i="1"/>
  <c r="AZ388" i="1"/>
  <c r="AY388" i="1"/>
  <c r="BA387" i="1"/>
  <c r="AZ387" i="1"/>
  <c r="AY387" i="1"/>
  <c r="BA386" i="1"/>
  <c r="AZ386" i="1"/>
  <c r="AY386" i="1"/>
  <c r="BA385" i="1"/>
  <c r="AZ385" i="1"/>
  <c r="AY385" i="1"/>
  <c r="BA384" i="1"/>
  <c r="AZ384" i="1"/>
  <c r="AY384" i="1"/>
  <c r="BA383" i="1"/>
  <c r="AZ383" i="1"/>
  <c r="AY383" i="1"/>
  <c r="BA382" i="1"/>
  <c r="AZ382" i="1"/>
  <c r="AY382" i="1"/>
  <c r="BA381" i="1"/>
  <c r="AZ381" i="1"/>
  <c r="AY381" i="1"/>
  <c r="BA380" i="1"/>
  <c r="AZ380" i="1"/>
  <c r="AY380" i="1"/>
  <c r="BA379" i="1"/>
  <c r="AZ379" i="1"/>
  <c r="AY379" i="1"/>
  <c r="BA378" i="1"/>
  <c r="AZ378" i="1"/>
  <c r="AY378" i="1"/>
  <c r="BA377" i="1"/>
  <c r="AZ377" i="1"/>
  <c r="AY377" i="1"/>
  <c r="BA376" i="1"/>
  <c r="AZ376" i="1"/>
  <c r="AY376" i="1"/>
  <c r="BA375" i="1"/>
  <c r="AZ375" i="1"/>
  <c r="AY375" i="1"/>
  <c r="BA374" i="1"/>
  <c r="AZ374" i="1"/>
  <c r="AY374" i="1"/>
  <c r="BA373" i="1"/>
  <c r="AZ373" i="1"/>
  <c r="AY373" i="1"/>
  <c r="BA372" i="1"/>
  <c r="AZ372" i="1"/>
  <c r="AY372" i="1"/>
  <c r="BA371" i="1"/>
  <c r="AZ371" i="1"/>
  <c r="AY371" i="1"/>
  <c r="BA370" i="1"/>
  <c r="AZ370" i="1"/>
  <c r="AY370" i="1"/>
  <c r="BA369" i="1"/>
  <c r="AZ369" i="1"/>
  <c r="AY369" i="1"/>
  <c r="BA368" i="1"/>
  <c r="AZ368" i="1"/>
  <c r="AY368" i="1"/>
  <c r="BA367" i="1"/>
  <c r="AZ367" i="1"/>
  <c r="AY367" i="1"/>
  <c r="BA366" i="1"/>
  <c r="AZ366" i="1"/>
  <c r="AY366" i="1"/>
  <c r="BA365" i="1"/>
  <c r="AZ365" i="1"/>
  <c r="AY365" i="1"/>
  <c r="BA364" i="1"/>
  <c r="AZ364" i="1"/>
  <c r="AY364" i="1"/>
  <c r="BA363" i="1"/>
  <c r="AZ363" i="1"/>
  <c r="AY363" i="1"/>
  <c r="BA362" i="1"/>
  <c r="AZ362" i="1"/>
  <c r="AY362" i="1"/>
  <c r="BA361" i="1"/>
  <c r="AZ361" i="1"/>
  <c r="AY361" i="1"/>
  <c r="BA360" i="1"/>
  <c r="AZ360" i="1"/>
  <c r="AY360" i="1"/>
  <c r="BA359" i="1"/>
  <c r="AZ359" i="1"/>
  <c r="AY359" i="1"/>
  <c r="BA358" i="1"/>
  <c r="AZ358" i="1"/>
  <c r="AY358" i="1"/>
  <c r="BA357" i="1"/>
  <c r="AZ357" i="1"/>
  <c r="AY357" i="1"/>
  <c r="BA356" i="1"/>
  <c r="AZ356" i="1"/>
  <c r="AY356" i="1"/>
  <c r="BA355" i="1"/>
  <c r="AZ355" i="1"/>
  <c r="AY355" i="1"/>
  <c r="BA354" i="1"/>
  <c r="AZ354" i="1"/>
  <c r="AY354" i="1"/>
  <c r="BA353" i="1"/>
  <c r="AZ353" i="1"/>
  <c r="AY353" i="1"/>
  <c r="BA352" i="1"/>
  <c r="AZ352" i="1"/>
  <c r="AY352" i="1"/>
  <c r="BA351" i="1"/>
  <c r="AZ351" i="1"/>
  <c r="AY351" i="1"/>
  <c r="BA350" i="1"/>
  <c r="AZ350" i="1"/>
  <c r="AY350" i="1"/>
  <c r="BA349" i="1"/>
  <c r="AZ349" i="1"/>
  <c r="AY349" i="1"/>
  <c r="BA348" i="1"/>
  <c r="AZ348" i="1"/>
  <c r="AY348" i="1"/>
  <c r="BA347" i="1"/>
  <c r="AZ347" i="1"/>
  <c r="AY347" i="1"/>
  <c r="BA346" i="1"/>
  <c r="AZ346" i="1"/>
  <c r="AY346" i="1"/>
  <c r="BA345" i="1"/>
  <c r="AZ345" i="1"/>
  <c r="AY345" i="1"/>
  <c r="P345" i="1"/>
  <c r="P345" i="3" s="1"/>
  <c r="O345" i="1"/>
  <c r="BA344" i="1"/>
  <c r="AZ344" i="1"/>
  <c r="AY344" i="1"/>
  <c r="P344" i="1"/>
  <c r="O344" i="1"/>
  <c r="O344" i="3" s="1"/>
  <c r="BA343" i="1"/>
  <c r="AZ343" i="1"/>
  <c r="AY343" i="1"/>
  <c r="P343" i="1"/>
  <c r="P343" i="3" s="1"/>
  <c r="O343" i="1"/>
  <c r="O343" i="3" s="1"/>
  <c r="BA342" i="1"/>
  <c r="AZ342" i="1"/>
  <c r="AY342" i="1"/>
  <c r="BA341" i="1"/>
  <c r="AZ341" i="1"/>
  <c r="AY341" i="1"/>
  <c r="BA340" i="1"/>
  <c r="AZ340" i="1"/>
  <c r="AY340" i="1"/>
  <c r="BA339" i="1"/>
  <c r="AZ339" i="1"/>
  <c r="AY339" i="1"/>
  <c r="BA338" i="1"/>
  <c r="AZ338" i="1"/>
  <c r="AY338" i="1"/>
  <c r="BA337" i="1"/>
  <c r="AZ337" i="1"/>
  <c r="AY337" i="1"/>
  <c r="BA336" i="1"/>
  <c r="AZ336" i="1"/>
  <c r="AY336" i="1"/>
  <c r="BA335" i="1"/>
  <c r="AZ335" i="1"/>
  <c r="AY335" i="1"/>
  <c r="BA334" i="1"/>
  <c r="AZ334" i="1"/>
  <c r="AY334" i="1"/>
  <c r="BA333" i="1"/>
  <c r="AZ333" i="1"/>
  <c r="AY333" i="1"/>
  <c r="BA332" i="1"/>
  <c r="AZ332" i="1"/>
  <c r="AY332" i="1"/>
  <c r="BA331" i="1"/>
  <c r="AZ331" i="1"/>
  <c r="AY331" i="1"/>
  <c r="BA330" i="1"/>
  <c r="AZ330" i="1"/>
  <c r="AY330" i="1"/>
  <c r="BA329" i="1"/>
  <c r="AZ329" i="1"/>
  <c r="AY329" i="1"/>
  <c r="BA328" i="1"/>
  <c r="AZ328" i="1"/>
  <c r="AY328" i="1"/>
  <c r="BA327" i="1"/>
  <c r="AZ327" i="1"/>
  <c r="AY327" i="1"/>
  <c r="BA326" i="1"/>
  <c r="AZ326" i="1"/>
  <c r="AY326" i="1"/>
  <c r="BA325" i="1"/>
  <c r="AZ325" i="1"/>
  <c r="AY325" i="1"/>
  <c r="BA324" i="1"/>
  <c r="AZ324" i="1"/>
  <c r="AY324" i="1"/>
  <c r="BA323" i="1"/>
  <c r="AZ323" i="1"/>
  <c r="AY323" i="1"/>
  <c r="BA322" i="1"/>
  <c r="AZ322" i="1"/>
  <c r="AY322" i="1"/>
  <c r="BA321" i="1"/>
  <c r="AZ321" i="1"/>
  <c r="AY321" i="1"/>
  <c r="BA320" i="1"/>
  <c r="AZ320" i="1"/>
  <c r="AY320" i="1"/>
  <c r="BA319" i="1"/>
  <c r="AZ319" i="1"/>
  <c r="AY319" i="1"/>
  <c r="BA318" i="1"/>
  <c r="AZ318" i="1"/>
  <c r="AY318" i="1"/>
  <c r="BA317" i="1"/>
  <c r="AZ317" i="1"/>
  <c r="AY317" i="1"/>
  <c r="BA316" i="1"/>
  <c r="AZ316" i="1"/>
  <c r="AY316" i="1"/>
  <c r="BA315" i="1"/>
  <c r="AZ315" i="1"/>
  <c r="AY315" i="1"/>
  <c r="BA314" i="1"/>
  <c r="AZ314" i="1"/>
  <c r="AY314" i="1"/>
  <c r="BA313" i="1"/>
  <c r="AZ313" i="1"/>
  <c r="AY313" i="1"/>
  <c r="BA312" i="1"/>
  <c r="AZ312" i="1"/>
  <c r="AY312" i="1"/>
  <c r="Q312" i="1"/>
  <c r="P312" i="1"/>
  <c r="P312" i="3" s="1"/>
  <c r="O312" i="1"/>
  <c r="O312" i="3" s="1"/>
  <c r="L312" i="1"/>
  <c r="L312" i="3" s="1"/>
  <c r="K312" i="1"/>
  <c r="K312" i="3" s="1"/>
  <c r="J312" i="1"/>
  <c r="J312" i="3" s="1"/>
  <c r="BA311" i="1"/>
  <c r="AZ311" i="1"/>
  <c r="AY311" i="1"/>
  <c r="BA310" i="1"/>
  <c r="AZ310" i="1"/>
  <c r="AY310" i="1"/>
  <c r="BA309" i="1"/>
  <c r="AZ309" i="1"/>
  <c r="AY309" i="1"/>
  <c r="BA308" i="1"/>
  <c r="AZ308" i="1"/>
  <c r="AY308" i="1"/>
  <c r="BA307" i="1"/>
  <c r="AZ307" i="1"/>
  <c r="AY307" i="1"/>
  <c r="BA306" i="1"/>
  <c r="AZ306" i="1"/>
  <c r="AY306" i="1"/>
  <c r="BA305" i="1"/>
  <c r="AZ305" i="1"/>
  <c r="AY305" i="1"/>
  <c r="BA304" i="1"/>
  <c r="AZ304" i="1"/>
  <c r="AY304" i="1"/>
  <c r="BA303" i="1"/>
  <c r="AZ303" i="1"/>
  <c r="AY303" i="1"/>
  <c r="BA302" i="1"/>
  <c r="AZ302" i="1"/>
  <c r="AY302" i="1"/>
  <c r="BA301" i="1"/>
  <c r="AZ301" i="1"/>
  <c r="AY301" i="1"/>
  <c r="BA300" i="1"/>
  <c r="AZ300" i="1"/>
  <c r="AY300" i="1"/>
  <c r="BA299" i="1"/>
  <c r="AZ299" i="1"/>
  <c r="AY299" i="1"/>
  <c r="BA298" i="1"/>
  <c r="AZ298" i="1"/>
  <c r="AY298" i="1"/>
  <c r="BA297" i="1"/>
  <c r="AZ297" i="1"/>
  <c r="AY297" i="1"/>
  <c r="BA296" i="1"/>
  <c r="AZ296" i="1"/>
  <c r="AY296" i="1"/>
  <c r="BA295" i="1"/>
  <c r="AZ295" i="1"/>
  <c r="AY295" i="1"/>
  <c r="BA294" i="1"/>
  <c r="AZ294" i="1"/>
  <c r="AY294" i="1"/>
  <c r="Q294" i="1"/>
  <c r="Q294" i="3" s="1"/>
  <c r="P294" i="1"/>
  <c r="P294" i="3" s="1"/>
  <c r="O294" i="1"/>
  <c r="O294" i="3" s="1"/>
  <c r="L294" i="1"/>
  <c r="L294" i="3" s="1"/>
  <c r="K294" i="1"/>
  <c r="J294" i="1"/>
  <c r="BA293" i="1"/>
  <c r="AZ293" i="1"/>
  <c r="AY293" i="1"/>
  <c r="Q293" i="1"/>
  <c r="P293" i="1"/>
  <c r="P293" i="3" s="1"/>
  <c r="O293" i="1"/>
  <c r="O293" i="3" s="1"/>
  <c r="L293" i="1"/>
  <c r="L293" i="3" s="1"/>
  <c r="K293" i="1"/>
  <c r="K293" i="3" s="1"/>
  <c r="J293" i="1"/>
  <c r="J293" i="3" s="1"/>
  <c r="BA292" i="1"/>
  <c r="AZ292" i="1"/>
  <c r="AY292" i="1"/>
  <c r="Q292" i="1"/>
  <c r="Q292" i="3" s="1"/>
  <c r="P292" i="1"/>
  <c r="P292" i="3" s="1"/>
  <c r="O292" i="1"/>
  <c r="O292" i="3" s="1"/>
  <c r="L292" i="1"/>
  <c r="K292" i="1"/>
  <c r="K292" i="3" s="1"/>
  <c r="J292" i="1"/>
  <c r="J292" i="3" s="1"/>
  <c r="BA291" i="1"/>
  <c r="AZ291" i="1"/>
  <c r="AY291" i="1"/>
  <c r="Q291" i="1"/>
  <c r="Q291" i="3" s="1"/>
  <c r="P291" i="1"/>
  <c r="O291" i="1"/>
  <c r="L291" i="1"/>
  <c r="L291" i="3" s="1"/>
  <c r="K291" i="1"/>
  <c r="K291" i="3" s="1"/>
  <c r="J291" i="1"/>
  <c r="J291" i="3" s="1"/>
  <c r="BA290" i="1"/>
  <c r="AZ290" i="1"/>
  <c r="AY290" i="1"/>
  <c r="Q290" i="1"/>
  <c r="P290" i="1"/>
  <c r="P290" i="3" s="1"/>
  <c r="O290" i="1"/>
  <c r="O290" i="3" s="1"/>
  <c r="L290" i="1"/>
  <c r="L290" i="3" s="1"/>
  <c r="K290" i="1"/>
  <c r="J290" i="1"/>
  <c r="BA289" i="1"/>
  <c r="AZ289" i="1"/>
  <c r="AY289" i="1"/>
  <c r="Q289" i="1"/>
  <c r="P289" i="1"/>
  <c r="P289" i="3" s="1"/>
  <c r="O289" i="1"/>
  <c r="O289" i="3" s="1"/>
  <c r="L289" i="1"/>
  <c r="K289" i="1"/>
  <c r="K289" i="3" s="1"/>
  <c r="J289" i="1"/>
  <c r="J289" i="3" s="1"/>
  <c r="BA288" i="1"/>
  <c r="AZ288" i="1"/>
  <c r="AY288" i="1"/>
  <c r="Q288" i="1"/>
  <c r="P288" i="1"/>
  <c r="O288" i="1"/>
  <c r="O288" i="3" s="1"/>
  <c r="L288" i="1"/>
  <c r="K288" i="1"/>
  <c r="K288" i="3" s="1"/>
  <c r="J288" i="1"/>
  <c r="J288" i="3" s="1"/>
  <c r="BA287" i="1"/>
  <c r="AZ287" i="1"/>
  <c r="AY287" i="1"/>
  <c r="BA286" i="1"/>
  <c r="AZ286" i="1"/>
  <c r="AY286" i="1"/>
  <c r="BA285" i="1"/>
  <c r="AZ285" i="1"/>
  <c r="AY285" i="1"/>
  <c r="BA284" i="1"/>
  <c r="AZ284" i="1"/>
  <c r="AY284" i="1"/>
  <c r="BA283" i="1"/>
  <c r="AZ283" i="1"/>
  <c r="AY283" i="1"/>
  <c r="BA282" i="1"/>
  <c r="AZ282" i="1"/>
  <c r="AY282" i="1"/>
  <c r="BA281" i="1"/>
  <c r="AZ281" i="1"/>
  <c r="AY281" i="1"/>
  <c r="BA280" i="1"/>
  <c r="AZ280" i="1"/>
  <c r="AY280" i="1"/>
  <c r="BA279" i="1"/>
  <c r="AZ279" i="1"/>
  <c r="AY279" i="1"/>
  <c r="BA278" i="1"/>
  <c r="AZ278" i="1"/>
  <c r="AY278" i="1"/>
  <c r="BA277" i="1"/>
  <c r="AZ277" i="1"/>
  <c r="AY277" i="1"/>
  <c r="BA276" i="1"/>
  <c r="AZ276" i="1"/>
  <c r="AY276" i="1"/>
  <c r="BA275" i="1"/>
  <c r="AZ275" i="1"/>
  <c r="AY275" i="1"/>
  <c r="BA274" i="1"/>
  <c r="AZ274" i="1"/>
  <c r="AY274" i="1"/>
  <c r="BA273" i="1"/>
  <c r="AZ273" i="1"/>
  <c r="AY273" i="1"/>
  <c r="BA272" i="1"/>
  <c r="AZ272" i="1"/>
  <c r="AY272" i="1"/>
  <c r="BA271" i="1"/>
  <c r="AZ271" i="1"/>
  <c r="AY271" i="1"/>
  <c r="BA270" i="1"/>
  <c r="AZ270" i="1"/>
  <c r="AY270" i="1"/>
  <c r="BA269" i="1"/>
  <c r="AZ269" i="1"/>
  <c r="AY269" i="1"/>
  <c r="Q269" i="1"/>
  <c r="Q269" i="3" s="1"/>
  <c r="P269" i="1"/>
  <c r="P269" i="3" s="1"/>
  <c r="O269" i="1"/>
  <c r="O269" i="3" s="1"/>
  <c r="L269" i="1"/>
  <c r="K269" i="1"/>
  <c r="K269" i="3" s="1"/>
  <c r="J269" i="1"/>
  <c r="J269" i="3" s="1"/>
  <c r="BA268" i="1"/>
  <c r="AZ268" i="1"/>
  <c r="AY268" i="1"/>
  <c r="Q268" i="1"/>
  <c r="Q268" i="3" s="1"/>
  <c r="P268" i="1"/>
  <c r="O268" i="1"/>
  <c r="L268" i="1"/>
  <c r="L268" i="3" s="1"/>
  <c r="K268" i="1"/>
  <c r="K268" i="3" s="1"/>
  <c r="J268" i="1"/>
  <c r="J268" i="3" s="1"/>
  <c r="BA267" i="1"/>
  <c r="AZ267" i="1"/>
  <c r="AY267" i="1"/>
  <c r="Q267" i="1"/>
  <c r="Q267" i="3" s="1"/>
  <c r="P267" i="1"/>
  <c r="O267" i="1"/>
  <c r="L267" i="1"/>
  <c r="L267" i="3" s="1"/>
  <c r="K267" i="1"/>
  <c r="J267" i="1"/>
  <c r="BA266" i="1"/>
  <c r="AZ266" i="1"/>
  <c r="AY266" i="1"/>
  <c r="Q266" i="1"/>
  <c r="P266" i="1"/>
  <c r="O266" i="1"/>
  <c r="O266" i="3" s="1"/>
  <c r="L266" i="1"/>
  <c r="L266" i="3" s="1"/>
  <c r="K266" i="1"/>
  <c r="J266" i="1"/>
  <c r="BA265" i="1"/>
  <c r="AZ265" i="1"/>
  <c r="AY265" i="1"/>
  <c r="BA264" i="1"/>
  <c r="AZ264" i="1"/>
  <c r="AY264" i="1"/>
  <c r="BA263" i="1"/>
  <c r="AZ263" i="1"/>
  <c r="AY263" i="1"/>
  <c r="BA262" i="1"/>
  <c r="AZ262" i="1"/>
  <c r="AY262" i="1"/>
  <c r="BA261" i="1"/>
  <c r="AZ261" i="1"/>
  <c r="AY261" i="1"/>
  <c r="Q261" i="1"/>
  <c r="P261" i="1"/>
  <c r="O261" i="1"/>
  <c r="L261" i="1"/>
  <c r="L261" i="3" s="1"/>
  <c r="K261" i="1"/>
  <c r="K261" i="3" s="1"/>
  <c r="J261" i="1"/>
  <c r="J261" i="3" s="1"/>
  <c r="BA260" i="1"/>
  <c r="AZ260" i="1"/>
  <c r="AY260" i="1"/>
  <c r="BA259" i="1"/>
  <c r="AZ259" i="1"/>
  <c r="AY259" i="1"/>
  <c r="BA258" i="1"/>
  <c r="AZ258" i="1"/>
  <c r="AY258" i="1"/>
  <c r="BA257" i="1"/>
  <c r="AZ257" i="1"/>
  <c r="AY257" i="1"/>
  <c r="BA256" i="1"/>
  <c r="AZ256" i="1"/>
  <c r="AY256" i="1"/>
  <c r="BA255" i="1"/>
  <c r="AZ255" i="1"/>
  <c r="AY255" i="1"/>
  <c r="BA254" i="1"/>
  <c r="AZ254" i="1"/>
  <c r="AY254" i="1"/>
  <c r="BA253" i="1"/>
  <c r="AZ253" i="1"/>
  <c r="AY253" i="1"/>
  <c r="BA252" i="1"/>
  <c r="AZ252" i="1"/>
  <c r="AY252" i="1"/>
  <c r="BA251" i="1"/>
  <c r="AZ251" i="1"/>
  <c r="AY251" i="1"/>
  <c r="BA250" i="1"/>
  <c r="AZ250" i="1"/>
  <c r="AY250" i="1"/>
  <c r="BA249" i="1"/>
  <c r="AZ249" i="1"/>
  <c r="AY249" i="1"/>
  <c r="BA248" i="1"/>
  <c r="AZ248" i="1"/>
  <c r="AY248" i="1"/>
  <c r="BA247" i="1"/>
  <c r="AZ247" i="1"/>
  <c r="AY247" i="1"/>
  <c r="BA246" i="1"/>
  <c r="AZ246" i="1"/>
  <c r="AY246" i="1"/>
  <c r="BA245" i="1"/>
  <c r="AZ245" i="1"/>
  <c r="AY245" i="1"/>
  <c r="BA244" i="1"/>
  <c r="AZ244" i="1"/>
  <c r="AY244" i="1"/>
  <c r="BA243" i="1"/>
  <c r="AZ243" i="1"/>
  <c r="AY243" i="1"/>
  <c r="BA242" i="1"/>
  <c r="AZ242" i="1"/>
  <c r="AY242" i="1"/>
  <c r="BA241" i="1"/>
  <c r="AZ241" i="1"/>
  <c r="AY241" i="1"/>
  <c r="BA240" i="1"/>
  <c r="AZ240" i="1"/>
  <c r="AY240" i="1"/>
  <c r="BA239" i="1"/>
  <c r="AZ239" i="1"/>
  <c r="AY239" i="1"/>
  <c r="BA238" i="1"/>
  <c r="AZ238" i="1"/>
  <c r="AY238" i="1"/>
  <c r="BA237" i="1"/>
  <c r="AZ237" i="1"/>
  <c r="AY237" i="1"/>
  <c r="BA236" i="1"/>
  <c r="AZ236" i="1"/>
  <c r="AY236" i="1"/>
  <c r="BA235" i="1"/>
  <c r="AZ235" i="1"/>
  <c r="AY235" i="1"/>
  <c r="BA234" i="1"/>
  <c r="AZ234" i="1"/>
  <c r="AY234" i="1"/>
  <c r="BA233" i="1"/>
  <c r="AZ233" i="1"/>
  <c r="AY233" i="1"/>
  <c r="BA232" i="1"/>
  <c r="AZ232" i="1"/>
  <c r="AY232" i="1"/>
  <c r="BA231" i="1"/>
  <c r="AZ231" i="1"/>
  <c r="AY231" i="1"/>
  <c r="BA230" i="1"/>
  <c r="AZ230" i="1"/>
  <c r="AY230" i="1"/>
  <c r="BA229" i="1"/>
  <c r="AZ229" i="1"/>
  <c r="AY229" i="1"/>
  <c r="BA228" i="1"/>
  <c r="AZ228" i="1"/>
  <c r="AY228" i="1"/>
  <c r="BA227" i="1"/>
  <c r="AZ227" i="1"/>
  <c r="AY227" i="1"/>
  <c r="BA226" i="1"/>
  <c r="AZ226" i="1"/>
  <c r="AY226" i="1"/>
  <c r="Q226" i="1"/>
  <c r="Q226" i="3" s="1"/>
  <c r="P226" i="1"/>
  <c r="P226" i="3" s="1"/>
  <c r="O226" i="1"/>
  <c r="O226" i="3" s="1"/>
  <c r="L226" i="1"/>
  <c r="L226" i="3" s="1"/>
  <c r="K226" i="1"/>
  <c r="K226" i="3" s="1"/>
  <c r="J226" i="1"/>
  <c r="BA225" i="1"/>
  <c r="AZ225" i="1"/>
  <c r="AY225" i="1"/>
  <c r="Q225" i="1"/>
  <c r="P225" i="1"/>
  <c r="O225" i="1"/>
  <c r="L225" i="1"/>
  <c r="L225" i="3" s="1"/>
  <c r="K225" i="1"/>
  <c r="K225" i="3" s="1"/>
  <c r="J225" i="1"/>
  <c r="J225" i="3" s="1"/>
  <c r="BA224" i="1"/>
  <c r="AZ224" i="1"/>
  <c r="AY224" i="1"/>
  <c r="Q224" i="1"/>
  <c r="P224" i="1"/>
  <c r="O224" i="1"/>
  <c r="L224" i="1"/>
  <c r="K224" i="1"/>
  <c r="J224" i="1"/>
  <c r="BA223" i="1"/>
  <c r="AZ223" i="1"/>
  <c r="AY223" i="1"/>
  <c r="Q223" i="1"/>
  <c r="Q223" i="3" s="1"/>
  <c r="P223" i="1"/>
  <c r="P223" i="3" s="1"/>
  <c r="O223" i="1"/>
  <c r="O223" i="3" s="1"/>
  <c r="L223" i="1"/>
  <c r="K223" i="1"/>
  <c r="J223" i="1"/>
  <c r="BA222" i="1"/>
  <c r="AZ222" i="1"/>
  <c r="AY222" i="1"/>
  <c r="BA221" i="1"/>
  <c r="AZ221" i="1"/>
  <c r="AY221" i="1"/>
  <c r="BA220" i="1"/>
  <c r="AZ220" i="1"/>
  <c r="AY220" i="1"/>
  <c r="BA219" i="1"/>
  <c r="AZ219" i="1"/>
  <c r="AY219" i="1"/>
  <c r="Q219" i="1"/>
  <c r="Q219" i="3" s="1"/>
  <c r="P219" i="1"/>
  <c r="P219" i="3" s="1"/>
  <c r="O219" i="1"/>
  <c r="O219" i="3" s="1"/>
  <c r="L219" i="1"/>
  <c r="L219" i="3" s="1"/>
  <c r="K219" i="1"/>
  <c r="K219" i="3" s="1"/>
  <c r="J219" i="1"/>
  <c r="J219" i="3" s="1"/>
  <c r="BA218" i="1"/>
  <c r="AZ218" i="1"/>
  <c r="AY218" i="1"/>
  <c r="Q218" i="1"/>
  <c r="P218" i="1"/>
  <c r="O218" i="1"/>
  <c r="O218" i="3" s="1"/>
  <c r="L218" i="1"/>
  <c r="L218" i="3" s="1"/>
  <c r="K218" i="1"/>
  <c r="K218" i="3" s="1"/>
  <c r="J218" i="1"/>
  <c r="J218" i="3" s="1"/>
  <c r="BA217" i="1"/>
  <c r="AZ217" i="1"/>
  <c r="AY217" i="1"/>
  <c r="BA216" i="1"/>
  <c r="AZ216" i="1"/>
  <c r="AY216" i="1"/>
  <c r="BA215" i="1"/>
  <c r="AZ215" i="1"/>
  <c r="AY215" i="1"/>
  <c r="BA214" i="1"/>
  <c r="AZ214" i="1"/>
  <c r="AY214" i="1"/>
  <c r="BA213" i="1"/>
  <c r="AZ213" i="1"/>
  <c r="AY213" i="1"/>
  <c r="BA212" i="1"/>
  <c r="AZ212" i="1"/>
  <c r="AY212" i="1"/>
  <c r="BA211" i="1"/>
  <c r="AZ211" i="1"/>
  <c r="AY211" i="1"/>
  <c r="BA210" i="1"/>
  <c r="AZ210" i="1"/>
  <c r="AY210" i="1"/>
  <c r="BA209" i="1"/>
  <c r="AZ209" i="1"/>
  <c r="AY209" i="1"/>
  <c r="BA208" i="1"/>
  <c r="AZ208" i="1"/>
  <c r="AY208" i="1"/>
  <c r="BA207" i="1"/>
  <c r="AZ207" i="1"/>
  <c r="AY207" i="1"/>
  <c r="BA206" i="1"/>
  <c r="AZ206" i="1"/>
  <c r="AY206" i="1"/>
  <c r="BA205" i="1"/>
  <c r="AZ205" i="1"/>
  <c r="AY205" i="1"/>
  <c r="BA204" i="1"/>
  <c r="AZ204" i="1"/>
  <c r="AY204" i="1"/>
  <c r="BA203" i="1"/>
  <c r="AZ203" i="1"/>
  <c r="AY203" i="1"/>
  <c r="BA202" i="1"/>
  <c r="AZ202" i="1"/>
  <c r="AY202" i="1"/>
  <c r="BA201" i="1"/>
  <c r="AZ201" i="1"/>
  <c r="AY201" i="1"/>
  <c r="Q201" i="1"/>
  <c r="Q201" i="3" s="1"/>
  <c r="P201" i="1"/>
  <c r="O201" i="1"/>
  <c r="L201" i="1"/>
  <c r="K201" i="1"/>
  <c r="J201" i="1"/>
  <c r="BA200" i="1"/>
  <c r="AZ200" i="1"/>
  <c r="AY200" i="1"/>
  <c r="Q200" i="1"/>
  <c r="P200" i="1"/>
  <c r="O200" i="1"/>
  <c r="O200" i="3" s="1"/>
  <c r="L200" i="1"/>
  <c r="L200" i="3" s="1"/>
  <c r="K200" i="1"/>
  <c r="J200" i="1"/>
  <c r="BA199" i="1"/>
  <c r="AZ199" i="1"/>
  <c r="AY199" i="1"/>
  <c r="BA198" i="1"/>
  <c r="AZ198" i="1"/>
  <c r="AY198" i="1"/>
  <c r="BA197" i="1"/>
  <c r="AZ197" i="1"/>
  <c r="AY197" i="1"/>
  <c r="BA196" i="1"/>
  <c r="AZ196" i="1"/>
  <c r="AY196" i="1"/>
  <c r="Q196" i="1"/>
  <c r="Q196" i="3" s="1"/>
  <c r="P196" i="1"/>
  <c r="P196" i="3" s="1"/>
  <c r="O196" i="1"/>
  <c r="O196" i="3" s="1"/>
  <c r="L196" i="1"/>
  <c r="K196" i="1"/>
  <c r="K196" i="3" s="1"/>
  <c r="J196" i="1"/>
  <c r="J196" i="3" s="1"/>
  <c r="BA195" i="1"/>
  <c r="AZ195" i="1"/>
  <c r="AY195" i="1"/>
  <c r="BA194" i="1"/>
  <c r="AZ194" i="1"/>
  <c r="AY194" i="1"/>
  <c r="Q194" i="1"/>
  <c r="P194" i="1"/>
  <c r="O194" i="1"/>
  <c r="L194" i="1"/>
  <c r="K194" i="1"/>
  <c r="J194" i="1"/>
  <c r="BA193" i="1"/>
  <c r="AZ193" i="1"/>
  <c r="AY193" i="1"/>
  <c r="Q193" i="1"/>
  <c r="Q193" i="3" s="1"/>
  <c r="P193" i="1"/>
  <c r="P193" i="3" s="1"/>
  <c r="O193" i="1"/>
  <c r="O193" i="3" s="1"/>
  <c r="L193" i="1"/>
  <c r="K193" i="1"/>
  <c r="J193" i="1"/>
  <c r="BA192" i="1"/>
  <c r="AZ192" i="1"/>
  <c r="AY192" i="1"/>
  <c r="BA191" i="1"/>
  <c r="AZ191" i="1"/>
  <c r="AY191" i="1"/>
  <c r="BA190" i="1"/>
  <c r="AZ190" i="1"/>
  <c r="AY190" i="1"/>
  <c r="BA189" i="1"/>
  <c r="AZ189" i="1"/>
  <c r="AY189" i="1"/>
  <c r="BA188" i="1"/>
  <c r="AZ188" i="1"/>
  <c r="AY188" i="1"/>
  <c r="BA187" i="1"/>
  <c r="AZ187" i="1"/>
  <c r="AY187" i="1"/>
  <c r="BA186" i="1"/>
  <c r="AZ186" i="1"/>
  <c r="AY186" i="1"/>
  <c r="BA185" i="1"/>
  <c r="AZ185" i="1"/>
  <c r="AY185" i="1"/>
  <c r="BA184" i="1"/>
  <c r="AZ184" i="1"/>
  <c r="AY184" i="1"/>
  <c r="BA183" i="1"/>
  <c r="AZ183" i="1"/>
  <c r="AY183" i="1"/>
  <c r="BA182" i="1"/>
  <c r="AZ182" i="1"/>
  <c r="AY182" i="1"/>
  <c r="BA181" i="1"/>
  <c r="AZ181" i="1"/>
  <c r="AY181" i="1"/>
  <c r="BA180" i="1"/>
  <c r="AZ180" i="1"/>
  <c r="AY180" i="1"/>
  <c r="BA179" i="1"/>
  <c r="AZ179" i="1"/>
  <c r="AY179" i="1"/>
  <c r="BA178" i="1"/>
  <c r="AZ178" i="1"/>
  <c r="AY178" i="1"/>
  <c r="BA177" i="1"/>
  <c r="AZ177" i="1"/>
  <c r="AY177" i="1"/>
  <c r="Q177" i="1"/>
  <c r="Q177" i="3" s="1"/>
  <c r="P177" i="1"/>
  <c r="P177" i="3" s="1"/>
  <c r="O177" i="1"/>
  <c r="O177" i="3" s="1"/>
  <c r="L177" i="1"/>
  <c r="L177" i="3" s="1"/>
  <c r="K177" i="1"/>
  <c r="K177" i="3" s="1"/>
  <c r="J177" i="1"/>
  <c r="J177" i="3" s="1"/>
  <c r="BA176" i="1"/>
  <c r="AZ176" i="1"/>
  <c r="AY176" i="1"/>
  <c r="BA175" i="1"/>
  <c r="AZ175" i="1"/>
  <c r="AY175" i="1"/>
  <c r="BA174" i="1"/>
  <c r="AZ174" i="1"/>
  <c r="AY174" i="1"/>
  <c r="BA173" i="1"/>
  <c r="AZ173" i="1"/>
  <c r="AY173" i="1"/>
  <c r="BA172" i="1"/>
  <c r="AZ172" i="1"/>
  <c r="AY172" i="1"/>
  <c r="BA171" i="1"/>
  <c r="AZ171" i="1"/>
  <c r="AY171" i="1"/>
  <c r="BA170" i="1"/>
  <c r="AZ170" i="1"/>
  <c r="AY170" i="1"/>
  <c r="BA169" i="1"/>
  <c r="AZ169" i="1"/>
  <c r="AY169" i="1"/>
  <c r="BA168" i="1"/>
  <c r="AZ168" i="1"/>
  <c r="AY168" i="1"/>
  <c r="BA167" i="1"/>
  <c r="AZ167" i="1"/>
  <c r="AY167" i="1"/>
  <c r="BA166" i="1"/>
  <c r="AZ166" i="1"/>
  <c r="AY166" i="1"/>
  <c r="BA165" i="1"/>
  <c r="AZ165" i="1"/>
  <c r="AY165" i="1"/>
  <c r="BA164" i="1"/>
  <c r="AZ164" i="1"/>
  <c r="AY164" i="1"/>
  <c r="BA163" i="1"/>
  <c r="AZ163" i="1"/>
  <c r="AY163" i="1"/>
  <c r="BA162" i="1"/>
  <c r="AZ162" i="1"/>
  <c r="AY162" i="1"/>
  <c r="BA161" i="1"/>
  <c r="AZ161" i="1"/>
  <c r="AY161" i="1"/>
  <c r="BA160" i="1"/>
  <c r="AZ160" i="1"/>
  <c r="AY160" i="1"/>
  <c r="BA159" i="1"/>
  <c r="AZ159" i="1"/>
  <c r="AY159" i="1"/>
  <c r="BA158" i="1"/>
  <c r="AZ158" i="1"/>
  <c r="AY158" i="1"/>
  <c r="BA157" i="1"/>
  <c r="AZ157" i="1"/>
  <c r="AY157" i="1"/>
  <c r="O157" i="1"/>
  <c r="O157" i="3" s="1"/>
  <c r="L157" i="1"/>
  <c r="L157" i="3" s="1"/>
  <c r="K157" i="1"/>
  <c r="K157" i="3" s="1"/>
  <c r="J157" i="1"/>
  <c r="J157" i="3" s="1"/>
  <c r="BA156" i="1"/>
  <c r="AZ156" i="1"/>
  <c r="AY156" i="1"/>
  <c r="P156" i="1"/>
  <c r="P156" i="3" s="1"/>
  <c r="O156" i="1"/>
  <c r="O156" i="3" s="1"/>
  <c r="L156" i="1"/>
  <c r="K156" i="1"/>
  <c r="K156" i="3" s="1"/>
  <c r="J156" i="1"/>
  <c r="J156" i="3" s="1"/>
  <c r="BA155" i="1"/>
  <c r="AZ155" i="1"/>
  <c r="AY155" i="1"/>
  <c r="Q155" i="1"/>
  <c r="P155" i="1"/>
  <c r="O155" i="1"/>
  <c r="L155" i="1"/>
  <c r="L155" i="3" s="1"/>
  <c r="K155" i="1"/>
  <c r="K155" i="3" s="1"/>
  <c r="J155" i="1"/>
  <c r="J155" i="3" s="1"/>
  <c r="BA154" i="1"/>
  <c r="AZ154" i="1"/>
  <c r="AY154" i="1"/>
  <c r="Q154" i="1"/>
  <c r="Q154" i="3" s="1"/>
  <c r="P154" i="1"/>
  <c r="O154" i="1"/>
  <c r="L154" i="1"/>
  <c r="K154" i="1"/>
  <c r="J154" i="1"/>
  <c r="BA153" i="1"/>
  <c r="AZ153" i="1"/>
  <c r="AY153" i="1"/>
  <c r="BA152" i="1"/>
  <c r="AZ152" i="1"/>
  <c r="AY152" i="1"/>
  <c r="BA151" i="1"/>
  <c r="AZ151" i="1"/>
  <c r="AY151" i="1"/>
  <c r="BA150" i="1"/>
  <c r="AZ150" i="1"/>
  <c r="AY150" i="1"/>
  <c r="BA149" i="1"/>
  <c r="AZ149" i="1"/>
  <c r="AY149" i="1"/>
  <c r="BA148" i="1"/>
  <c r="AZ148" i="1"/>
  <c r="AY148" i="1"/>
  <c r="BA147" i="1"/>
  <c r="AZ147" i="1"/>
  <c r="AY147" i="1"/>
  <c r="BA146" i="1"/>
  <c r="AZ146" i="1"/>
  <c r="AY146" i="1"/>
  <c r="BA145" i="1"/>
  <c r="AZ145" i="1"/>
  <c r="AY145" i="1"/>
  <c r="BA144" i="1"/>
  <c r="AZ144" i="1"/>
  <c r="AY144" i="1"/>
  <c r="BA143" i="1"/>
  <c r="AZ143" i="1"/>
  <c r="AY143" i="1"/>
  <c r="BA142" i="1"/>
  <c r="AZ142" i="1"/>
  <c r="AY142" i="1"/>
  <c r="BA141" i="1"/>
  <c r="AZ141" i="1"/>
  <c r="AY141" i="1"/>
  <c r="BA140" i="1"/>
  <c r="AZ140" i="1"/>
  <c r="AY140" i="1"/>
  <c r="BA139" i="1"/>
  <c r="AZ139" i="1"/>
  <c r="AY139" i="1"/>
  <c r="BA138" i="1"/>
  <c r="AZ138" i="1"/>
  <c r="AY138" i="1"/>
  <c r="BA137" i="1"/>
  <c r="AZ137" i="1"/>
  <c r="AY137" i="1"/>
  <c r="BA136" i="1"/>
  <c r="AZ136" i="1"/>
  <c r="AY136" i="1"/>
  <c r="Q136" i="1"/>
  <c r="Q136" i="3" s="1"/>
  <c r="P136" i="1"/>
  <c r="O136" i="1"/>
  <c r="L136" i="1"/>
  <c r="K136" i="1"/>
  <c r="J136" i="1"/>
  <c r="BA135" i="1"/>
  <c r="AZ135" i="1"/>
  <c r="AY135" i="1"/>
  <c r="BA134" i="1"/>
  <c r="AZ134" i="1"/>
  <c r="AY134" i="1"/>
  <c r="Q134" i="1"/>
  <c r="Q134" i="3" s="1"/>
  <c r="P134" i="1"/>
  <c r="O134" i="1"/>
  <c r="L134" i="1"/>
  <c r="K134" i="1"/>
  <c r="K134" i="3" s="1"/>
  <c r="J134" i="1"/>
  <c r="J134" i="3" s="1"/>
  <c r="BA133" i="1"/>
  <c r="AZ133" i="1"/>
  <c r="AY133" i="1"/>
  <c r="BA132" i="1"/>
  <c r="AZ132" i="1"/>
  <c r="AY132" i="1"/>
  <c r="BA131" i="1"/>
  <c r="AZ131" i="1"/>
  <c r="AY131" i="1"/>
  <c r="BA130" i="1"/>
  <c r="AZ130" i="1"/>
  <c r="AY130" i="1"/>
  <c r="BA129" i="1"/>
  <c r="AZ129" i="1"/>
  <c r="AY129" i="1"/>
  <c r="BA128" i="1"/>
  <c r="AZ128" i="1"/>
  <c r="AY128" i="1"/>
  <c r="BA127" i="1"/>
  <c r="AZ127" i="1"/>
  <c r="AY127" i="1"/>
  <c r="BA126" i="1"/>
  <c r="AZ126" i="1"/>
  <c r="AY126" i="1"/>
  <c r="BA125" i="1"/>
  <c r="AZ125" i="1"/>
  <c r="AY125" i="1"/>
  <c r="BA124" i="1"/>
  <c r="AZ124" i="1"/>
  <c r="AY124" i="1"/>
  <c r="BA123" i="1"/>
  <c r="AZ123" i="1"/>
  <c r="AY123" i="1"/>
  <c r="BA122" i="1"/>
  <c r="AZ122" i="1"/>
  <c r="AY122" i="1"/>
  <c r="BA121" i="1"/>
  <c r="AZ121" i="1"/>
  <c r="AY121" i="1"/>
  <c r="BA120" i="1"/>
  <c r="AZ120" i="1"/>
  <c r="AY120" i="1"/>
  <c r="BA119" i="1"/>
  <c r="AZ119" i="1"/>
  <c r="AY119" i="1"/>
  <c r="BA118" i="1"/>
  <c r="AZ118" i="1"/>
  <c r="AY118" i="1"/>
  <c r="BA117" i="1"/>
  <c r="AZ117" i="1"/>
  <c r="AY117" i="1"/>
  <c r="BA116" i="1"/>
  <c r="AZ116" i="1"/>
  <c r="AY116" i="1"/>
  <c r="BA115" i="1"/>
  <c r="AZ115" i="1"/>
  <c r="AY115" i="1"/>
  <c r="BA114" i="1"/>
  <c r="AZ114" i="1"/>
  <c r="AY114" i="1"/>
  <c r="BA113" i="1"/>
  <c r="AZ113" i="1"/>
  <c r="AY113" i="1"/>
  <c r="BA112" i="1"/>
  <c r="AZ112" i="1"/>
  <c r="AY112" i="1"/>
  <c r="BA111" i="1"/>
  <c r="AZ111" i="1"/>
  <c r="AY111" i="1"/>
  <c r="BA110" i="1"/>
  <c r="AZ110" i="1"/>
  <c r="AY110" i="1"/>
  <c r="BA109" i="1"/>
  <c r="AZ109" i="1"/>
  <c r="AY109" i="1"/>
  <c r="BA108" i="1"/>
  <c r="AZ108" i="1"/>
  <c r="AY108" i="1"/>
  <c r="BA107" i="1"/>
  <c r="AZ107" i="1"/>
  <c r="AY107" i="1"/>
  <c r="BA106" i="1"/>
  <c r="AZ106" i="1"/>
  <c r="AY106" i="1"/>
  <c r="BA105" i="1"/>
  <c r="AZ105" i="1"/>
  <c r="AY105" i="1"/>
  <c r="BA104" i="1"/>
  <c r="AZ104" i="1"/>
  <c r="AY104" i="1"/>
  <c r="BA103" i="1"/>
  <c r="AZ103" i="1"/>
  <c r="AY103" i="1"/>
  <c r="BA102" i="1"/>
  <c r="AZ102" i="1"/>
  <c r="AY102" i="1"/>
  <c r="BA101" i="1"/>
  <c r="AZ101" i="1"/>
  <c r="AY101" i="1"/>
  <c r="BA100" i="1"/>
  <c r="AZ100" i="1"/>
  <c r="AY100" i="1"/>
  <c r="BA99" i="1"/>
  <c r="AZ99" i="1"/>
  <c r="AY99" i="1"/>
  <c r="BA98" i="1"/>
  <c r="AZ98" i="1"/>
  <c r="AY98" i="1"/>
  <c r="BA97" i="1"/>
  <c r="AZ97" i="1"/>
  <c r="AY97" i="1"/>
  <c r="BA96" i="1"/>
  <c r="AZ96" i="1"/>
  <c r="AY96" i="1"/>
  <c r="BA95" i="1"/>
  <c r="AZ95" i="1"/>
  <c r="AY95" i="1"/>
  <c r="BA94" i="1"/>
  <c r="AZ94" i="1"/>
  <c r="AY94" i="1"/>
  <c r="BA93" i="1"/>
  <c r="AZ93" i="1"/>
  <c r="AY93" i="1"/>
  <c r="BA92" i="1"/>
  <c r="AZ92" i="1"/>
  <c r="AY92" i="1"/>
  <c r="BA91" i="1"/>
  <c r="AZ91" i="1"/>
  <c r="AY91" i="1"/>
  <c r="BA90" i="1"/>
  <c r="AZ90" i="1"/>
  <c r="AY90" i="1"/>
  <c r="BA89" i="1"/>
  <c r="AZ89" i="1"/>
  <c r="AY89" i="1"/>
  <c r="BA88" i="1"/>
  <c r="AZ88" i="1"/>
  <c r="AY88" i="1"/>
  <c r="BA87" i="1"/>
  <c r="AZ87" i="1"/>
  <c r="AY87" i="1"/>
  <c r="BA86" i="1"/>
  <c r="AZ86" i="1"/>
  <c r="AY86" i="1"/>
  <c r="BA85" i="1"/>
  <c r="AZ85" i="1"/>
  <c r="AY85" i="1"/>
  <c r="BA84" i="1"/>
  <c r="AZ84" i="1"/>
  <c r="AY84" i="1"/>
  <c r="BA83" i="1"/>
  <c r="AZ83" i="1"/>
  <c r="AY83" i="1"/>
  <c r="BA82" i="1"/>
  <c r="AZ82" i="1"/>
  <c r="AY82" i="1"/>
  <c r="BA81" i="1"/>
  <c r="AZ81" i="1"/>
  <c r="AY81" i="1"/>
  <c r="BA80" i="1"/>
  <c r="AZ80" i="1"/>
  <c r="AY80" i="1"/>
  <c r="BA79" i="1"/>
  <c r="AZ79" i="1"/>
  <c r="AY79" i="1"/>
  <c r="BA78" i="1"/>
  <c r="AZ78" i="1"/>
  <c r="AY78" i="1"/>
  <c r="BA77" i="1"/>
  <c r="AZ77" i="1"/>
  <c r="AY77" i="1"/>
  <c r="BA76" i="1"/>
  <c r="AZ76" i="1"/>
  <c r="AY76" i="1"/>
  <c r="BA75" i="1"/>
  <c r="AZ75" i="1"/>
  <c r="AY75" i="1"/>
  <c r="BA74" i="1"/>
  <c r="AZ74" i="1"/>
  <c r="AY74" i="1"/>
  <c r="BA73" i="1"/>
  <c r="AZ73" i="1"/>
  <c r="AY73" i="1"/>
  <c r="BA72" i="1"/>
  <c r="AZ72" i="1"/>
  <c r="AY72" i="1"/>
  <c r="BA71" i="1"/>
  <c r="AZ71" i="1"/>
  <c r="AY71" i="1"/>
  <c r="BA70" i="1"/>
  <c r="AZ70" i="1"/>
  <c r="AY70" i="1"/>
  <c r="BA69" i="1"/>
  <c r="AZ69" i="1"/>
  <c r="AY69" i="1"/>
  <c r="BA68" i="1"/>
  <c r="AZ68" i="1"/>
  <c r="AY68" i="1"/>
  <c r="BA67" i="1"/>
  <c r="AZ67" i="1"/>
  <c r="AY67" i="1"/>
  <c r="BA66" i="1"/>
  <c r="AZ66" i="1"/>
  <c r="AY66" i="1"/>
  <c r="BA65" i="1"/>
  <c r="AZ65" i="1"/>
  <c r="AY65" i="1"/>
  <c r="BA64" i="1"/>
  <c r="AZ64" i="1"/>
  <c r="AY64" i="1"/>
  <c r="BA63" i="1"/>
  <c r="AZ63" i="1"/>
  <c r="AY63" i="1"/>
  <c r="BA62" i="1"/>
  <c r="AZ62" i="1"/>
  <c r="AY62" i="1"/>
  <c r="BA61" i="1"/>
  <c r="AZ61" i="1"/>
  <c r="AY61" i="1"/>
  <c r="BA60" i="1"/>
  <c r="AZ60" i="1"/>
  <c r="AY60" i="1"/>
  <c r="BA59" i="1"/>
  <c r="AZ59" i="1"/>
  <c r="AY59" i="1"/>
  <c r="BA58" i="1"/>
  <c r="AZ58" i="1"/>
  <c r="AY58" i="1"/>
  <c r="BA57" i="1"/>
  <c r="AZ57" i="1"/>
  <c r="AY57" i="1"/>
  <c r="BA56" i="1"/>
  <c r="AZ56" i="1"/>
  <c r="AY56" i="1"/>
  <c r="BA55" i="1"/>
  <c r="AZ55" i="1"/>
  <c r="AY55" i="1"/>
  <c r="BA54" i="1"/>
  <c r="AZ54" i="1"/>
  <c r="AY54" i="1"/>
  <c r="BA53" i="1"/>
  <c r="AZ53" i="1"/>
  <c r="AY53" i="1"/>
  <c r="BA52" i="1"/>
  <c r="AZ52" i="1"/>
  <c r="AY52" i="1"/>
  <c r="BA51" i="1"/>
  <c r="AZ51" i="1"/>
  <c r="AY51" i="1"/>
  <c r="BA50" i="1"/>
  <c r="AZ50" i="1"/>
  <c r="AY50" i="1"/>
  <c r="BA49" i="1"/>
  <c r="AZ49" i="1"/>
  <c r="AY49" i="1"/>
  <c r="BA48" i="1"/>
  <c r="AZ48" i="1"/>
  <c r="AY48" i="1"/>
  <c r="BA47" i="1"/>
  <c r="AZ47" i="1"/>
  <c r="AY47" i="1"/>
  <c r="BA46" i="1"/>
  <c r="AZ46" i="1"/>
  <c r="AY46" i="1"/>
  <c r="BA45" i="1"/>
  <c r="AZ45" i="1"/>
  <c r="AY45" i="1"/>
  <c r="BA44" i="1"/>
  <c r="AZ44" i="1"/>
  <c r="AY44" i="1"/>
  <c r="BA43" i="1"/>
  <c r="AZ43" i="1"/>
  <c r="AY43" i="1"/>
  <c r="BA42" i="1"/>
  <c r="AZ42" i="1"/>
  <c r="AY42" i="1"/>
  <c r="BA41" i="1"/>
  <c r="AZ41" i="1"/>
  <c r="AY41" i="1"/>
  <c r="BA40" i="1"/>
  <c r="AZ40" i="1"/>
  <c r="AY40" i="1"/>
  <c r="BA39" i="1"/>
  <c r="AZ39" i="1"/>
  <c r="AY39" i="1"/>
  <c r="BA38" i="1"/>
  <c r="AZ38" i="1"/>
  <c r="AY38" i="1"/>
  <c r="BA37" i="1"/>
  <c r="AZ37" i="1"/>
  <c r="AY37" i="1"/>
  <c r="BA36" i="1"/>
  <c r="AZ36" i="1"/>
  <c r="AY36" i="1"/>
  <c r="BA35" i="1"/>
  <c r="AZ35" i="1"/>
  <c r="AY35" i="1"/>
  <c r="BA34" i="1"/>
  <c r="AZ34" i="1"/>
  <c r="AY34" i="1"/>
  <c r="BA33" i="1"/>
  <c r="AZ33" i="1"/>
  <c r="AY33" i="1"/>
  <c r="BA32" i="1"/>
  <c r="AZ32" i="1"/>
  <c r="AY32" i="1"/>
  <c r="BA31" i="1"/>
  <c r="AZ31" i="1"/>
  <c r="AY31" i="1"/>
  <c r="BA30" i="1"/>
  <c r="AZ30" i="1"/>
  <c r="AY30" i="1"/>
  <c r="BA29" i="1"/>
  <c r="AZ29" i="1"/>
  <c r="AY29" i="1"/>
  <c r="BA28" i="1"/>
  <c r="AZ28" i="1"/>
  <c r="AY28" i="1"/>
  <c r="BA27" i="1"/>
  <c r="AZ27" i="1"/>
  <c r="AY27" i="1"/>
  <c r="BA26" i="1"/>
  <c r="AZ26" i="1"/>
  <c r="AY26" i="1"/>
  <c r="BA25" i="1"/>
  <c r="AZ25" i="1"/>
  <c r="AY25" i="1"/>
  <c r="BA24" i="1"/>
  <c r="AZ24" i="1"/>
  <c r="AY24" i="1"/>
  <c r="BA23" i="1"/>
  <c r="AZ23" i="1"/>
  <c r="AY23" i="1"/>
  <c r="BA22" i="1"/>
  <c r="AZ22" i="1"/>
  <c r="AY22" i="1"/>
  <c r="BA21" i="1"/>
  <c r="AZ21" i="1"/>
  <c r="AY21" i="1"/>
  <c r="BA20" i="1"/>
  <c r="AZ20" i="1"/>
  <c r="AY20" i="1"/>
  <c r="BA19" i="1"/>
  <c r="AZ19" i="1"/>
  <c r="AY19" i="1"/>
  <c r="BA18" i="1"/>
  <c r="AZ18" i="1"/>
  <c r="AY18" i="1"/>
  <c r="BA17" i="1"/>
  <c r="AZ17" i="1"/>
  <c r="AY17" i="1"/>
  <c r="BA16" i="1"/>
  <c r="AZ16" i="1"/>
  <c r="AY16" i="1"/>
  <c r="BA15" i="1"/>
  <c r="AZ15" i="1"/>
  <c r="AY15" i="1"/>
  <c r="BA14" i="1"/>
  <c r="AZ14" i="1"/>
  <c r="AY14" i="1"/>
  <c r="BA13" i="1"/>
  <c r="AZ13" i="1"/>
  <c r="AY13" i="1"/>
</calcChain>
</file>

<file path=xl/sharedStrings.xml><?xml version="1.0" encoding="utf-8"?>
<sst xmlns="http://schemas.openxmlformats.org/spreadsheetml/2006/main" count="6968" uniqueCount="953">
  <si>
    <t>OFERTAS  VÁLIDAS APENAS PARA PLANOS CONSUMER</t>
  </si>
  <si>
    <t>Inclusão de Preços</t>
  </si>
  <si>
    <t>Alteração de Preços</t>
  </si>
  <si>
    <t>Preços Elegíveis a Price Back</t>
  </si>
  <si>
    <t>Preços Elegíveis a Price Oferta</t>
  </si>
  <si>
    <t>CANAL:</t>
  </si>
  <si>
    <t xml:space="preserve">REVENDAS </t>
  </si>
  <si>
    <t>DATA INÍCIO:</t>
  </si>
  <si>
    <t>COM FIDELIZAÇÃO - GROSS / MIGRAÇÃO / UPGRADE / PORTABILIDADE / BASE SEM MOVIMENTAÇÃO</t>
  </si>
  <si>
    <t>TIM FIXO</t>
  </si>
  <si>
    <t>TIM CASA</t>
  </si>
  <si>
    <t>Regra Reembolso Pós Fidelizado</t>
  </si>
  <si>
    <t>CATEGORIA
MKT</t>
  </si>
  <si>
    <t>CÓDIGO</t>
  </si>
  <si>
    <t>DESCRIÇÃO COMERCIAL</t>
  </si>
  <si>
    <t>DESCRIÇÃO SAP</t>
  </si>
  <si>
    <t>PRÉ</t>
  </si>
  <si>
    <t>PREÇO BASE FATURAMENTO RETAIL</t>
  </si>
  <si>
    <t>CONTROLE NÃO FIDELIZADO - TODOS
(Fatura / Express)</t>
  </si>
  <si>
    <t>PÓS PAGO NÃO FIDELIZADO - VIDE ABA DE REGRAS</t>
  </si>
  <si>
    <t xml:space="preserve">TIM CONTROLE </t>
  </si>
  <si>
    <t>TIM CONTROLE PLUS</t>
  </si>
  <si>
    <t>TIM CONTROLE PREMIUM</t>
  </si>
  <si>
    <t>TIM CONTROLE SMART</t>
  </si>
  <si>
    <t xml:space="preserve">TIM CONTROLE REDES SOCIAIS </t>
  </si>
  <si>
    <t>TIM BLACK</t>
  </si>
  <si>
    <t>TIM BLACK PLUS</t>
  </si>
  <si>
    <t>TIM BLACK PREMIUM</t>
  </si>
  <si>
    <t>TIM BLACK A (15GB)</t>
  </si>
  <si>
    <t>TIM BLACK B (20GB)</t>
  </si>
  <si>
    <t>TIM BLACK C (25GB)</t>
  </si>
  <si>
    <t>TIM BLACK C ULTRA</t>
  </si>
  <si>
    <t>TIM BLACK FAMÍLIA</t>
  </si>
  <si>
    <t>TIM BLACK FAMÍLIA A ONE</t>
  </si>
  <si>
    <t>TIM BLACK FAMÍLIA PLUS</t>
  </si>
  <si>
    <t>TIM BLACK FAMÍLIA PREMIUM</t>
  </si>
  <si>
    <t>TIM BLACK FAMÍLIA C ONE</t>
  </si>
  <si>
    <t>TIM BLACK FAMÍLIA VIP</t>
  </si>
  <si>
    <t>TIM Fibra 400M 24</t>
  </si>
  <si>
    <t>TIM Fibra 500M 24 - 2</t>
  </si>
  <si>
    <t>TIM Fibra 600M 24 - 2</t>
  </si>
  <si>
    <t>TIM Fibra 600M P 24 - 2</t>
  </si>
  <si>
    <t>TIM Fibra 600M M 24 - 2</t>
  </si>
  <si>
    <t>TIM Ultrafibra 800M YT26</t>
  </si>
  <si>
    <t>TIM Fibra 600M GP 25</t>
  </si>
  <si>
    <t>TIM Fibra 1GB 24</t>
  </si>
  <si>
    <t>TIM Fibra 1GB P 24</t>
  </si>
  <si>
    <t>TIM Fibra 1GB M 24</t>
  </si>
  <si>
    <t>TIM Fibra 2GB 24</t>
  </si>
  <si>
    <t xml:space="preserve">TIM FIXO LOCAL TOTAL PLUS (Plano Fidelizado) </t>
  </si>
  <si>
    <t>TIM FIXO BRASIL TOTAL PLUS (Plano Fidelizado)</t>
  </si>
  <si>
    <t>TIM FIXO TOTAL LDI PLUS (Plano Fidelizado)</t>
  </si>
  <si>
    <t>TIM LIVE INTERNET 30GB (sem fidelização)</t>
  </si>
  <si>
    <t>TIM LIVE INTERNET 50GB (sem fidelização)</t>
  </si>
  <si>
    <t>TIM LIVE INTERNET 80GB (sem fidelização)</t>
  </si>
  <si>
    <t xml:space="preserve">TIM LIVE INTERNET 30GB PLUS </t>
  </si>
  <si>
    <t xml:space="preserve">TIM LIVE INTERNET 50GB PLUS </t>
  </si>
  <si>
    <t>TIM LIVE INTERNET 80GB PLUS</t>
  </si>
  <si>
    <t>DATA FIM DA OFERTA</t>
  </si>
  <si>
    <t>TECNOLOGIA</t>
  </si>
  <si>
    <t>Seguro Completo (valor mensal)</t>
  </si>
  <si>
    <t>Roubo e Furto  (valor mensal)</t>
  </si>
  <si>
    <t>Quebra e danos  (valor mensal)</t>
  </si>
  <si>
    <t>Price Oferta</t>
  </si>
  <si>
    <t>21X</t>
  </si>
  <si>
    <t>APPLE IPHONE 12 64GB</t>
  </si>
  <si>
    <t>APPLE IPHONE 12 64GB-PRETO NAC</t>
  </si>
  <si>
    <t>13.08.2026</t>
  </si>
  <si>
    <t>5G</t>
  </si>
  <si>
    <t>APPLE IPHONE 12 64GB-BRANCO NAC</t>
  </si>
  <si>
    <t>APPLE IPHONE 12 128GB</t>
  </si>
  <si>
    <t>APPLE IPHONE 12 128GB-PRETO NAC</t>
  </si>
  <si>
    <t>APPLE IPHONE 13 128GB</t>
  </si>
  <si>
    <t>APPLE IPHONE 13 128GB-PRETO NAC</t>
  </si>
  <si>
    <t>APPLE IPHONE 13 256GB</t>
  </si>
  <si>
    <t>APPLE IPHONE 13 256GB-PRETO</t>
  </si>
  <si>
    <t>APPLE IPHONE 13 256GB-AZUL NAC</t>
  </si>
  <si>
    <t>APPLE IPHONE 13 256GB-PRETO NAC</t>
  </si>
  <si>
    <t>APPLE IPHONE 13 256GB-VERMELHO NAC</t>
  </si>
  <si>
    <t>APPLE IPHONE 14 128GB</t>
  </si>
  <si>
    <t>APPLE IPHONE 14 128GB-PRETO</t>
  </si>
  <si>
    <t>APPLE IPHONE 14 128GB-PRETO NAC</t>
  </si>
  <si>
    <t>APPLE IPHONE 14 256GB</t>
  </si>
  <si>
    <t>APPLE IPHONE 14 256GB-BRANCO</t>
  </si>
  <si>
    <t>APPLE IPHONE 14 256GB-PRETO</t>
  </si>
  <si>
    <t>APPLE IPHONE 14 256GB-PRETO NAC</t>
  </si>
  <si>
    <t>APPLE IPHONE 14 256GB-BRANCO NAC</t>
  </si>
  <si>
    <t>APPLE IPHONE 14 PLUS 256GB</t>
  </si>
  <si>
    <t>APPLE IPHONE 14 PLUS 256GB-BRANCO</t>
  </si>
  <si>
    <t>APPLE IPHONE 14 PLUS 256GB-PRETO</t>
  </si>
  <si>
    <t>APPLE IPHONE 14 PLUS 256GB-PRETO NAC</t>
  </si>
  <si>
    <t>APPLE IPHONE 14 PRO MAX 256GB</t>
  </si>
  <si>
    <t>APPLE IPHONE 14 PRO MAX 256GB-GRAFITE</t>
  </si>
  <si>
    <t>APPLE IPHONE 14 PRO 256GB</t>
  </si>
  <si>
    <t>APPLE IPHONE 14 PRO 256GB-GRAFITE</t>
  </si>
  <si>
    <t>APPLE IPHONE 14 PRO 256GB-DOURADO</t>
  </si>
  <si>
    <t>APPLE IPHONE 15 128GB</t>
  </si>
  <si>
    <t>APPLE IPHONE 15 128GB-PRETO</t>
  </si>
  <si>
    <t>APPLE IPHONE 15 128GB-ROSA</t>
  </si>
  <si>
    <t>APPLE IPHONE 15 128GB-VERDE</t>
  </si>
  <si>
    <t>APPLE IPHONE 15 128GB-AMARELO</t>
  </si>
  <si>
    <t>APPLE IPHONE 15 256GB</t>
  </si>
  <si>
    <t>APPLE IPHONE 15 256GB-PRETO</t>
  </si>
  <si>
    <t>APPLE IPHONE 15 256GB-AZUL</t>
  </si>
  <si>
    <t>APPLE IPHONE 15 256GB-PRETO NAC</t>
  </si>
  <si>
    <t>APPLE IPHONE 15 256GB-ROSA NAC</t>
  </si>
  <si>
    <t>APPLE IPHONE 15 256GB-AZUL NAC</t>
  </si>
  <si>
    <t>APPLE IPHONE 15 512GB</t>
  </si>
  <si>
    <t>APPLE IPHONE 15 512GB-PRETO</t>
  </si>
  <si>
    <t>APPLE IPHONE 15 512GB-PRETO NAC</t>
  </si>
  <si>
    <t>APPLE IPHONE 15 PLUS 256GB</t>
  </si>
  <si>
    <t>APPLE IPHONE 15 PLUS 256GB-PRETO</t>
  </si>
  <si>
    <t>APPLE IPHONE 15 PRO 128GB</t>
  </si>
  <si>
    <t>APPLE IPHONE 15 PRO 128GB-PRETO</t>
  </si>
  <si>
    <t>APPLE IPHONE 15 PRO 128GB-BRANCO</t>
  </si>
  <si>
    <t>APPLE IPHONE 15 PRO 128GB-AZUL</t>
  </si>
  <si>
    <t>APPLE IPHONE 15 PRO 128GB-TITANIO</t>
  </si>
  <si>
    <t>APPLE IPHONE 15 PRO 256GB</t>
  </si>
  <si>
    <t>APPLE IPHONE 15 PRO 256GB-PRETO</t>
  </si>
  <si>
    <t>APPLE IPHONE 15 PRO 256GB-BRANCO</t>
  </si>
  <si>
    <t>APPLE IPHONE 15 PRO 256GB-AZUL</t>
  </si>
  <si>
    <t>APPLE IPHONE 15 PRO 256GB-TITANIO</t>
  </si>
  <si>
    <t>APPLE IPHONE 15 PRO MAX 256GB</t>
  </si>
  <si>
    <t>APPLE IPHONE 15 PRO MAX 256GB-PRETO</t>
  </si>
  <si>
    <t>APPLE IPHONE 15 PRO MAX 256GB-AZUL</t>
  </si>
  <si>
    <t>APPLE IPHONE 15 PRO MAX 256GB-TITANIO</t>
  </si>
  <si>
    <t>APPLE IPHONE 15 PRO MAX 512GB</t>
  </si>
  <si>
    <t>APPLE IPHONE 15 PRO MAX 512GB-PRETO</t>
  </si>
  <si>
    <t>APPLE IPHONE 15 PRO MAX 512GB-AZUL</t>
  </si>
  <si>
    <t>APPLE IPHONE 15 PRO MAX 512GB-TITANIO</t>
  </si>
  <si>
    <t>APPLE IPHONE 16 128GB</t>
  </si>
  <si>
    <t>APPLE IPHONE 16 128GB-AZUL NAC</t>
  </si>
  <si>
    <t>APPLE IPHONE 16 128GB-PRETO</t>
  </si>
  <si>
    <t>APPLE IPHONE 16 128GB-PRETO NAC</t>
  </si>
  <si>
    <t>APPLE IPHONE 16 128GB-BRANCO NAC</t>
  </si>
  <si>
    <t>APPLE IPHONE 16 128GB-VERDE NAC</t>
  </si>
  <si>
    <t>APPLE IPHONE 16 256GB</t>
  </si>
  <si>
    <t>APPLE IPHONE 16 256GB-BRANCO</t>
  </si>
  <si>
    <t>APPLE IPHONE 16 256GB-PRETO</t>
  </si>
  <si>
    <t>APPLE IPHONE 16 256GB-ROSA NAC</t>
  </si>
  <si>
    <t>APPLE IPHONE 16 256GB-PRETO NAC</t>
  </si>
  <si>
    <t>APPLE IPHONE 16 256GB-BRANCO NAC</t>
  </si>
  <si>
    <t>APPLE IPHONE 16 256GB-AZUL NAC</t>
  </si>
  <si>
    <t>APPLE IPHONE 16 PRO 128GB</t>
  </si>
  <si>
    <t>APPLE IPHONE 16 PRO 128GB-BRANCO</t>
  </si>
  <si>
    <t>APPLE IPHONE 16 PRO 128GB-DESERTO</t>
  </si>
  <si>
    <t>APPLE IPHONE 16 PRO 128GB-PRETO</t>
  </si>
  <si>
    <t>APPLE IPHONE 16 PRO 128GB-TITANIO</t>
  </si>
  <si>
    <t>APPLE IPHONE 16 PRO 256GB</t>
  </si>
  <si>
    <t>APPLE IPHONE 16 PRO 256GB-BRANCO</t>
  </si>
  <si>
    <t>APPLE IPHONE 16 PRO 256GB-DESERTO</t>
  </si>
  <si>
    <t>APPLE IPHONE 16 PRO 256GB-PRETO</t>
  </si>
  <si>
    <t>APPLE IPHONE 16 PRO 256GB-TITANIO</t>
  </si>
  <si>
    <t>APPLE IPHONE 16 PRO 512GB</t>
  </si>
  <si>
    <t>APPLE IPHONE 16 PRO 512GB-PRETO</t>
  </si>
  <si>
    <t>APPLE IPHONE 16 PRO MAX 256GB</t>
  </si>
  <si>
    <t>APPLE IPHONE 16 PRO MAX 256GB-BRANCO</t>
  </si>
  <si>
    <t>APPLE IPHONE 16 PRO MAX 256GB-DESERTO</t>
  </si>
  <si>
    <t>APPLE IPHONE 16 PRO MAX 256GB-PRETO</t>
  </si>
  <si>
    <t>APPLE IPHONE 16 PRO MAX 256GB-TITANIO</t>
  </si>
  <si>
    <t>APPLE IPHONE 16 PRO MAX 512GB</t>
  </si>
  <si>
    <t>APPLE IPHONE 16 PRO MAX 512GB-DESERTO</t>
  </si>
  <si>
    <t>APPLE IPHONE 16 PRO MAX 512GB-PRETO</t>
  </si>
  <si>
    <t>APPLE IPHONE 16 PRO MAX 512GB-TITANIO</t>
  </si>
  <si>
    <t>APPLE IPHONE 16E 256GB</t>
  </si>
  <si>
    <t>APPLE IPHONE 16E 256GB-PRETO NAC</t>
  </si>
  <si>
    <t>APPLE IPHONE 16E 256GB-BRANCO NAC</t>
  </si>
  <si>
    <t>APPLE IPHONE 17 256GB</t>
  </si>
  <si>
    <t>APPLE IPHONE 17 256GB-LAVANDA</t>
  </si>
  <si>
    <t>APPLE IPHONE 17 256GB-LAVANDA NAC</t>
  </si>
  <si>
    <t>APPLE IPHONE 17 256GB-AZUL NEVOA</t>
  </si>
  <si>
    <t>APPLE IPHONE 17 256GB-AZUL NEVOA NAC</t>
  </si>
  <si>
    <t>APPLE IPHONE 17 256GB-PRETO</t>
  </si>
  <si>
    <t>APPLE IPHONE 17 256GB-PRETO NAC</t>
  </si>
  <si>
    <t>APPLE IPHONE 17 256GB-BRANCO</t>
  </si>
  <si>
    <t>APPLE IPHONE 17 256GB-BRANCO NAC</t>
  </si>
  <si>
    <t>APPLE IPHONE 17 256GB-SALVIA</t>
  </si>
  <si>
    <t>APPLE IPHONE 17 512GB</t>
  </si>
  <si>
    <t>APPLE IPHONE 17 512GB-BRANCO</t>
  </si>
  <si>
    <t>APPLE IPHONE 17 512GB-PRETO</t>
  </si>
  <si>
    <t>APPLE IPHONE AIR 256GB</t>
  </si>
  <si>
    <t>APPLE IPHONE AIR 256GB-PRETO</t>
  </si>
  <si>
    <t>APPLE IPHONE AIR 256GB-BRANCO</t>
  </si>
  <si>
    <t>APPLE IPHONE AIR 256GB-AZUL CEU</t>
  </si>
  <si>
    <t>APPLE IPHONE AIR 256GB-DOURADO</t>
  </si>
  <si>
    <t>APPLE IPHONE AIR 512GB</t>
  </si>
  <si>
    <t>APPLE IPHONE AIR 512GB-BRANCO</t>
  </si>
  <si>
    <t>APPLE IPHONE AIR 512GB-DOURADO</t>
  </si>
  <si>
    <t>APPLE IPHONE AIR 512GB-PRETO</t>
  </si>
  <si>
    <t>APPLE IPHONE AIR 512GB-AZUL CEU</t>
  </si>
  <si>
    <t>APPLE IPHONE 17 PRO 256GB</t>
  </si>
  <si>
    <t>APPLE IPHONE 17 PRO 256GB-AZUL INTENSO</t>
  </si>
  <si>
    <t>APPLE IPHONE 17 PRO 256GB-LARANJA COSMIC</t>
  </si>
  <si>
    <t>APPLE IPHONE 17 PRO 256GB-PRATEADO</t>
  </si>
  <si>
    <t>APPLE IPHONE 17 PRO 512GB</t>
  </si>
  <si>
    <t>APPLE IPHONE 17 PRO 512GB-AZUL INTENSO</t>
  </si>
  <si>
    <t>APPLE IPHONE 17 PRO 512GB-LARANJA COSMIC</t>
  </si>
  <si>
    <t>APPLE IPHONE 17 PRO 512GB-PRATEADO</t>
  </si>
  <si>
    <t>APPLE IPHONE 17 PRO MAX 256GB</t>
  </si>
  <si>
    <t>APPLE IPHONE 17 PRO MAX 256GB- AZUL INTE</t>
  </si>
  <si>
    <t>APPLE IPHONE 17 PRO MAX 256GB-PRATEADO</t>
  </si>
  <si>
    <t>APPLE IPHONE 17 PRO MAX 256GB-LARANJA CO</t>
  </si>
  <si>
    <t>APPLE IPHONE 17 PRO MAX 512GB</t>
  </si>
  <si>
    <t>APPLE IPHONE 17 PRO MAX 512GB-LARANJA CO</t>
  </si>
  <si>
    <t>APPLE IPHONE 17 PRO MAX 512GB-AZUL INTEN</t>
  </si>
  <si>
    <t>APPLE IPHONE 17 PRO MAX 512GB-PRATEADO</t>
  </si>
  <si>
    <t>APPLE IPHONE 17E 256GB</t>
  </si>
  <si>
    <t>APPLE IPHONE 17E 256GB-BRANCO</t>
  </si>
  <si>
    <t>APPLE IPHONE 17E 256GB-PRETO</t>
  </si>
  <si>
    <t>APPLE IPHONE 17E 256GB-ROSA PALIDO</t>
  </si>
  <si>
    <t>APPLE IPHONE 17E 256GB-BRANCO NAC</t>
  </si>
  <si>
    <t>APPLE IPHONE 17E 256GB-PRETO NAC</t>
  </si>
  <si>
    <t>APPLE IPHONE 17E 256GB-ROSA PALIDO NAC</t>
  </si>
  <si>
    <t>JOVI V50 512GB</t>
  </si>
  <si>
    <t>JOVI V50 512GB-VERMELHO</t>
  </si>
  <si>
    <t>JOVI V50 512GB-PRETO</t>
  </si>
  <si>
    <t>JOVI V50 LITE 256GB</t>
  </si>
  <si>
    <t>JOVI V50 LITE 256GB-OURO</t>
  </si>
  <si>
    <t>JOVI V50 LITE 256GB-PRETO</t>
  </si>
  <si>
    <t>JOVI V70 5G 512GB</t>
  </si>
  <si>
    <t>JOVI V70 5G 512GB-AZUL SAFIRA</t>
  </si>
  <si>
    <t>JOVI V70 5G 512GB-LILAS BOREAL</t>
  </si>
  <si>
    <t>ADM</t>
  </si>
  <si>
    <t>JOVI Y21 5G 256GB</t>
  </si>
  <si>
    <t>JOVI Y21 5G 256GB-AZUL</t>
  </si>
  <si>
    <t>JOVI Y21 5G 256GB-DOURADO</t>
  </si>
  <si>
    <t>JOVI Y29S 5G 256GB</t>
  </si>
  <si>
    <t>JOVI Y29S 5G 256GB-PRETO</t>
  </si>
  <si>
    <t>MOTOROLA MOTO E13 64GB</t>
  </si>
  <si>
    <t>MOTOROLA MOTO E13 64GB-GRAFITE</t>
  </si>
  <si>
    <t>4G</t>
  </si>
  <si>
    <t>MOTOROLA EDGE 30 NEO 5G</t>
  </si>
  <si>
    <t>MOTOROLA EDGE 30 NEO 5G-PRETO</t>
  </si>
  <si>
    <t>MOTOROLA EDGE 30 PRO</t>
  </si>
  <si>
    <t>MOTOROLA EDGE 30 PRO-AZUL</t>
  </si>
  <si>
    <t>MOTOROLA EDGE 40</t>
  </si>
  <si>
    <t>MOTOROLA EDGE 40-PRETO</t>
  </si>
  <si>
    <t>MOTOROLA EDGE 40-MAGENTA</t>
  </si>
  <si>
    <t>MOTOROLA EDGE 40 NEO</t>
  </si>
  <si>
    <t>MOTOROLA EDGE 40 NEO-PRETO</t>
  </si>
  <si>
    <t>MOTOROLA EDGE 40 NEO-PEACH FUZZ</t>
  </si>
  <si>
    <t>MOTOROLA EDGE 50 256GB</t>
  </si>
  <si>
    <t>MOTOROLA EDGE 50 256GB-CINZA</t>
  </si>
  <si>
    <t>MOTOROLA EDGE 50 256GB-VERDE</t>
  </si>
  <si>
    <t>MOTOROLA EDGE 50 256GB-PEACH FUZZ</t>
  </si>
  <si>
    <t>MOTOROLA EDGE 50 FUSION 256GB</t>
  </si>
  <si>
    <t>MOTOROLA EDGE 50 FUSION 256GB-AZUL MARIN</t>
  </si>
  <si>
    <t>MOTOROLA EDGE 50 FUSION 256GB-AZUL CLARO</t>
  </si>
  <si>
    <t>MOTOROLA EDGE 60 FUSION 256GB</t>
  </si>
  <si>
    <t>MOTOROLA EDGE 60 FUSION 256GB-CINZA</t>
  </si>
  <si>
    <t>MOTOROLA EDGE 60 FUSION 256GB-ROSA</t>
  </si>
  <si>
    <t>MOTOROLA EDGE 60 NEO 512GB</t>
  </si>
  <si>
    <t>MOTOROLA EDGE 60 NEO 512GB-CINZA</t>
  </si>
  <si>
    <t>MOTOROLA EDGE 60 NEO 512GB-LATTE</t>
  </si>
  <si>
    <t>MOTOROLA EDGE 60 PRO 512GB</t>
  </si>
  <si>
    <t>MOTOROLA EDGE 60 PRO 512GB-CINZA</t>
  </si>
  <si>
    <t>MOTOROLA EDGE 70 512GB</t>
  </si>
  <si>
    <t>MOTOROLA EDGE 70 512GB-GRAFITE</t>
  </si>
  <si>
    <t>MOTOROLA EDGE 70 512GB-VERDE</t>
  </si>
  <si>
    <t>MOTO EDGE 70 BY SWAROVSK 512GB</t>
  </si>
  <si>
    <t>MOTO EDGE 70 BY SWAROVSK 512GB-BRANCO</t>
  </si>
  <si>
    <t>MOTOROLA MOTO E40</t>
  </si>
  <si>
    <t>MOTOROLA MOTO E40-GRAFITE</t>
  </si>
  <si>
    <t>MOTOROLA MOTO E40-ROSE</t>
  </si>
  <si>
    <t>MOTOROLA MOTO G04</t>
  </si>
  <si>
    <t>MOTOROLA MOTO G04-GRAFITE</t>
  </si>
  <si>
    <t>MOTOROLA MOTO G04S 128GB</t>
  </si>
  <si>
    <t>MOTOROLA MOTO G04S 128GB-GRAFITE</t>
  </si>
  <si>
    <t>MOTOROLA MOTO G05 128GB</t>
  </si>
  <si>
    <t>MOTOROLA MOTO G05 128GB-CINZA</t>
  </si>
  <si>
    <t>MOTOROLA MOTO G06 4G 128GB</t>
  </si>
  <si>
    <t>MOTOROLA MOTO G06 4G 128GB-AZUL MARINHO</t>
  </si>
  <si>
    <t>MOTOROLA MOTO G34 5G</t>
  </si>
  <si>
    <t>MOTOROLA MOTO G34 5G-PRETO</t>
  </si>
  <si>
    <t>MOTOROLA MOTO G34 5G-AZUL</t>
  </si>
  <si>
    <t>MOTOROLA MOTO G35 5G 128GB</t>
  </si>
  <si>
    <t>MOTOROLA MOTO G35 5G 128GB-CINZA</t>
  </si>
  <si>
    <t>MOTOROLA MOTO G35 5G 128GB-VERDE</t>
  </si>
  <si>
    <t>MOTOROLA MOTO G35 5G 256GB</t>
  </si>
  <si>
    <t>MOTOROLA MOTO G35 5G 256GB-CINZA</t>
  </si>
  <si>
    <t>MOTOROLA MOTO G35 5G 256GB-CORAL</t>
  </si>
  <si>
    <t>MOTOROLA MOTO G47 5G 128GB</t>
  </si>
  <si>
    <t>MOTOROLA MOTO G47 5G 128GB-AZUL NAUTICO</t>
  </si>
  <si>
    <t>MOTOROLA MOTO G47 5G 128GB-GRAFITE</t>
  </si>
  <si>
    <t>MOTOROLA MOTO G53 5G</t>
  </si>
  <si>
    <t>MOTOROLA MOTO G53 5G-GRAFITE</t>
  </si>
  <si>
    <t>MOTOROLA MOTO G53 5G-PRATA</t>
  </si>
  <si>
    <t>MOTOROLA MOTO G54 5G 256GB</t>
  </si>
  <si>
    <t>MOTOROLA MOTO G54 5G 256GB-AZUL</t>
  </si>
  <si>
    <t>MOTOROLA MOTO G56 5G 256GB</t>
  </si>
  <si>
    <t>MOTOROLA MOTO G56 5G 256GB-CINZA</t>
  </si>
  <si>
    <t>MOTOROLA MOTO G56 5G 256GB-GRAFITE</t>
  </si>
  <si>
    <t>MOTOROLA MOTO G67 5G 256GB</t>
  </si>
  <si>
    <t>MOTOROLA MOTO G67 5G 256GB-CHUMBO</t>
  </si>
  <si>
    <t>MOTOROLA MOTO G67 5G 256GB-VERDE CLARO</t>
  </si>
  <si>
    <t>MOTOROLA MOTO G75 5G 256GB</t>
  </si>
  <si>
    <t>MOTOROLA MOTO G75 5G 256GB-PRETO</t>
  </si>
  <si>
    <t>MOTOROLA MOTO G75 5G 256GB-CINZA</t>
  </si>
  <si>
    <t>MOTOROLA MOTO G82 5G</t>
  </si>
  <si>
    <t>MOTOROLA MOTO G82 5G-PRETO</t>
  </si>
  <si>
    <t>MOTOROLA MOTO G86 5G 512GB</t>
  </si>
  <si>
    <t>MOTOROLA MOTO G86 5G 512GB-VERDE ESCURO</t>
  </si>
  <si>
    <t>MOTOROLA MOTO G86 5G 512GB-LILAS</t>
  </si>
  <si>
    <t>MOTOROLA G86 5G 512GB-12GB-VERDE ESCURO</t>
  </si>
  <si>
    <t>MOTOROLA G86 5G 512GB-12GB-LILAS</t>
  </si>
  <si>
    <t>MOTOROLA G MAX 5G 256GB</t>
  </si>
  <si>
    <t>MOTOROLA G MAX 5G 256GB-GRAFITE</t>
  </si>
  <si>
    <t>MOTOROLA G MAX 5G 256GB-AZUL CLARO</t>
  </si>
  <si>
    <t>MOTOROLA RAZR 40</t>
  </si>
  <si>
    <t>MOTOROLA RAZR 40-VERDE</t>
  </si>
  <si>
    <t>MOTOROLA RAZR 40-VANILLA</t>
  </si>
  <si>
    <t>MOTOROLA RAZR 40 ULTRA</t>
  </si>
  <si>
    <t>MOTOROLA RAZR 40 ULTRA-PRETO</t>
  </si>
  <si>
    <t>MOTOROLA RAZR 50 ULTRA 512GB</t>
  </si>
  <si>
    <t>MOTOROLA RAZR 50 ULTRA 512GB-AZUL MARIN</t>
  </si>
  <si>
    <t>MOTOROLA RAZR 60 ULTRA 1TB</t>
  </si>
  <si>
    <t>MOTOROLA RAZR 60 ULTRA 1TB-VERDE</t>
  </si>
  <si>
    <t>MOTOROLA RAZR 70 ULTRA 512GB</t>
  </si>
  <si>
    <t>MOTOROLA RAZR 70 ULTRA 512GB-ROXO</t>
  </si>
  <si>
    <t>MOTOROLA RAZR 70 ULTRA 512GB-MADEIRA</t>
  </si>
  <si>
    <t>MOTOROLA RAZR FOLD 1TB</t>
  </si>
  <si>
    <t>MOTOROLA RAZR FOLD 1TB-PRETO</t>
  </si>
  <si>
    <t>MOTOROLA SIGNATURE 512GB</t>
  </si>
  <si>
    <t>MOTOROLA SIGNATURE 512GB-PRETO</t>
  </si>
  <si>
    <t>NOKIA 5.4</t>
  </si>
  <si>
    <t>NOKIA 5.4-AZUL</t>
  </si>
  <si>
    <t>NOKIA C01 PLUS</t>
  </si>
  <si>
    <t>NOKIA C01 PLUS-AZUL</t>
  </si>
  <si>
    <t>OPPO A6X 5G 256GB</t>
  </si>
  <si>
    <t>OPPO A6X 5G 256GB-PURPURA</t>
  </si>
  <si>
    <t>SAMSUNG GALAXY A02</t>
  </si>
  <si>
    <t>SAMSUNG GALAXY A02-PRETO</t>
  </si>
  <si>
    <t>SAMSUNG GALAXY A03 CORE</t>
  </si>
  <si>
    <t>SAMSUNG GALAXY A03 CORE-PRETO ONIX AM</t>
  </si>
  <si>
    <t>SAMSUNG GALAXY A03 CORE-COBRE</t>
  </si>
  <si>
    <t>SAMSUNG GALAXY A03 CORE-PRETO ONIX</t>
  </si>
  <si>
    <t>SAMSUNG GALAXY A03S</t>
  </si>
  <si>
    <t>SAMSUNG GALAXY A03S-PRETO AM</t>
  </si>
  <si>
    <t>SAMSUNG GALAXY A03S-AZUL AM</t>
  </si>
  <si>
    <t>SAMSUNG GALAXY A05</t>
  </si>
  <si>
    <t>SAMSUNG GALAXY A05-PRETO</t>
  </si>
  <si>
    <t>SAMSUNG GALAXY A05-PRETO AM</t>
  </si>
  <si>
    <t>SAMSUNG GALAXY A05S</t>
  </si>
  <si>
    <t>SAMSUNG GALAXY A05S-PRETO</t>
  </si>
  <si>
    <t>SAMSUNG GALAXY A05S-PRETO AM</t>
  </si>
  <si>
    <t>SAMSUNG GALAXY A06 128GB</t>
  </si>
  <si>
    <t>SAMSUNG GALAXY A06 128GB-AZUL ESCURO</t>
  </si>
  <si>
    <t>SAMSUNG GALAXY A06 128GB-AZUL ESCURO AM</t>
  </si>
  <si>
    <t>SAMSUNG GALAXY A06 5G 128GB</t>
  </si>
  <si>
    <t>SAMSUNG GALAXY A06 5G 128GB-PRETO</t>
  </si>
  <si>
    <t>SAMSUNG GALAXY A06 5G 128GB-PRETO AM</t>
  </si>
  <si>
    <t>SAMSUNG GALAXY A06 5G 128GB-CINZA</t>
  </si>
  <si>
    <t>SAMSUNG GALAXY A06 5G 128GB-CINZA AM</t>
  </si>
  <si>
    <t>SAMSUNG GALAXY A07 4G 128GB</t>
  </si>
  <si>
    <t>SAMSUNG GALAXY A07 4G 128GB-PRETO AM</t>
  </si>
  <si>
    <t>SAMSUNG GALAXY A07 4G 128GB SP-PRETO</t>
  </si>
  <si>
    <t>SAMSUNG GALAXY A07 4G 256GB</t>
  </si>
  <si>
    <t>SAMSUNG GALAXY A07 4G 256GB-PRETO</t>
  </si>
  <si>
    <t>SAMSUNG GALAXY A07 4G 256GB-PRETO AM</t>
  </si>
  <si>
    <t>SAMSUNG GALAXY A07 4G 256GB SP-PRETO</t>
  </si>
  <si>
    <t>SAMSUNG GALAXY A07 5G 128GB</t>
  </si>
  <si>
    <t>SAMSUNG GALAXY A07 5G 128GB-PRETO</t>
  </si>
  <si>
    <t>SAMSUNG GALAXY A13 128GB</t>
  </si>
  <si>
    <t>SAMSUNG GALAXY A13 128GB-PRETO AM</t>
  </si>
  <si>
    <t>SAMSUNG GALAXY A13 128GB-BRANCO AM</t>
  </si>
  <si>
    <t>SAMSUNG GALAXY A14 5G</t>
  </si>
  <si>
    <t>SAMSUNG GALAXY A14 5G-PRETO</t>
  </si>
  <si>
    <t>SAMSUNG GALAXY A14 5G-PRETO AM</t>
  </si>
  <si>
    <t>SAMSUNG GALAXY A14 5G-PRATA AM</t>
  </si>
  <si>
    <t>SAMSUNG GALAXY A14 5G 64GB</t>
  </si>
  <si>
    <t>SAMSUNG GALAXY A14 5G 64GB-PRETO</t>
  </si>
  <si>
    <t>SAMSUNG GALAXY A14 5G 64GB-PRETO AM</t>
  </si>
  <si>
    <t>SAMSUNG GALAXY A14 5G 64GB-PRATA</t>
  </si>
  <si>
    <t>SAMSUNG GALAXY A14 5G 64GB-PRATA AM</t>
  </si>
  <si>
    <t>SAMSUNG GALAXY A15 5G 128GB</t>
  </si>
  <si>
    <t>SAMSUNG GALAXY A15 5G 128GB-AZUL ESCURO</t>
  </si>
  <si>
    <t>SAMSUNG GALAXY A15 5G 128GB-AZUL ESC AM</t>
  </si>
  <si>
    <t>SAMSUNG GALAXY A15 5G 128GB-AZUL CLARO</t>
  </si>
  <si>
    <t>SAMSUNG GALAXY A15 5G 256GB</t>
  </si>
  <si>
    <t>SAMSUNG GALAXY A15 5G 256GB-AZUL CLARO</t>
  </si>
  <si>
    <t>SAMSUNG GALAXY A15 5G 256GB-AZUL CLA AM</t>
  </si>
  <si>
    <t>SAMSUNG GALAXY A15 5G 256GB-AZUL ESCURO</t>
  </si>
  <si>
    <t>SAMSUNG GALAXY A15 5G 256GB-AZUL ESC AM</t>
  </si>
  <si>
    <t>SAMSUNG GALAXY A16 5G 128GB</t>
  </si>
  <si>
    <t>SAMSUNG GALAXY A16 5G 128GB-CINZA</t>
  </si>
  <si>
    <t>SAMSUNG GALAXY A16 5G 128GB-CINZA AM</t>
  </si>
  <si>
    <t>SAMSUNG GALAXY A16 5G 128GB-AZUL ESCURO</t>
  </si>
  <si>
    <t>SAMSUNG GALAXY A16 5G 128GB-AZUL ESC AM</t>
  </si>
  <si>
    <t>SAMSUNG GALAXY A16 5G 128GB EE-AZUL ESC</t>
  </si>
  <si>
    <t>SAMSUNG GALAXY A16 5G 128GB EE-AZ ESC AM</t>
  </si>
  <si>
    <t>SAMSUNG GALAXY A16 5G 256GB</t>
  </si>
  <si>
    <t>SAMSUNG GALAXY A16 5G 256GB-CINZA</t>
  </si>
  <si>
    <t>SAMSUNG GALAXY A16 5G 256GB-CINZA AM</t>
  </si>
  <si>
    <t>SAMSUNG GALAXY A16 5G 256GB-AZUL ESCURO</t>
  </si>
  <si>
    <t>SAMSUNG GALAXY A16 5G 256GB-AZUL ESC AM</t>
  </si>
  <si>
    <t>SAMSUNG GALAXY A17 4G 128GB</t>
  </si>
  <si>
    <t>SAMSUNG GALAXY A17 4G 128GB-CINZA</t>
  </si>
  <si>
    <t>SAMSUNG GALAXY A17 4G 128GB-CINZA AM</t>
  </si>
  <si>
    <t>SAMSUNG GALAXY A17 4G 128GB-PRETO</t>
  </si>
  <si>
    <t>SAMSUNG GALAXY A17 4G 128GB-PRETO AM</t>
  </si>
  <si>
    <t>SAMSUNG GALAXY A17 5G 128GB</t>
  </si>
  <si>
    <t>SAMSUNG GALAXY A17 5G 128GB-AZUL</t>
  </si>
  <si>
    <t>SAMSUNG GALAXY A17 5G 128GB-PRETO</t>
  </si>
  <si>
    <t>SAMSUNG GALAXY A17 5G 128GB-AZUL AM</t>
  </si>
  <si>
    <t>SAMSUNG GALAXY A17 5G 128GB-PRETO AM</t>
  </si>
  <si>
    <t>SAMSUNG GALAXY A17 5G 128GB-CINZA AM</t>
  </si>
  <si>
    <t>SAMSUNG GALAXY A17 5G 128GB-CINZA</t>
  </si>
  <si>
    <t>SAMSUNG GALAXY A17 5G 128GB EE-PRETO AM</t>
  </si>
  <si>
    <t>SAMSUNG GALAXY A17 5G 128GB EE-PRETO</t>
  </si>
  <si>
    <t>SAMSUNG GALAXY A17 5G 256GB</t>
  </si>
  <si>
    <t>SAMSUNG GALAXY A17 5G 256GB-AZUL</t>
  </si>
  <si>
    <t>SAMSUNG GALAXY A17 5G 256GB-PRETO</t>
  </si>
  <si>
    <t>SAMSUNG GALAXY A17 5G 256GB-AZUL AM</t>
  </si>
  <si>
    <t>SAMSUNG GALAXY A17 5G 256GB-PRETO AM</t>
  </si>
  <si>
    <t>SAMSUNG GALAXY A17 5G 256GB-CINZA AM</t>
  </si>
  <si>
    <t>SAMSUNG GALAXY A22 5G</t>
  </si>
  <si>
    <t>SAMSUNG GALAXY A22 5G-BRANCO AM</t>
  </si>
  <si>
    <t>SAMSUNG GALAXY A23 5G</t>
  </si>
  <si>
    <t>SAMSUNG GALAXY A23 5G-PRETO</t>
  </si>
  <si>
    <t>SAMSUNG GALAXY A23 5G-PRETO AM</t>
  </si>
  <si>
    <t>SAMSUNG GALAXY A25 5G</t>
  </si>
  <si>
    <t>SAMSUNG GALAXY A25 5G-AZUL ESCURO</t>
  </si>
  <si>
    <t>SAMSUNG GALAXY A25 5G-AZUL ESCURO AM</t>
  </si>
  <si>
    <t>SAMSUNG GALAXY A32 5G</t>
  </si>
  <si>
    <t>SAMSUNG GALAXY A32 5G-PRETO</t>
  </si>
  <si>
    <t>SAMSUNG GALAXY A34 5G</t>
  </si>
  <si>
    <t>SAMSUNG GALAXY A34 5G-PRETO</t>
  </si>
  <si>
    <t>SAMSUNG GALAXY A34 5G-PRETO AM</t>
  </si>
  <si>
    <t>SAMSUNG GALAXY A34 5G EE 128GB-PRETO AM</t>
  </si>
  <si>
    <t>SAMSUNG GALAXY A35 5G 256GB</t>
  </si>
  <si>
    <t>SAMSUNG GALAXY A35 5G 256GB-AZUL ESC</t>
  </si>
  <si>
    <t>SAMSUNG GALAXY A35 5G 256GB-AZUL ESC AM</t>
  </si>
  <si>
    <t>SAMSUNG GALAXY A35 5G 256GB-AZUL CLARO</t>
  </si>
  <si>
    <t>SAMSUNG GALAXY A35 5G 256GB EE-AZ ESC AM</t>
  </si>
  <si>
    <t>SAMSUNG GALAXY A35 5G 256GB-AZUL CLA AM</t>
  </si>
  <si>
    <t>SAMSUNG GALAXY A35 5G 256GB EE-AZUL ESC</t>
  </si>
  <si>
    <t>SAMSUNG GALAXY A36 5G 256GB</t>
  </si>
  <si>
    <t>SAMSUNG GALAXY A36 5G 256GB-PRETO</t>
  </si>
  <si>
    <t>SAMSUNG GALAXY A36 5G 256GB-PRETO AM</t>
  </si>
  <si>
    <t>SAMSUNG GALAXY A36 5G 256GB-BRANCO</t>
  </si>
  <si>
    <t>SAMSUNG GALAXY A36 5G 256GB-BRANCO AM</t>
  </si>
  <si>
    <t>SAMSUNG GALAXY A36 5G 256GB EE-PRETO</t>
  </si>
  <si>
    <t>SAMSUNG GALAXY A36 5G 256GB EE-PRETO AM</t>
  </si>
  <si>
    <t>SAMSUNG GALAXY A37 5G 256GB</t>
  </si>
  <si>
    <t>SAMSUNG GALAXY A37 5G 256GB-PRETO</t>
  </si>
  <si>
    <t>SAMSUNG GALAXY A37 5G 256GB-PRETO AM</t>
  </si>
  <si>
    <t>SAMSUNG GALAXY A37 5G 256GB EE-PRETO</t>
  </si>
  <si>
    <t>SAMSUNG GALAXY A37 5G 256GB EE-PRETO AM</t>
  </si>
  <si>
    <t>SAMSUNG GALAXY A37 5G 256GB-VERDE</t>
  </si>
  <si>
    <t>SAMSUNG GALAXY A37 5G 256GB-VERDE AM</t>
  </si>
  <si>
    <t>SAMSUNG GALAXY A52S 5G</t>
  </si>
  <si>
    <t>SAMSUNG GALAXY A52S 5G-PRETO</t>
  </si>
  <si>
    <t>SAMSUNG GALAXY A52S 5G-BRANCO</t>
  </si>
  <si>
    <t>SAMSUNG GALAXY A52S 5G N-PRETO</t>
  </si>
  <si>
    <t>SAMSUNG GALAXY A54 5G 256GB</t>
  </si>
  <si>
    <t>SAMSUNG GALAXY A54 5G 256GB-PRETO AM</t>
  </si>
  <si>
    <t>SAMSUNG GALAXY A54 5G 256GB-BRANCO AM</t>
  </si>
  <si>
    <t>SAMSUNG GALAXY A54 5G 256GB-VERDE AM</t>
  </si>
  <si>
    <t>SAMSUNG GALAXY A54 5G EE 256GB-PRETO AM</t>
  </si>
  <si>
    <t>SAMSUNG GALAXY A55 5G 256GB</t>
  </si>
  <si>
    <t>SAMSUNG GALAXY A55 5G 256GB-AZUL CLARO</t>
  </si>
  <si>
    <t>SAMSUNG GALAXY A55 5G 256GB-AZUL CLA AM</t>
  </si>
  <si>
    <t>SAMSUNG GALAXY A55 5G 256GB-AZUL ESC</t>
  </si>
  <si>
    <t>SAMSUNG GALAXY A55 5G 256GB-AZUL ESC AM</t>
  </si>
  <si>
    <t>SAMSUNG GALAXY A55 5G 256GB EE-AZUL ESC</t>
  </si>
  <si>
    <t>SAMSUNG GALAXY A56 5G 256GB</t>
  </si>
  <si>
    <t>SAMSUNG GALAXY A56 5G 256GB-PRETO</t>
  </si>
  <si>
    <t>SAMSUNG GALAXY A56 5G 256GB-PRETO AM</t>
  </si>
  <si>
    <t>SAMSUNG GALAXY A56 5G 256GB EE-PRETO AM</t>
  </si>
  <si>
    <t>SAMSUNG GALAXY A56 5G 256GB-CINZA</t>
  </si>
  <si>
    <t>SAMSUNG GALAXY A56 5G 256GB-CINZA AM</t>
  </si>
  <si>
    <t>SAMSUNG GALAXY A56 5G 256GB EE-PRETO</t>
  </si>
  <si>
    <t>SAMSUNG GALAXY A57 5G 256GB</t>
  </si>
  <si>
    <t>SAMSUNG GALAXY A57 5G 256GB-AZUL ESCURO</t>
  </si>
  <si>
    <t>SAMSUNG GALAXY A57 5G 256GB-AZUL ES AM</t>
  </si>
  <si>
    <t>SAMSUNG GALAXY A57 5G 256GB-CINZA</t>
  </si>
  <si>
    <t>SAMSUNG GALAXY A57 5G 256GB-CINZA AM</t>
  </si>
  <si>
    <t>SAMSUNG GALAXY A57 5G 256GB EE-CINZA</t>
  </si>
  <si>
    <t>SAMSUNG GALAXY A57 5G 256GB EE-CINZA AM</t>
  </si>
  <si>
    <t>Samsung Galaxy Note 3</t>
  </si>
  <si>
    <t>Samsung Galaxy Note 3-Preto</t>
  </si>
  <si>
    <t>SAMSUNG GALAXY S21 FE 256GB</t>
  </si>
  <si>
    <t>SAMSUNG GALAXY S21 FE 256GB-PRETO</t>
  </si>
  <si>
    <t>SAMSUNG GALAXY S21 FE 256GB C.KIT-PRE AM</t>
  </si>
  <si>
    <t>SAMSUNG GALAXY S21 FE 256GB C.KIT-PRETO</t>
  </si>
  <si>
    <t>SAMSUNG GALAXY S22</t>
  </si>
  <si>
    <t>SAMSUNG GALAXY S22-BRANCO AM</t>
  </si>
  <si>
    <t>SAMSUNG GALAXY S22-PRETO AM</t>
  </si>
  <si>
    <t>SAMSUNG GALAXY S22-ROSE AM</t>
  </si>
  <si>
    <t>SAMSUNG GALAXY S22-VIOLETA</t>
  </si>
  <si>
    <t>SAMSUNG GALAXY S22 256GB</t>
  </si>
  <si>
    <t>SAMSUNG GALAXY S22 256GB-PRETO</t>
  </si>
  <si>
    <t>SAMSUNG GALAXY S22 256GB-PRETO AM</t>
  </si>
  <si>
    <t>SAMSUNG GALAXY S22 256GB C.KIT-BRANCO AM</t>
  </si>
  <si>
    <t>SAMSUNG GALAXY S22 256GB C.KIT-PRETO</t>
  </si>
  <si>
    <t>SAMSUNG GALAXY S22 PLUS</t>
  </si>
  <si>
    <t>SAMSUNG GALAXY S22 PLUS-PRETO AM</t>
  </si>
  <si>
    <t>SAMSUNG GALAXY S22 PLUS-ROSE AM</t>
  </si>
  <si>
    <t>SAMSUNG GALAXY S23</t>
  </si>
  <si>
    <t>SAMSUNG GALAXY S23-CREME AM</t>
  </si>
  <si>
    <t>SAMSUNG GALAXY S23-PRETO</t>
  </si>
  <si>
    <t>SAMSUNG GALAXY S23-PRETO AM</t>
  </si>
  <si>
    <t>SAMSUNG GALAXY S23-VERDE AM</t>
  </si>
  <si>
    <t>SAMSUNG GALAXY S23 PLUS</t>
  </si>
  <si>
    <t>SAMSUNG GALAXY S23 PLUS-CREME</t>
  </si>
  <si>
    <t>SAMSUNG GALAXY S23 PLUS-CREME AM</t>
  </si>
  <si>
    <t>SAMSUNG GALAXY S23 PLUS-PRETO</t>
  </si>
  <si>
    <t>SAMSUNG GALAXY S23 PLUS-PRETO AM</t>
  </si>
  <si>
    <t>SAMSUNG GALAXY S23 PLUS-VERDE AM</t>
  </si>
  <si>
    <t>SAMSUNG GALAXY S23 PLUS 512GB</t>
  </si>
  <si>
    <t>SAMSUNG GALAXY S23 PLUS 512GB-CREME</t>
  </si>
  <si>
    <t>SAMSUNG GALAXY S23 PLUS 512GB-CREME AM</t>
  </si>
  <si>
    <t>SAMSUNG GALAXY S23 PLUS 512GB-PRETO</t>
  </si>
  <si>
    <t>SAMSUNG GALAXY S23 PLUS 512GB-PRETO AM</t>
  </si>
  <si>
    <t>SAMSUNG GALAXY S23 PLUS 512GB-VERDE</t>
  </si>
  <si>
    <t>SAMSUNG GALAXY S23 PLUS 512GB-VERDE AM</t>
  </si>
  <si>
    <t>SAMSUNG GALAXY S23 PLUS 512GB-VIOLETA</t>
  </si>
  <si>
    <t>SAMSUNG GALAXY S23 PLUS 512GB-VIOLETA AM</t>
  </si>
  <si>
    <t>SAMSUNG GALAXY S23 FE 256GB</t>
  </si>
  <si>
    <t>SAMSUNG GALAXY S23 FE 256GB-CREME</t>
  </si>
  <si>
    <t>SAMSUNG GALAXY S23 FE 256GB-GRAFITE</t>
  </si>
  <si>
    <t>SAMSUNG GALAXY S23 FE 256GB-GRAFITE AM</t>
  </si>
  <si>
    <t>SAMSUNG GALAXY S24 128GB</t>
  </si>
  <si>
    <t>SAMSUNG GALAXY S24 128GB-CINZA</t>
  </si>
  <si>
    <t>SAMSUNG GALAXY S24 128GB-CINZA AM</t>
  </si>
  <si>
    <t>SAMSUNG GALAXY S24 128GB-CREME</t>
  </si>
  <si>
    <t>SAMSUNG GALAXY S24 128GB-CREME AM</t>
  </si>
  <si>
    <t>SAMSUNG GALAXY S24 128GB-PRETO</t>
  </si>
  <si>
    <t>SAMSUNG GALAXY S24 128GB-PRETO AM</t>
  </si>
  <si>
    <t>SAMSUNG GALAXY S24 128GB-VIOLETA AM</t>
  </si>
  <si>
    <t>SAMSUNG GALAXY S24 256GB</t>
  </si>
  <si>
    <t>SAMSUNG GALAXY S24 256GB-CINZA</t>
  </si>
  <si>
    <t>SAMSUNG GALAXY S24 256GB-CINZA AM</t>
  </si>
  <si>
    <t>SAMSUNG GALAXY S24 256GB-CREME</t>
  </si>
  <si>
    <t>SAMSUNG GALAXY S24 256GB-CREME AM</t>
  </si>
  <si>
    <t>SAMSUNG GALAXY S24 256GB-PRETO</t>
  </si>
  <si>
    <t>SAMSUNG GALAXY S24 256GB-PRETO AM</t>
  </si>
  <si>
    <t>SAMSUNG GALAXY S24 PLUS 256GB</t>
  </si>
  <si>
    <t>SAMSUNG GALAXY S24 PLUS 256GB-PRETO</t>
  </si>
  <si>
    <t>SAMSUNG GALAXY S24 PLUS 256GB-CREME</t>
  </si>
  <si>
    <t>SAMSUNG GALAXY S24 PLUS 256GB-CREME AM</t>
  </si>
  <si>
    <t>SAMSUNG GALAXY S24 PLUS 256GB-PRETO AM</t>
  </si>
  <si>
    <t>SAMSUNG GALAXY S24 PLUS 256GB-CINZA AM</t>
  </si>
  <si>
    <t>SAMSUNG GALAXY S24 PLUS 256GB-CINZA</t>
  </si>
  <si>
    <t>SAMSUNG GALAXY S24 PLUS 256GB-VIOLETA</t>
  </si>
  <si>
    <t>SAMSUNG GALAXY S24 PLUS 256GB-VIOLETA AM</t>
  </si>
  <si>
    <t>SAMSUNG GALAXY S24 PLUS 512GB</t>
  </si>
  <si>
    <t>SAMSUNG GALAXY S24 PLUS 512GB-CINZA</t>
  </si>
  <si>
    <t>SAMSUNG GALAXY S24 PLUS 512GB-CINZA AM</t>
  </si>
  <si>
    <t>SAMSUNG GALAXY S24 PLUS 512GB-CREME</t>
  </si>
  <si>
    <t>SAMSUNG GALAXY S24 PLUS 512GB-PRETO</t>
  </si>
  <si>
    <t>SAMSUNG GALAXY S24 PLUS 512GB-PRETO AM</t>
  </si>
  <si>
    <t>SAMSUNG GALAXY S24 ULTRA 256GB</t>
  </si>
  <si>
    <t>SAMSUNG GALAXY S24 ULTRA 256GB-CINZA</t>
  </si>
  <si>
    <t>SAMSUNG GALAXY S24 ULTRA 256GB-CINZA AM</t>
  </si>
  <si>
    <t>SAMSUNG GALAXY S24 ULTRA 256GB-PRETO</t>
  </si>
  <si>
    <t>SAMSUNG GALAXY S24 ULTRA 256GB-PRETO AM</t>
  </si>
  <si>
    <t>SAMSUNG GALAXY S24 FE 256GB</t>
  </si>
  <si>
    <t>SAMSUNG GALAXY S24 FE 256GB-CINZA</t>
  </si>
  <si>
    <t>SAMSUNG GALAXY S24 FE 256GB-CINZA AM</t>
  </si>
  <si>
    <t>SAMSUNG GALAXY S24 FE 256GB-GRAFITE</t>
  </si>
  <si>
    <t>SAMSUNG GALAXY S24 FE 256GB-GRAFITE AM</t>
  </si>
  <si>
    <t>SAMSUNG GALAXY S24 FE 256GB EE-GRAFIT AM</t>
  </si>
  <si>
    <t>SAMSUNG GALAXY S24 FE 256GB EE-GRAFITE</t>
  </si>
  <si>
    <t>SAMSUNG GALAXY S25 256GB</t>
  </si>
  <si>
    <t>SAMSUNG GALAXY S25 256GB-AZUL</t>
  </si>
  <si>
    <t>SAMSUNG GALAXY S25 256GB-AZUL MARINHO</t>
  </si>
  <si>
    <t>SAMSUNG GALAXY S25 256GB-VERDE</t>
  </si>
  <si>
    <t>SAMSUNG GALAXY S25 256GB-PRATA</t>
  </si>
  <si>
    <t>SAMSUNG GALAXY S25 256GB-VERDE AM</t>
  </si>
  <si>
    <t>SAMSUNG GALAXY S25 256GB-AZUL MARINHO AM</t>
  </si>
  <si>
    <t>SAMSUNG GALAXY S25 256GB-PRATA AM</t>
  </si>
  <si>
    <t>SAMSUNG GALAXY S25 256GB-AZUL AM</t>
  </si>
  <si>
    <t>SAMSUNG GALAXY S25 PLUS 256GB</t>
  </si>
  <si>
    <t>SAMSUNG GALAXY S25 PLUS 256GB-AZ MARINHO</t>
  </si>
  <si>
    <t>SAMSUNG GALAXY S25 PLUS 256GB-AZUL</t>
  </si>
  <si>
    <t>SAMSUNG GALAXY S25 PLUS 256GB-PRATA</t>
  </si>
  <si>
    <t>SAMSUNG GALAXY S25 PLUS 256GB-AZ MAR AM</t>
  </si>
  <si>
    <t>SAMSUNG GALAXY S25 PLUS 256GB-PRATA AM</t>
  </si>
  <si>
    <t>SAMSUNG GALAXY S25 PLUS 256GB-AZUL AM</t>
  </si>
  <si>
    <t>SAMSUNG GALAXY S25 PLUS 512GB</t>
  </si>
  <si>
    <t>SAMSUNG GALAXY S25 PLUS 512GB-AZ MAR AM</t>
  </si>
  <si>
    <t>SAMSUNG GALAXY S25 PLUS 512GB-AZUL AM</t>
  </si>
  <si>
    <t>SAMSUNG GALAXY S25 PLUS 512GB-PRATA AM</t>
  </si>
  <si>
    <t>SAMSUNG GALAXY S25 ULTRA 256GB</t>
  </si>
  <si>
    <t>SAMSUNG GALAXY S25 ULTRA 256GB-AZUL</t>
  </si>
  <si>
    <t>SAMSUNG GALAXY S25 ULTRA 256GB-CINZA</t>
  </si>
  <si>
    <t>SAMSUNG GALAXY S25 ULTRA 256GB-PRETO</t>
  </si>
  <si>
    <t>SAMSUNG GALAXY S25 ULTRA 256GB-AZUL AM</t>
  </si>
  <si>
    <t>SAMSUNG GALAXY S25 ULTRA 256GB-CINZA AM</t>
  </si>
  <si>
    <t>SAMSUNG GALAXY S25 ULTRA 256GB-PRETO AM</t>
  </si>
  <si>
    <t>SAMSUNG GALAXY S25 ULTRA 512GB</t>
  </si>
  <si>
    <t>SAMSUNG GALAXY S25 ULTRA 512GB-PRETO</t>
  </si>
  <si>
    <t>SAMSUNG GALAXY S25 ULTRA 512GB-PRETO AM</t>
  </si>
  <si>
    <t>SAMSUNG GALAXY S25 EDGE 512GB</t>
  </si>
  <si>
    <t>SAMSUNG GALAXY S25 EDGE 512GB-PRETO</t>
  </si>
  <si>
    <t>SAMSUNG GALAXY S25 FE 128GB</t>
  </si>
  <si>
    <t>SAMSUNG GALAXY S25 FE 128GB-PRETO</t>
  </si>
  <si>
    <t>SAMSUNG GALAXY S25 FE 128GB-PRETO AM</t>
  </si>
  <si>
    <t>SAMSUNG GALAXY S25 FE 256GB</t>
  </si>
  <si>
    <t>SAMSUNG GALAXY S25 FE 256GB-AZUL MARINHO</t>
  </si>
  <si>
    <t>SAMSUNG GALAXY S25 FE 256GB-PRETO</t>
  </si>
  <si>
    <t>SAMSUNG GALAXY S25 FE 256GB-AZUL MAR. AM</t>
  </si>
  <si>
    <t>SAMSUNG GALAXY S25 FE 256GB-PRETO AM</t>
  </si>
  <si>
    <t>SAMSUNG GALAXY S25 FE 256GB-AZUL AM</t>
  </si>
  <si>
    <t>SAMSUNG GALAXY S25 FE 256GB-AZUL</t>
  </si>
  <si>
    <t>SAMSUNG GALAXY S26 256GB</t>
  </si>
  <si>
    <t>SAMSUNG GALAXY S26 256GB-BRANCO AM</t>
  </si>
  <si>
    <t>SAMSUNG GALAXY S26 256GB-BRANCO</t>
  </si>
  <si>
    <t>SAMSUNG GALAXY S26 256GB-PRETO AM</t>
  </si>
  <si>
    <t>SAMSUNG GALAXY S26 256GB-PRETO</t>
  </si>
  <si>
    <t>SAMSUNG GALAXY S26 256GB-VIOLETA AM</t>
  </si>
  <si>
    <t>SAMSUNG GALAXY S26 256GB-VIOLETA</t>
  </si>
  <si>
    <t>SAMSUNG GALAXY S26 512GB</t>
  </si>
  <si>
    <t>SAMSUNG GALAXY S26 512GB-PRETO AM</t>
  </si>
  <si>
    <t>SAMSUNG GALAXY S26 512GB-PRETO</t>
  </si>
  <si>
    <t>SAMSUNG GALAXY S26 512GB-VIOLETA AM</t>
  </si>
  <si>
    <t>SAMSUNG GALAXY S26 512GB-VIOLETA</t>
  </si>
  <si>
    <t>SAMSUNG GALAXY S26 512GB-BRANCO AM</t>
  </si>
  <si>
    <t>SAMSUNG GALAXY S26 512GB-BRANCO</t>
  </si>
  <si>
    <t>SAMSUNG GALAXY S26 PLUS 256GB</t>
  </si>
  <si>
    <t>SAMSUNG GALAXY S26 PLUS 256GB-PRETO</t>
  </si>
  <si>
    <t>SAMSUNG GALAXY S26 PLUS 256GB-PRETO AM</t>
  </si>
  <si>
    <t>SAMSUNG GALAXY S26 PLUS 256GB-VIOLETA</t>
  </si>
  <si>
    <t>SAMSUNG GALAXY S26 PLUS 256GB-VIOLETA AM</t>
  </si>
  <si>
    <t>SAMSUNG GALAXY S26 PLUS 512GB</t>
  </si>
  <si>
    <t>SAMSUNG GALAXY S26 PLUS 512GB-PRETO AM</t>
  </si>
  <si>
    <t>SAMSUNG GALAXY S26 PLUS 512GB-PRETO</t>
  </si>
  <si>
    <t>SAMSUNG GALAXY S26 PLUS 512GB-VIOLETA AM</t>
  </si>
  <si>
    <t>SAMSUNG GALAXY S26 PLUS 512GB-VIOLETA</t>
  </si>
  <si>
    <t>SAMSUNG GALAXY S26 ULTRA 256GB</t>
  </si>
  <si>
    <t>SAMSUNG GALAXY S26 ULTRA 256GB-BRANCO</t>
  </si>
  <si>
    <t>SAMSUNG GALAXY S26 ULTRA 256GB-BRANCO AM</t>
  </si>
  <si>
    <t>SAMSUNG GALAXY S26 ULTRA 256GB-PRETO</t>
  </si>
  <si>
    <t>SAMSUNG GALAXY S26 ULTRA 256GB-VIOLETA</t>
  </si>
  <si>
    <t>SAMSUNG GALAXY S26 ULTRA 256GB-VIOLET AM</t>
  </si>
  <si>
    <t>SAMSUNG GALAXY S26 ULTRA 256GB-PRETO AM</t>
  </si>
  <si>
    <t>SAMSUNG GALAXY S26 ULTRA 512GB</t>
  </si>
  <si>
    <t>SAMSUNG GALAXY S26 ULTRA 512GB-BRANCO AM</t>
  </si>
  <si>
    <t>SAMSUNG GALAXY S26 ULTRA 512GB-BRANCO</t>
  </si>
  <si>
    <t>SAMSUNG GALAXY S26 ULTRA 512GB-PRETO AM</t>
  </si>
  <si>
    <t>SAMSUNG GALAXY S26 ULTRA 512GB-PRETO</t>
  </si>
  <si>
    <t>SAMSUNG GALAXY S26 ULTRA 512GB-VIOLET AM</t>
  </si>
  <si>
    <t>SAMSUNG GALAXY S26 ULTRA 512GB-VIOLETA</t>
  </si>
  <si>
    <t>SAMSUNG GALAXY Z FLIP6 256GB</t>
  </si>
  <si>
    <t>SAMSUNG GALAXY Z FLIP6 256GB-CINZA</t>
  </si>
  <si>
    <t>SAMSUNG GALAXY Z FLIP6 256GB-AZUL</t>
  </si>
  <si>
    <t>SAMSUNG GALAXY Z FLIP7 256GB</t>
  </si>
  <si>
    <t>SAMSUNG GALAXY Z FLIP7 256GB-AZUL</t>
  </si>
  <si>
    <t>SAMSUNG GALAXY Z FLIP7 512GB</t>
  </si>
  <si>
    <t>SAMSUNG GALAXY Z FLIP7 512GB-AZUL</t>
  </si>
  <si>
    <t>SAMSUNG GALAXY Z FLIP7 FE 256GB</t>
  </si>
  <si>
    <t>SAMSUNG GALAXY Z FLIP7 FE 256GB-PRETO</t>
  </si>
  <si>
    <t>SAMSUNG GALAXY Z FOLD6 512GB</t>
  </si>
  <si>
    <t>SAMSUNG GALAXY Z FOLD6 512GB-CINZA</t>
  </si>
  <si>
    <t>SAMSUNG GALAXY Z FOLD7 512GB</t>
  </si>
  <si>
    <t>SAMSUNG GALAXY Z FOLD7 512GB-PRETO</t>
  </si>
  <si>
    <t>SAMSUNG GALAXY Z FOLD7 1TB</t>
  </si>
  <si>
    <t>SAMSUNG GALAXY Z FOLD7 1TB-PRETO</t>
  </si>
  <si>
    <t>MULTILASER VITA 3G</t>
  </si>
  <si>
    <t>MULTILASER VITA 3G-PRETO</t>
  </si>
  <si>
    <t>3G</t>
  </si>
  <si>
    <t>POSITIVO P36</t>
  </si>
  <si>
    <t>POSITIVO P36-PRETO</t>
  </si>
  <si>
    <t>AP. FIXO MULTILASER RE504</t>
  </si>
  <si>
    <t>AP. FIXO MULTILASER RE504-PRETO</t>
  </si>
  <si>
    <t>MODEM WIFI ZTE MF79S 4G</t>
  </si>
  <si>
    <t>MODEM WIFI ZTE MF79S 4G-BRANCO</t>
  </si>
  <si>
    <t>ROTEADOR CPE ZTE MF283 4G</t>
  </si>
  <si>
    <t>ROTEADOR CPE WTTX ZTE MF253V</t>
  </si>
  <si>
    <t>ROTEADOR WTTX AMERINODE</t>
  </si>
  <si>
    <t>ROTEADOR WTTX WNC WLD71T5B</t>
  </si>
  <si>
    <t>TROPICO CPE INDOOR VLT-I-5</t>
  </si>
  <si>
    <t>FASTLINK VL718</t>
  </si>
  <si>
    <t>TABELA DE PREÇOS - ACESSÓRIOS</t>
  </si>
  <si>
    <t>Inclusão de Preço</t>
  </si>
  <si>
    <t>Alteração de Preço</t>
  </si>
  <si>
    <t>SMARTHOME</t>
  </si>
  <si>
    <t>BALANCA INTELIGENTE GEONAV</t>
  </si>
  <si>
    <t>BALANCA INTELIGENTE GEONAV-BRANCO</t>
  </si>
  <si>
    <t>31.12.9999</t>
  </si>
  <si>
    <t>GAMER</t>
  </si>
  <si>
    <t>BASE DE CARREGAMENTO SONY DUALSENSE</t>
  </si>
  <si>
    <t>BASE DE CARREGAMENTO SONY DUALSENSE-BRAN</t>
  </si>
  <si>
    <t>MUSICA</t>
  </si>
  <si>
    <t>CAIXA DE SOM BT JBL CHARGE 5</t>
  </si>
  <si>
    <t>CAIXA DE SOM BT JBL CHARGE 5-PRETO</t>
  </si>
  <si>
    <t>CAIXA DE SOM BT JBL CHARGE 6</t>
  </si>
  <si>
    <t>CAIXA DE SOM BT JBL CHARGE 6-AZUL</t>
  </si>
  <si>
    <t>CAIXA DE SOM BT JBL FLIP 6</t>
  </si>
  <si>
    <t>CAIXA DE SOM BT JBL FLIP 6-PRETO</t>
  </si>
  <si>
    <t>MÚSICA</t>
  </si>
  <si>
    <t>CAIXA DE SOM BT JBL FLIP 7</t>
  </si>
  <si>
    <t>CAIXA DE SOM BT JBL FLIP 7-PRETO</t>
  </si>
  <si>
    <t>18.08.2026</t>
  </si>
  <si>
    <t>CAIXA DE SOM BT JBL GO4</t>
  </si>
  <si>
    <t>CAIXA DE SOM BT JBL GO4-PRETO</t>
  </si>
  <si>
    <t>INFOTECH</t>
  </si>
  <si>
    <t>CAIXA DE SOM BT JBL GO5</t>
  </si>
  <si>
    <t>CAIXA DE SOM BT JBL GO5-PRETO</t>
  </si>
  <si>
    <t>CAIXA DE SOM JBL BOOMBOX 3</t>
  </si>
  <si>
    <t>CAIXA DE SOM JBL BOOMBOX 3-PRETO</t>
  </si>
  <si>
    <t>CAIXA DE SOM JBL BOOMBOX 3-PRETO AM</t>
  </si>
  <si>
    <t>CAIXA DE SOM</t>
  </si>
  <si>
    <t>CAIXA DE SOM JBL BOOMBOX 4</t>
  </si>
  <si>
    <t>CAIXA DE SOM JBL BOOMBOX 4-PRETO</t>
  </si>
  <si>
    <t>CAIXA DE SOM JBL CLIP 5</t>
  </si>
  <si>
    <t>CAIXA DE SOM JBL CLIP 5-PRETO</t>
  </si>
  <si>
    <t>CAIXA DE SOM JBL ENCORE ESSENTIAL</t>
  </si>
  <si>
    <t>CAIXA DE SOM JBL ENCORE ESSENTIAL-PRE AM</t>
  </si>
  <si>
    <t>CAIXA DE SOM JBL ENCORE ESSENTIAL-PRETO</t>
  </si>
  <si>
    <t>CAIXA DE SOM JBL ENCORE ESSENTIAL 2</t>
  </si>
  <si>
    <t>CAIXA DE SOM JBL ENCORE ESSENTIAL 2-PRET</t>
  </si>
  <si>
    <t>CAIXA DE SOM JBL GO ESSENTIAL 2</t>
  </si>
  <si>
    <t>CAIXA DE SOM JBL GO ESSENTIAL 2-PRETO</t>
  </si>
  <si>
    <t>CAIXA DE SOM JBL GRIP 16W</t>
  </si>
  <si>
    <t>CAIXA DE SOM JBL GRIP 16W-PRETO</t>
  </si>
  <si>
    <t>CAIXA DE SOM JBL XTREME 4</t>
  </si>
  <si>
    <t>BASICO</t>
  </si>
  <si>
    <t>CAPA CLEAR GALAXY S24</t>
  </si>
  <si>
    <t>CAPA CLEAR GALAXY S24-TRANSPARENTE</t>
  </si>
  <si>
    <t>CAPA CLEAR GALAXY S24 PLUS</t>
  </si>
  <si>
    <t>CAPA CLEAR GALAXY S24 PLUS-TRANSPARENTE</t>
  </si>
  <si>
    <t>CAPA CLEAR GALAXY S24 ULTRA</t>
  </si>
  <si>
    <t>CAPA CLEAR GALAXY S24 ULTRA-TRANSPARENTE</t>
  </si>
  <si>
    <t>CAPA PROTECTIC COVER GALAXY S23 FE</t>
  </si>
  <si>
    <t>CAPA PROTECTIC COVER GALAXY S23 FE-TRANS</t>
  </si>
  <si>
    <t>CARREGADOR APPLE USB-C 20W</t>
  </si>
  <si>
    <t>CARREGADOR APPLE USB-C 20W-BRANCO</t>
  </si>
  <si>
    <t>CARREGADOR</t>
  </si>
  <si>
    <t>CARREGADOR APPLE USB-C 20W 2024</t>
  </si>
  <si>
    <t xml:space="preserve">CARREGADOR APPLE USB-C 20W 2024-BRANCO </t>
  </si>
  <si>
    <t>GAMES</t>
  </si>
  <si>
    <t>CONTROLE PS5 DUALSENSE 2026</t>
  </si>
  <si>
    <t>CONTROLE PS5 DUALSENSE 2026-BRANCO</t>
  </si>
  <si>
    <t>CONTROLE PS5 DUALSENSE 2026-AZUL</t>
  </si>
  <si>
    <t>CONTROLE SEM FIO PS5 DUALSENSE</t>
  </si>
  <si>
    <t>CONTROLE SEM FIO PS5 DUALSENSE-BRANCO</t>
  </si>
  <si>
    <t>CONTROLE SEM FIO PS5 DUALSENSE-PRETO</t>
  </si>
  <si>
    <t>CONTROLE SEM FIO PS5 DUALSENSE-CAMUFLADO</t>
  </si>
  <si>
    <t>CONTROLE SEM FIO PS5 DUALSENSE CHROMA INDIGO</t>
  </si>
  <si>
    <t>CONTROLE SEM FIO PS5 DUALSENSE-INDIGO</t>
  </si>
  <si>
    <t>CONTROLE SEM FIO XBOX SERIES</t>
  </si>
  <si>
    <t>CONTROLE SEM FIO XBOX SERIES-BRANCO</t>
  </si>
  <si>
    <t>GADGETS</t>
  </si>
  <si>
    <t>ESTABILIZADOR DJI OSMO MOBILE SE</t>
  </si>
  <si>
    <t>ESTABILIZADOR DJI OSMO MOBILE SE-CINZA</t>
  </si>
  <si>
    <t>FILME INSTAX MINI 10 FOTOS</t>
  </si>
  <si>
    <t>FILME INSTAX MINI 10 FOTOS-BRANCO</t>
  </si>
  <si>
    <t>FILME INSTAX MINI 20 FOTOS</t>
  </si>
  <si>
    <t>FILME INSTAX MINI 20 FOTOS-BRANCO</t>
  </si>
  <si>
    <t>FONE DE OUVIDO</t>
  </si>
  <si>
    <t>FONE APPLE EARPODS</t>
  </si>
  <si>
    <t>FONE APPLE EARPODS-BRANCO</t>
  </si>
  <si>
    <t>FONE APPLE EARPODS USBC</t>
  </si>
  <si>
    <t xml:space="preserve">FONE APPLE EARPODS USBC-BRANCO </t>
  </si>
  <si>
    <t>FONE APPLE EARPODS USBC 2024</t>
  </si>
  <si>
    <t>FONE APPLE EARPODS USBC 2024-BRANCO</t>
  </si>
  <si>
    <t>FONE JBL TUNE 110</t>
  </si>
  <si>
    <t>FONE JBL TUNE 110-PRETO</t>
  </si>
  <si>
    <t>FONE JBL TUNE 125BT</t>
  </si>
  <si>
    <t>FONE JBL TUNE 125BT-PRETO</t>
  </si>
  <si>
    <t>FONE SAMSUNG GALAXY BUDS FE</t>
  </si>
  <si>
    <t>FONE SAMSUNG GALAXY BUDS FE-GRAFITE</t>
  </si>
  <si>
    <t>FONE TWS GALAXY BUDS 3 2024</t>
  </si>
  <si>
    <t>FONE TWS GALAXY BUDS 3 2024-BRANCO</t>
  </si>
  <si>
    <t>FONE TWS GALAXY BUDS 3 2024-CINZA</t>
  </si>
  <si>
    <t>FONE TWS GALAXY BUDS 3 FE</t>
  </si>
  <si>
    <t>FONE TWS GALAXY BUDS 3 FE-PRETO</t>
  </si>
  <si>
    <t>FONE TWS GALAXY BUDS 3 PRO 2024</t>
  </si>
  <si>
    <t>FONE TWS GALAXY BUDS 3 PRO 2024-CINZA</t>
  </si>
  <si>
    <t>FONE TWS GALAXY BUDS 4</t>
  </si>
  <si>
    <t>FONE TWS GALAXY BUDS 4-PRETO</t>
  </si>
  <si>
    <t>FONE TWS GALAXY BUDS 4 PRO</t>
  </si>
  <si>
    <t>FONE TWS GALAXY BUDS 4 PRO-PRETO</t>
  </si>
  <si>
    <t>FONE TWS GALAXY BUDS CORE</t>
  </si>
  <si>
    <t>FONE TWS GALAXY BUDS CORE-PRETO</t>
  </si>
  <si>
    <t>FONE TWS GALAXY BUDS CORE-BRANCO</t>
  </si>
  <si>
    <t>FONE TWS GALAXY BUDS FE 2024</t>
  </si>
  <si>
    <t>FONE TWS GALAXY BUDS FE 2024-GRAFITE</t>
  </si>
  <si>
    <t>FONE TWS JBL SENSE LITE</t>
  </si>
  <si>
    <t>FONE TWS JBL SENSE LITE-PRETO</t>
  </si>
  <si>
    <t>FONE TWS JBL WAVE BEAM 2</t>
  </si>
  <si>
    <t>FONE TWS JBL WAVE BEAM 2-PRETO</t>
  </si>
  <si>
    <t>FONE TWS JBL WAVE BUDS 2</t>
  </si>
  <si>
    <t>FONE TWS JBL WAVE BUDS 2-PRETO</t>
  </si>
  <si>
    <t>FONE TWS MOTO BUDS</t>
  </si>
  <si>
    <t>FONE TWS MOTO BUDS-AZUL ESCURO</t>
  </si>
  <si>
    <t>FONE TWS MOTO BUDS-AZUL CLARO</t>
  </si>
  <si>
    <t>FONE TWS MOTO BUDS 65 2024</t>
  </si>
  <si>
    <t>FONE TWS MOTO BUDS 65 2024-PRETO</t>
  </si>
  <si>
    <t>FONE TWS SAMSUNG GALAXY BUDS 3</t>
  </si>
  <si>
    <t>FONE TWS SAMSUNG GALAXY BUDS 3-BRANCO</t>
  </si>
  <si>
    <t>FONE TWS SAMSUNG GALAXY BUDS 3-CINZA</t>
  </si>
  <si>
    <t>FONE USB-C JBL 310C</t>
  </si>
  <si>
    <t>FONE USB-C JBL 310C-PRETO</t>
  </si>
  <si>
    <t>GALAXY BOOK4 I3 8GB 256GB</t>
  </si>
  <si>
    <t>GALAXY BOOK4 I3 8GB 256GB-GRAFITE</t>
  </si>
  <si>
    <t>HEADPHONE BT JBL TUNE 520</t>
  </si>
  <si>
    <t>HEADPHONE BT JBL TUNE 520-PRETO</t>
  </si>
  <si>
    <t>HEADPHONE BT JBL TUNE 530</t>
  </si>
  <si>
    <t>HEADPHONE BT JBL TUNE 530-PRETO</t>
  </si>
  <si>
    <t>HEADPHONE BT JBL TUNE 720</t>
  </si>
  <si>
    <t xml:space="preserve">HEADPHONE BT JBL TUNE 720-PRETO </t>
  </si>
  <si>
    <t>HEADPHONE BT JBL TUNE 730</t>
  </si>
  <si>
    <t>HEADPHONE BT JBL TUNE 730-PRETO</t>
  </si>
  <si>
    <t>HEADSET RAZER BLACKSHARK V2</t>
  </si>
  <si>
    <t>HEADSET RAZER BLACKSHARK V2-PRETO</t>
  </si>
  <si>
    <t>HEADSET SEM FIO SONY PULSE 3D</t>
  </si>
  <si>
    <t>HEADSET SEM FIO SONY PULSE 3D-BRANCO</t>
  </si>
  <si>
    <t>FOTOGRAFIA</t>
  </si>
  <si>
    <t>IMPRESSORA INSTAX MINI LINK 2</t>
  </si>
  <si>
    <t>IMPRESSORA INSTAX MINI LINK 2-BRANCO</t>
  </si>
  <si>
    <t>IMPRESSORA INSTAX MINI LINK 2 2024</t>
  </si>
  <si>
    <t>IMPRESSORA INSTAX MINI LINK 2 2024-BRANC</t>
  </si>
  <si>
    <t>LUMINARIA INTELIGENTE GEONAV</t>
  </si>
  <si>
    <t>LUMINARIA INTELIGENTE GEONAV-BRANCO</t>
  </si>
  <si>
    <t>MICROSOFT XBOX SERIES S 512GB</t>
  </si>
  <si>
    <t>MICROSOFT XBOX SERIES S 512GB-BRANCO</t>
  </si>
  <si>
    <t>OCULOS BT JBL SOUNDGEAR</t>
  </si>
  <si>
    <t>OCULOS BT JBL SOUNDGEAR-PEROLA</t>
  </si>
  <si>
    <t>OCULOS BT JBL SOUNDGEAR-ONIX</t>
  </si>
  <si>
    <t>POSITIVO VISION C15 4GB 128GB</t>
  </si>
  <si>
    <t>POSITIVO VISION C15 4GB 128GB-CINZA</t>
  </si>
  <si>
    <t>PS5 SLIM DIGI ASTRO BOT E GT7 2025</t>
  </si>
  <si>
    <t>PS5 SLIM DIGI ASTRO BOT E GT7 2025-BRANC</t>
  </si>
  <si>
    <t>PS5 SLIM DIGITAL 1TB 2 JOGOS</t>
  </si>
  <si>
    <t>PS5 SLIM DIGITAL 1TB 2 JOGOS-BRANCO</t>
  </si>
  <si>
    <t>PS5 SLIM DIGITAL 1TB 2 JOGOS 2025</t>
  </si>
  <si>
    <t>PS5 SLIM DIGITAL 1TB 2 JOGOS 2025-BRANCO</t>
  </si>
  <si>
    <t>PS5 SLIM DIGITAL ASTRO BOT E GT7</t>
  </si>
  <si>
    <t>PS5 SLIM DIGITAL ASTRO BOT E GT7-BRANCO</t>
  </si>
  <si>
    <t>PS5 SLIM DISK 1TB 2 JOGOS</t>
  </si>
  <si>
    <t>PS5 SLIM DISK 1TB 2 JOGOS-BRANCO</t>
  </si>
  <si>
    <t>PS5 SLIM DISK 1TB 2 JOGOS 2025</t>
  </si>
  <si>
    <t>PS5 SLIM DISK 1TB 2 JOGOS 2025-BRANCO</t>
  </si>
  <si>
    <t>PS5 SLIM DISK ASTRO BOT E GT7</t>
  </si>
  <si>
    <t>PS5 SLIM DISK ASTRO BOT E GT7-BRANCO</t>
  </si>
  <si>
    <t>PS5 SLIM DISK ASTRO BOT E GT7 2025</t>
  </si>
  <si>
    <t>PS5 SLIM DISK ASTRO BOT E GT7 2025-BRANC</t>
  </si>
  <si>
    <t>ROBÔ ASPIRADOR POSITIVO WI-FI</t>
  </si>
  <si>
    <t>SAMSUNG GALAXY FIT3</t>
  </si>
  <si>
    <t>SAMSUNG GALAXY FIT3-ROSE</t>
  </si>
  <si>
    <t>SAMSUNG GALAXY FIT3-GRAFITE</t>
  </si>
  <si>
    <t>SAMSUNG GALAXY FIT3 2025</t>
  </si>
  <si>
    <t>SAMSUNG GALAXY FIT3 2025-GRAFITE</t>
  </si>
  <si>
    <t>SAMSUNG GALAXY FIT3 2025-ROSE</t>
  </si>
  <si>
    <t>SAMSUNG GALAXY SMARTTAG 2</t>
  </si>
  <si>
    <t>TRACKER SAMSUNG GALAXY SMARTTAG 2-PRETO</t>
  </si>
  <si>
    <t>SAMSUNG GALAXY SMARTTAG 2-BRANCO </t>
  </si>
  <si>
    <t>SAMSUNG GALAXY SMARTTAG 2-PRETO</t>
  </si>
  <si>
    <t>SAMSUNG WATCH 7 BT 40MM</t>
  </si>
  <si>
    <t>SAMSUNG WATCH 7 BT 40MM-CREME</t>
  </si>
  <si>
    <t>SAMSUNG WATCH 7 BT 40MM-VERDE</t>
  </si>
  <si>
    <t>SAMSUNG WATCH 7 BT 44MM</t>
  </si>
  <si>
    <t>SAMSUNG WATCH 7 BT 44MM-VERDE</t>
  </si>
  <si>
    <t>SAMSUNG WATCH 7 BT 44MM-PRATA</t>
  </si>
  <si>
    <t>SAMSUNG WATCH 8 BT 40MM</t>
  </si>
  <si>
    <t>SAMSUNG WATCH 8 BT 40MM-GRAFITE</t>
  </si>
  <si>
    <t>SAMSUNG WATCH 8 BT 44MM</t>
  </si>
  <si>
    <t>SAMSUNG WATCH 8 BT 44MM-GRAFITE</t>
  </si>
  <si>
    <t>SENSOR DE MOVIMENTO GEONAV</t>
  </si>
  <si>
    <t>SENSOR DE MOVIMENTO GEONAV-BRANCO</t>
  </si>
  <si>
    <t>SMART CAMERA FULL HD GEONAV</t>
  </si>
  <si>
    <t>SMART CAMERA FULL HD GEONAV-BRANCO</t>
  </si>
  <si>
    <t>TECLADO RAZER CYNOSA LITE</t>
  </si>
  <si>
    <t>TECLADO RAZER CYNOSA LITE-PRETO</t>
  </si>
  <si>
    <t>TV SAMSUNG 50 CRYSTAL UHD U8600F</t>
  </si>
  <si>
    <t>TV SAMSUNG 50 CRYSTAL UHD U8600F-PRETA</t>
  </si>
  <si>
    <t>TV SAMSUNG VISION AI 50 QLED 2025</t>
  </si>
  <si>
    <t>TV SAMSUNG VISION AI 50 QLED 2025-PRETO</t>
  </si>
  <si>
    <t>BOOST TRADE IN</t>
  </si>
  <si>
    <t>SMARTPHONES ELEGÍVEIS AO COMPRE E LEVE</t>
  </si>
  <si>
    <t>RELACIONAMENTO SMARTPHONES X PRODUTO &gt;&gt; (PRODUTOS USADOS NO COMPRE E LEVE)</t>
  </si>
  <si>
    <t>DE&gt;&gt;PARA: (TM X DESCRIÇÃO DOS PRODUTOS)</t>
  </si>
  <si>
    <t>CÓDIGO OFERTA</t>
  </si>
  <si>
    <t>TM SMART.</t>
  </si>
  <si>
    <t>DATA INÍCIO</t>
  </si>
  <si>
    <t>DATA FIM</t>
  </si>
  <si>
    <t>TM PROD. 1</t>
  </si>
  <si>
    <t>TM PROD. 2</t>
  </si>
  <si>
    <t>TM PROD. 3</t>
  </si>
  <si>
    <t>TM PROD. 4</t>
  </si>
  <si>
    <t>TM PROD. 5</t>
  </si>
  <si>
    <t>TM PROD. 6</t>
  </si>
  <si>
    <t>TM PROD. 7</t>
  </si>
  <si>
    <t>TM PROD. 8</t>
  </si>
  <si>
    <t>TM PROD. 9</t>
  </si>
  <si>
    <t>TM PROD. 10</t>
  </si>
  <si>
    <t>TM PROD. 11</t>
  </si>
  <si>
    <t>TM PROD. 12</t>
  </si>
  <si>
    <t>TM PROD. 13</t>
  </si>
  <si>
    <t>TM PROD. 14</t>
  </si>
  <si>
    <t>TM PROD. 15</t>
  </si>
  <si>
    <t>PREÇO AÇÃO COMPRE E LEVE</t>
  </si>
  <si>
    <t>079</t>
  </si>
  <si>
    <t>FONE TWS GALAXY BUDS 3 CORE</t>
  </si>
  <si>
    <t>FONE TWS GALAXY BUDS 3 CORE-PRETO</t>
  </si>
  <si>
    <t>FONE TWS GALAXY BUDS 3 CORE-BRANCO</t>
  </si>
  <si>
    <t>SAMSUNG GALAXY FIT3 2025-PRATA</t>
  </si>
  <si>
    <t>065</t>
  </si>
  <si>
    <t>080</t>
  </si>
  <si>
    <t>067</t>
  </si>
  <si>
    <t>081</t>
  </si>
  <si>
    <t>068</t>
  </si>
  <si>
    <t>078</t>
  </si>
  <si>
    <t>FIDELIZAÇÃO DE APARELHO</t>
  </si>
  <si>
    <r>
      <t xml:space="preserve">Fidelização para </t>
    </r>
    <r>
      <rPr>
        <b/>
        <u/>
        <sz val="12"/>
        <color rgb="FF000000"/>
        <rFont val="TIM Sans"/>
      </rPr>
      <t>Novos Clientes</t>
    </r>
    <r>
      <rPr>
        <sz val="12"/>
        <color rgb="FF000000"/>
        <rFont val="TIM Sans"/>
      </rPr>
      <t xml:space="preserve"> (Gross ou Portabilidade) - A partir do </t>
    </r>
    <r>
      <rPr>
        <b/>
        <sz val="12"/>
        <color rgb="FF000000"/>
        <rFont val="TIM Sans"/>
      </rPr>
      <t>TIM Black A (15GB)</t>
    </r>
  </si>
  <si>
    <r>
      <t xml:space="preserve">Clientes da Base </t>
    </r>
    <r>
      <rPr>
        <u/>
        <sz val="12"/>
        <color rgb="FFFF0000"/>
        <rFont val="TIM Sans"/>
      </rPr>
      <t xml:space="preserve">a partir do </t>
    </r>
    <r>
      <rPr>
        <b/>
        <u/>
        <sz val="12"/>
        <color rgb="FFFF0000"/>
        <rFont val="TIM Sans"/>
      </rPr>
      <t>TIM Black A (15GB)</t>
    </r>
    <r>
      <rPr>
        <sz val="12"/>
        <color rgb="FFFF0000"/>
        <rFont val="TIM Sans"/>
      </rPr>
      <t xml:space="preserve"> estão elegíveis a fidelização de aparelho sem necessidade de upgrade/migração</t>
    </r>
  </si>
  <si>
    <r>
      <t xml:space="preserve">Demais Clientes da </t>
    </r>
    <r>
      <rPr>
        <b/>
        <sz val="12"/>
        <color rgb="FF000000"/>
        <rFont val="TIM Sans"/>
      </rPr>
      <t>Base TIM</t>
    </r>
    <r>
      <rPr>
        <sz val="12"/>
        <color rgb="FF000000"/>
        <rFont val="TIM Sans"/>
      </rPr>
      <t xml:space="preserve"> mediante </t>
    </r>
    <r>
      <rPr>
        <b/>
        <sz val="12"/>
        <color rgb="FF000000"/>
        <rFont val="TIM Sans"/>
      </rPr>
      <t>UPGRADE/MIGRAÇÃO</t>
    </r>
    <r>
      <rPr>
        <sz val="12"/>
        <color rgb="FF000000"/>
        <rFont val="TIM Sans"/>
      </rPr>
      <t xml:space="preserve"> de Plano de acordo com a Tabela abaixo:</t>
    </r>
  </si>
  <si>
    <t>PLANOS INDIVIDUAIS</t>
  </si>
  <si>
    <t>ELEGIBILIDADE A PARTIR DE 24/07/2020</t>
  </si>
  <si>
    <t>DE:</t>
  </si>
  <si>
    <t>PARA:</t>
  </si>
  <si>
    <t>Pré, Controle e Controle Express</t>
  </si>
  <si>
    <r>
      <t xml:space="preserve">TIM </t>
    </r>
    <r>
      <rPr>
        <b/>
        <sz val="10"/>
        <color rgb="FF0070C0"/>
        <rFont val="TIM Sans"/>
      </rPr>
      <t>Black A (15GB)</t>
    </r>
    <r>
      <rPr>
        <sz val="10"/>
        <color rgb="FF000000"/>
        <rFont val="TIM Sans"/>
      </rPr>
      <t xml:space="preserve"> ou Superior</t>
    </r>
  </si>
  <si>
    <t>Liberty Express +40 (R$79,9)</t>
  </si>
  <si>
    <t>Liberty Express +120 (R$99)</t>
  </si>
  <si>
    <t>Tim Pós A / Tim Pós A Express (3GB)</t>
  </si>
  <si>
    <t>TIM Pós B Promo</t>
  </si>
  <si>
    <t>TIM Pós B Express</t>
  </si>
  <si>
    <t>Liberty TOP</t>
  </si>
  <si>
    <r>
      <t xml:space="preserve">TIM </t>
    </r>
    <r>
      <rPr>
        <b/>
        <sz val="10"/>
        <color rgb="FF00B050"/>
        <rFont val="TIM Sans"/>
      </rPr>
      <t>Black B (20GB)</t>
    </r>
    <r>
      <rPr>
        <sz val="10"/>
        <color rgb="FF000000"/>
        <rFont val="TIM Sans"/>
      </rPr>
      <t xml:space="preserve"> ou Superior</t>
    </r>
  </si>
  <si>
    <t>Liberty 0</t>
  </si>
  <si>
    <t>Liberty +50</t>
  </si>
  <si>
    <t>Liberty +100</t>
  </si>
  <si>
    <t>Liberty +200</t>
  </si>
  <si>
    <t>Liberty +400</t>
  </si>
  <si>
    <r>
      <t xml:space="preserve">TIM </t>
    </r>
    <r>
      <rPr>
        <b/>
        <sz val="10"/>
        <color rgb="FFE26B0A"/>
        <rFont val="TIM Sans"/>
      </rPr>
      <t>Black Família A (30GB)</t>
    </r>
    <r>
      <rPr>
        <sz val="10"/>
        <color rgb="FF000000"/>
        <rFont val="TIM Sans"/>
      </rPr>
      <t xml:space="preserve"> ou Superior</t>
    </r>
  </si>
  <si>
    <t>Liberty +800</t>
  </si>
  <si>
    <r>
      <t>TIM</t>
    </r>
    <r>
      <rPr>
        <sz val="10"/>
        <color rgb="FF60497A"/>
        <rFont val="TIM Sans"/>
      </rPr>
      <t xml:space="preserve"> </t>
    </r>
    <r>
      <rPr>
        <b/>
        <sz val="10"/>
        <color rgb="FF60497A"/>
        <rFont val="TIM Sans"/>
      </rPr>
      <t>Black Família B (30GB)</t>
    </r>
    <r>
      <rPr>
        <sz val="10"/>
        <color rgb="FF60497A"/>
        <rFont val="TIM Sans"/>
      </rPr>
      <t xml:space="preserve"> </t>
    </r>
    <r>
      <rPr>
        <sz val="10"/>
        <color rgb="FF000000"/>
        <rFont val="TIM Sans"/>
      </rPr>
      <t>ou Superior</t>
    </r>
  </si>
  <si>
    <t>Básico e Infinity 0 a 160</t>
  </si>
  <si>
    <t>Infinity 300 e 600</t>
  </si>
  <si>
    <t>Infinity 1000</t>
  </si>
  <si>
    <t>TIM PÓS B (9GB)</t>
  </si>
  <si>
    <t>TIM PÓS B (9GB) ou Superior</t>
  </si>
  <si>
    <t>TIM PÓS SOCIAL (10GB)</t>
  </si>
  <si>
    <t>TIM PÓS SOCIAL (10GB) ou Superior</t>
  </si>
  <si>
    <t>TIM PÓS C (12GB)</t>
  </si>
  <si>
    <t>TIM PÓS C (12GB) ou Superior</t>
  </si>
  <si>
    <t>PLANOS FAMÍLIA</t>
  </si>
  <si>
    <t>ELEGIBILIDADE A PARTIR DE 01/06/2019</t>
  </si>
  <si>
    <t>OBS: O plano TIM Black Família Dependente só será elegível às migrações de Lock In de planos. Apenas o Titular dos planos será elegível às migrações com Lock In de Plano + Aparelho e de Lock In de Aparelho.</t>
  </si>
  <si>
    <t>ELEGIBILIDADE A PARTIR DE 23/03/2022</t>
  </si>
  <si>
    <t>Migração clientes da base planos antigos para o novo portfólio TIM Black Individual</t>
  </si>
  <si>
    <t>TIM PÓS B GIGA (9GB)</t>
  </si>
  <si>
    <r>
      <rPr>
        <b/>
        <sz val="10"/>
        <color theme="4"/>
        <rFont val="TIM Sans"/>
      </rPr>
      <t>TIM Black A</t>
    </r>
    <r>
      <rPr>
        <sz val="10"/>
        <color rgb="FF000000"/>
        <rFont val="TIM Sans"/>
      </rPr>
      <t xml:space="preserve"> ou Superior</t>
    </r>
  </si>
  <si>
    <t>TIM PÓS SOCIAL GIGA (10GB)</t>
  </si>
  <si>
    <r>
      <rPr>
        <b/>
        <sz val="10"/>
        <color theme="4"/>
        <rFont val="TIM Sans"/>
      </rPr>
      <t>TIM Black B</t>
    </r>
    <r>
      <rPr>
        <sz val="10"/>
        <color rgb="FF000000"/>
        <rFont val="TIM Sans"/>
      </rPr>
      <t xml:space="preserve"> ou Superior</t>
    </r>
  </si>
  <si>
    <t>TIM PÓS C GIGA (12GB)</t>
  </si>
  <si>
    <r>
      <rPr>
        <b/>
        <sz val="10"/>
        <color theme="4"/>
        <rFont val="TIM Sans"/>
      </rPr>
      <t>TIM Black C</t>
    </r>
    <r>
      <rPr>
        <sz val="10"/>
        <color rgb="FF000000"/>
        <rFont val="TIM Sans"/>
      </rPr>
      <t xml:space="preserve"> ou Superior</t>
    </r>
  </si>
  <si>
    <t>OFERTA PHYGITAL VÁLIDA PARA OS PLANOS REDES SOCIAIS E SMART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</si>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</sst>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dd/mm/yy;@"/>
  </numFmts>
  <fonts count="4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Arial"/>
      <family val="2"/>
    </font>
    <font>
      <sz val="12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sz val="11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color rgb="FF367BCE"/>
      <name val="Arial"/>
      <family val="2"/>
    </font>
    <font>
      <b/>
      <sz val="14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theme="0"/>
      <name val="Arial"/>
      <family val="2"/>
    </font>
    <font>
      <sz val="12"/>
      <color rgb="FFFF0000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sz val="11"/>
      <color rgb="FFEEF3F8"/>
      <name val="Calibri"/>
      <family val="2"/>
      <scheme val="minor"/>
    </font>
    <font>
      <b/>
      <sz val="12"/>
      <color indexed="9"/>
      <name val="Arial"/>
      <family val="2"/>
    </font>
    <font>
      <b/>
      <sz val="12"/>
      <color indexed="12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11"/>
      <name val="Arial"/>
      <family val="2"/>
    </font>
    <font>
      <sz val="10"/>
      <color theme="1"/>
      <name val="TIM Sans"/>
    </font>
    <font>
      <sz val="11"/>
      <color rgb="FF000000"/>
      <name val="Calibri"/>
      <family val="2"/>
    </font>
    <font>
      <sz val="10"/>
      <color theme="1"/>
      <name val="Times New Roman"/>
      <family val="1"/>
    </font>
    <font>
      <b/>
      <sz val="12"/>
      <color rgb="FFFFFFFF"/>
      <name val="TIM Sans"/>
    </font>
    <font>
      <sz val="12"/>
      <color rgb="FF000000"/>
      <name val="TIM Sans"/>
    </font>
    <font>
      <b/>
      <u/>
      <sz val="12"/>
      <color rgb="FF000000"/>
      <name val="TIM Sans"/>
    </font>
    <font>
      <b/>
      <sz val="12"/>
      <color rgb="FF000000"/>
      <name val="TIM Sans"/>
    </font>
    <font>
      <sz val="12"/>
      <color rgb="FFFF0000"/>
      <name val="TIM Sans"/>
    </font>
    <font>
      <u/>
      <sz val="12"/>
      <color rgb="FFFF0000"/>
      <name val="TIM Sans"/>
    </font>
    <font>
      <b/>
      <u/>
      <sz val="12"/>
      <color rgb="FFFF0000"/>
      <name val="TIM Sans"/>
    </font>
    <font>
      <b/>
      <sz val="10"/>
      <color rgb="FF000000"/>
      <name val="TIM Sans"/>
    </font>
    <font>
      <b/>
      <sz val="10"/>
      <color rgb="FF002060"/>
      <name val="TIM Sans"/>
    </font>
    <font>
      <sz val="10"/>
      <color rgb="FF000000"/>
      <name val="TIM Sans"/>
    </font>
    <font>
      <b/>
      <sz val="10"/>
      <color rgb="FF0070C0"/>
      <name val="TIM Sans"/>
    </font>
    <font>
      <b/>
      <sz val="10"/>
      <color rgb="FF00B050"/>
      <name val="TIM Sans"/>
    </font>
    <font>
      <b/>
      <sz val="10"/>
      <color rgb="FFE26B0A"/>
      <name val="TIM Sans"/>
    </font>
    <font>
      <sz val="10"/>
      <color rgb="FF60497A"/>
      <name val="TIM Sans"/>
    </font>
    <font>
      <b/>
      <sz val="10"/>
      <color rgb="FF60497A"/>
      <name val="TIM Sans"/>
    </font>
    <font>
      <b/>
      <sz val="10"/>
      <color theme="4"/>
      <name val="TIM Sans"/>
    </font>
    <font>
      <b/>
      <sz val="12"/>
      <color theme="1"/>
      <name val="Aptos"/>
      <family val="2"/>
    </font>
    <font>
      <sz val="11"/>
      <color rgb="FF156082"/>
      <name val="Aptos"/>
      <family val="2"/>
    </font>
  </fonts>
  <fills count="23">
    <fill>
      <patternFill patternType="none"/>
    </fill>
    <fill>
      <patternFill patternType="gray125"/>
    </fill>
    <fill>
      <patternFill patternType="solid">
        <fgColor indexed="1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A3409D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rgb="FFD9D9D9"/>
      </left>
      <right style="medium">
        <color rgb="FFBFBFBF"/>
      </right>
      <top style="medium">
        <color rgb="FFD9D9D9"/>
      </top>
      <bottom style="medium">
        <color rgb="FFD9D9D9"/>
      </bottom>
      <diagonal/>
    </border>
    <border>
      <left/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 style="medium">
        <color rgb="FFF2F2F2"/>
      </right>
      <top/>
      <bottom style="medium">
        <color rgb="FFF2F2F2"/>
      </bottom>
      <diagonal/>
    </border>
    <border>
      <left/>
      <right style="medium">
        <color rgb="FFD9D9D9"/>
      </right>
      <top/>
      <bottom style="medium">
        <color rgb="FFF2F2F2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" fillId="0" borderId="0"/>
  </cellStyleXfs>
  <cellXfs count="223">
    <xf numFmtId="0" fontId="0" fillId="0" borderId="0" xfId="0"/>
    <xf numFmtId="0" fontId="5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3" fontId="0" fillId="0" borderId="0" xfId="0" applyNumberFormat="1"/>
    <xf numFmtId="3" fontId="0" fillId="0" borderId="0" xfId="0" applyNumberFormat="1" applyAlignment="1">
      <alignment vertical="top" wrapText="1"/>
    </xf>
    <xf numFmtId="0" fontId="7" fillId="2" borderId="0" xfId="3" applyFont="1" applyFill="1"/>
    <xf numFmtId="0" fontId="8" fillId="0" borderId="0" xfId="3" applyFont="1"/>
    <xf numFmtId="0" fontId="9" fillId="3" borderId="0" xfId="3" applyFont="1" applyFill="1"/>
    <xf numFmtId="43" fontId="0" fillId="0" borderId="0" xfId="1" applyFont="1"/>
    <xf numFmtId="3" fontId="0" fillId="0" borderId="0" xfId="0" applyNumberFormat="1" applyAlignment="1">
      <alignment horizontal="center"/>
    </xf>
    <xf numFmtId="0" fontId="10" fillId="0" borderId="0" xfId="0" applyFont="1"/>
    <xf numFmtId="0" fontId="11" fillId="0" borderId="0" xfId="0" applyFont="1"/>
    <xf numFmtId="2" fontId="0" fillId="0" borderId="0" xfId="0" applyNumberFormat="1" applyAlignment="1">
      <alignment vertical="top" wrapText="1"/>
    </xf>
    <xf numFmtId="0" fontId="12" fillId="0" borderId="0" xfId="0" applyFont="1" applyAlignment="1">
      <alignment vertical="center"/>
    </xf>
    <xf numFmtId="4" fontId="0" fillId="0" borderId="0" xfId="0" applyNumberFormat="1" applyAlignment="1">
      <alignment vertical="top" wrapText="1"/>
    </xf>
    <xf numFmtId="0" fontId="13" fillId="0" borderId="0" xfId="0" applyFont="1" applyAlignment="1">
      <alignment horizontal="left"/>
    </xf>
    <xf numFmtId="0" fontId="14" fillId="0" borderId="0" xfId="3" applyFont="1"/>
    <xf numFmtId="0" fontId="5" fillId="0" borderId="0" xfId="3" applyFont="1"/>
    <xf numFmtId="0" fontId="15" fillId="0" borderId="0" xfId="0" applyFont="1"/>
    <xf numFmtId="3" fontId="16" fillId="0" borderId="0" xfId="0" applyNumberFormat="1" applyFont="1" applyAlignment="1">
      <alignment horizontal="left"/>
    </xf>
    <xf numFmtId="14" fontId="3" fillId="4" borderId="0" xfId="0" applyNumberFormat="1" applyFont="1" applyFill="1"/>
    <xf numFmtId="0" fontId="15" fillId="0" borderId="0" xfId="0" applyFont="1" applyAlignment="1">
      <alignment horizontal="center"/>
    </xf>
    <xf numFmtId="10" fontId="19" fillId="0" borderId="0" xfId="2" applyNumberFormat="1" applyFont="1"/>
    <xf numFmtId="0" fontId="8" fillId="0" borderId="5" xfId="3" applyFont="1" applyBorder="1" applyAlignment="1">
      <alignment horizontal="center" vertical="center" wrapText="1"/>
    </xf>
    <xf numFmtId="0" fontId="8" fillId="9" borderId="6" xfId="3" applyFont="1" applyFill="1" applyBorder="1" applyAlignment="1">
      <alignment horizontal="center" vertical="center" wrapText="1"/>
    </xf>
    <xf numFmtId="0" fontId="18" fillId="10" borderId="7" xfId="3" applyFont="1" applyFill="1" applyBorder="1" applyAlignment="1">
      <alignment horizontal="center" vertical="center" wrapText="1"/>
    </xf>
    <xf numFmtId="0" fontId="20" fillId="11" borderId="7" xfId="3" applyFont="1" applyFill="1" applyBorder="1" applyAlignment="1">
      <alignment horizontal="center" vertical="center" wrapText="1"/>
    </xf>
    <xf numFmtId="0" fontId="15" fillId="12" borderId="7" xfId="3" applyFont="1" applyFill="1" applyBorder="1" applyAlignment="1">
      <alignment horizontal="center" vertical="center" wrapText="1"/>
    </xf>
    <xf numFmtId="0" fontId="15" fillId="12" borderId="5" xfId="3" applyFont="1" applyFill="1" applyBorder="1" applyAlignment="1">
      <alignment horizontal="center" vertical="center" wrapText="1"/>
    </xf>
    <xf numFmtId="0" fontId="17" fillId="13" borderId="8" xfId="3" applyFont="1" applyFill="1" applyBorder="1" applyAlignment="1">
      <alignment horizontal="center" vertical="center" wrapText="1"/>
    </xf>
    <xf numFmtId="0" fontId="20" fillId="14" borderId="8" xfId="3" applyFont="1" applyFill="1" applyBorder="1" applyAlignment="1">
      <alignment horizontal="center" vertical="center" wrapText="1"/>
    </xf>
    <xf numFmtId="0" fontId="20" fillId="15" borderId="8" xfId="3" applyFont="1" applyFill="1" applyBorder="1" applyAlignment="1">
      <alignment horizontal="center" vertical="center" wrapText="1"/>
    </xf>
    <xf numFmtId="0" fontId="15" fillId="6" borderId="4" xfId="0" applyFont="1" applyFill="1" applyBorder="1" applyAlignment="1">
      <alignment horizontal="center" vertical="center" wrapText="1"/>
    </xf>
    <xf numFmtId="0" fontId="15" fillId="7" borderId="8" xfId="3" applyFont="1" applyFill="1" applyBorder="1" applyAlignment="1">
      <alignment horizontal="center" vertical="center" wrapText="1"/>
    </xf>
    <xf numFmtId="0" fontId="15" fillId="7" borderId="0" xfId="3" applyFont="1" applyFill="1" applyAlignment="1">
      <alignment horizontal="center" vertical="center" wrapText="1"/>
    </xf>
    <xf numFmtId="0" fontId="18" fillId="8" borderId="9" xfId="0" applyFont="1" applyFill="1" applyBorder="1" applyAlignment="1">
      <alignment horizontal="center" vertical="center" wrapText="1"/>
    </xf>
    <xf numFmtId="0" fontId="20" fillId="0" borderId="0" xfId="3" applyFont="1" applyAlignment="1">
      <alignment horizontal="center" vertical="center" wrapText="1"/>
    </xf>
    <xf numFmtId="49" fontId="20" fillId="11" borderId="10" xfId="3" applyNumberFormat="1" applyFont="1" applyFill="1" applyBorder="1" applyAlignment="1">
      <alignment horizontal="center" vertical="center" wrapText="1"/>
    </xf>
    <xf numFmtId="49" fontId="20" fillId="11" borderId="11" xfId="3" applyNumberFormat="1" applyFont="1" applyFill="1" applyBorder="1" applyAlignment="1">
      <alignment horizontal="center" vertical="center" wrapText="1"/>
    </xf>
    <xf numFmtId="49" fontId="18" fillId="16" borderId="5" xfId="3" applyNumberFormat="1" applyFont="1" applyFill="1" applyBorder="1" applyAlignment="1">
      <alignment horizontal="center" vertical="center" wrapText="1"/>
    </xf>
    <xf numFmtId="0" fontId="18" fillId="0" borderId="12" xfId="3" applyFont="1" applyBorder="1" applyAlignment="1">
      <alignment vertical="center"/>
    </xf>
    <xf numFmtId="0" fontId="21" fillId="0" borderId="12" xfId="3" applyFont="1" applyBorder="1" applyAlignment="1">
      <alignment horizontal="center" vertical="center"/>
    </xf>
    <xf numFmtId="0" fontId="7" fillId="0" borderId="13" xfId="3" applyFont="1" applyBorder="1"/>
    <xf numFmtId="49" fontId="7" fillId="0" borderId="14" xfId="3" applyNumberFormat="1" applyFont="1" applyBorder="1"/>
    <xf numFmtId="3" fontId="7" fillId="0" borderId="13" xfId="3" applyNumberFormat="1" applyFont="1" applyBorder="1" applyAlignment="1">
      <alignment horizontal="center"/>
    </xf>
    <xf numFmtId="3" fontId="7" fillId="0" borderId="12" xfId="3" applyNumberFormat="1" applyFont="1" applyBorder="1" applyAlignment="1">
      <alignment horizontal="center"/>
    </xf>
    <xf numFmtId="3" fontId="7" fillId="0" borderId="0" xfId="3" applyNumberFormat="1" applyFont="1" applyAlignment="1">
      <alignment horizontal="center"/>
    </xf>
    <xf numFmtId="14" fontId="7" fillId="0" borderId="15" xfId="3" applyNumberFormat="1" applyFont="1" applyBorder="1" applyAlignment="1">
      <alignment horizontal="right"/>
    </xf>
    <xf numFmtId="0" fontId="22" fillId="0" borderId="16" xfId="0" applyFont="1" applyBorder="1" applyAlignment="1">
      <alignment horizontal="center"/>
    </xf>
    <xf numFmtId="43" fontId="0" fillId="0" borderId="12" xfId="1" applyFont="1" applyBorder="1"/>
    <xf numFmtId="43" fontId="0" fillId="0" borderId="17" xfId="1" applyFont="1" applyBorder="1"/>
    <xf numFmtId="49" fontId="7" fillId="10" borderId="14" xfId="3" applyNumberFormat="1" applyFont="1" applyFill="1" applyBorder="1"/>
    <xf numFmtId="3" fontId="7" fillId="10" borderId="12" xfId="3" applyNumberFormat="1" applyFont="1" applyFill="1" applyBorder="1" applyAlignment="1">
      <alignment horizontal="center"/>
    </xf>
    <xf numFmtId="3" fontId="7" fillId="10" borderId="13" xfId="3" applyNumberFormat="1" applyFont="1" applyFill="1" applyBorder="1" applyAlignment="1">
      <alignment horizontal="center"/>
    </xf>
    <xf numFmtId="0" fontId="17" fillId="0" borderId="12" xfId="3" applyFont="1" applyBorder="1" applyAlignment="1">
      <alignment vertical="center"/>
    </xf>
    <xf numFmtId="0" fontId="7" fillId="0" borderId="14" xfId="3" applyFont="1" applyBorder="1"/>
    <xf numFmtId="0" fontId="7" fillId="10" borderId="14" xfId="3" applyFont="1" applyFill="1" applyBorder="1"/>
    <xf numFmtId="49" fontId="7" fillId="0" borderId="18" xfId="3" applyNumberFormat="1" applyFont="1" applyBorder="1"/>
    <xf numFmtId="0" fontId="7" fillId="0" borderId="18" xfId="3" applyFont="1" applyBorder="1"/>
    <xf numFmtId="0" fontId="7" fillId="0" borderId="13" xfId="3" applyFont="1" applyBorder="1" applyAlignment="1">
      <alignment horizontal="left" indent="1"/>
    </xf>
    <xf numFmtId="49" fontId="7" fillId="0" borderId="12" xfId="3" applyNumberFormat="1" applyFont="1" applyBorder="1"/>
    <xf numFmtId="0" fontId="7" fillId="0" borderId="19" xfId="3" applyFont="1" applyBorder="1"/>
    <xf numFmtId="0" fontId="7" fillId="0" borderId="12" xfId="3" applyFont="1" applyBorder="1"/>
    <xf numFmtId="0" fontId="7" fillId="0" borderId="15" xfId="3" applyFont="1" applyBorder="1"/>
    <xf numFmtId="0" fontId="18" fillId="0" borderId="20" xfId="3" applyFont="1" applyBorder="1" applyAlignment="1">
      <alignment vertical="center"/>
    </xf>
    <xf numFmtId="0" fontId="21" fillId="0" borderId="20" xfId="3" applyFont="1" applyBorder="1" applyAlignment="1">
      <alignment horizontal="center" vertical="center"/>
    </xf>
    <xf numFmtId="0" fontId="7" fillId="0" borderId="20" xfId="3" applyFont="1" applyBorder="1"/>
    <xf numFmtId="0" fontId="7" fillId="0" borderId="21" xfId="3" applyFont="1" applyBorder="1"/>
    <xf numFmtId="3" fontId="7" fillId="0" borderId="20" xfId="3" applyNumberFormat="1" applyFont="1" applyBorder="1" applyAlignment="1">
      <alignment horizontal="center"/>
    </xf>
    <xf numFmtId="14" fontId="7" fillId="0" borderId="21" xfId="3" applyNumberFormat="1" applyFont="1" applyBorder="1" applyAlignment="1">
      <alignment horizontal="right"/>
    </xf>
    <xf numFmtId="0" fontId="22" fillId="0" borderId="22" xfId="0" applyFont="1" applyBorder="1" applyAlignment="1">
      <alignment horizontal="center"/>
    </xf>
    <xf numFmtId="43" fontId="0" fillId="0" borderId="20" xfId="1" applyFont="1" applyBorder="1"/>
    <xf numFmtId="43" fontId="0" fillId="0" borderId="23" xfId="1" applyFont="1" applyBorder="1"/>
    <xf numFmtId="0" fontId="17" fillId="0" borderId="13" xfId="3" applyFont="1" applyBorder="1" applyAlignment="1">
      <alignment vertical="center"/>
    </xf>
    <xf numFmtId="0" fontId="21" fillId="0" borderId="13" xfId="3" applyFont="1" applyBorder="1" applyAlignment="1">
      <alignment horizontal="center" vertical="center"/>
    </xf>
    <xf numFmtId="3" fontId="7" fillId="0" borderId="14" xfId="3" applyNumberFormat="1" applyFont="1" applyBorder="1" applyAlignment="1">
      <alignment horizontal="center"/>
    </xf>
    <xf numFmtId="3" fontId="22" fillId="0" borderId="13" xfId="0" applyNumberFormat="1" applyFont="1" applyBorder="1" applyAlignment="1">
      <alignment horizontal="center"/>
    </xf>
    <xf numFmtId="3" fontId="7" fillId="0" borderId="19" xfId="3" applyNumberFormat="1" applyFont="1" applyBorder="1" applyAlignment="1">
      <alignment horizontal="center"/>
    </xf>
    <xf numFmtId="14" fontId="7" fillId="0" borderId="14" xfId="3" applyNumberFormat="1" applyFont="1" applyBorder="1" applyAlignment="1">
      <alignment horizontal="right"/>
    </xf>
    <xf numFmtId="0" fontId="22" fillId="0" borderId="24" xfId="0" applyFont="1" applyBorder="1" applyAlignment="1">
      <alignment horizontal="center"/>
    </xf>
    <xf numFmtId="3" fontId="22" fillId="0" borderId="12" xfId="0" applyNumberFormat="1" applyFont="1" applyBorder="1" applyAlignment="1">
      <alignment horizontal="center"/>
    </xf>
    <xf numFmtId="0" fontId="17" fillId="0" borderId="20" xfId="3" applyFont="1" applyBorder="1" applyAlignment="1">
      <alignment vertical="center"/>
    </xf>
    <xf numFmtId="49" fontId="7" fillId="0" borderId="21" xfId="3" applyNumberFormat="1" applyFont="1" applyBorder="1"/>
    <xf numFmtId="3" fontId="7" fillId="0" borderId="21" xfId="3" applyNumberFormat="1" applyFont="1" applyBorder="1" applyAlignment="1">
      <alignment horizontal="right"/>
    </xf>
    <xf numFmtId="0" fontId="22" fillId="0" borderId="25" xfId="0" applyFont="1" applyBorder="1" applyAlignment="1">
      <alignment horizontal="center"/>
    </xf>
    <xf numFmtId="49" fontId="7" fillId="0" borderId="13" xfId="3" applyNumberFormat="1" applyFont="1" applyBorder="1"/>
    <xf numFmtId="3" fontId="7" fillId="0" borderId="13" xfId="1" applyNumberFormat="1" applyFont="1" applyFill="1" applyBorder="1" applyAlignment="1">
      <alignment horizontal="center"/>
    </xf>
    <xf numFmtId="43" fontId="7" fillId="0" borderId="13" xfId="1" applyFont="1" applyFill="1" applyBorder="1" applyAlignment="1">
      <alignment horizontal="center"/>
    </xf>
    <xf numFmtId="0" fontId="7" fillId="0" borderId="23" xfId="3" applyFont="1" applyBorder="1"/>
    <xf numFmtId="3" fontId="7" fillId="0" borderId="20" xfId="1" applyNumberFormat="1" applyFont="1" applyFill="1" applyBorder="1" applyAlignment="1">
      <alignment horizontal="center"/>
    </xf>
    <xf numFmtId="43" fontId="7" fillId="0" borderId="20" xfId="1" applyFont="1" applyFill="1" applyBorder="1" applyAlignment="1">
      <alignment horizontal="center"/>
    </xf>
    <xf numFmtId="0" fontId="22" fillId="0" borderId="26" xfId="0" applyFont="1" applyBorder="1" applyAlignment="1">
      <alignment horizontal="center"/>
    </xf>
    <xf numFmtId="0" fontId="7" fillId="0" borderId="0" xfId="3" applyFont="1"/>
    <xf numFmtId="0" fontId="17" fillId="0" borderId="0" xfId="0" applyFont="1"/>
    <xf numFmtId="0" fontId="0" fillId="17" borderId="0" xfId="0" applyFill="1"/>
    <xf numFmtId="0" fontId="0" fillId="10" borderId="0" xfId="0" applyFill="1"/>
    <xf numFmtId="0" fontId="18" fillId="0" borderId="5" xfId="3" applyFont="1" applyBorder="1" applyAlignment="1">
      <alignment horizontal="center" vertical="center" wrapText="1"/>
    </xf>
    <xf numFmtId="0" fontId="18" fillId="0" borderId="27" xfId="3" applyFont="1" applyBorder="1" applyAlignment="1">
      <alignment horizontal="center" vertical="center" wrapText="1"/>
    </xf>
    <xf numFmtId="0" fontId="18" fillId="0" borderId="6" xfId="3" applyFont="1" applyBorder="1" applyAlignment="1">
      <alignment horizontal="center" vertical="center" wrapText="1"/>
    </xf>
    <xf numFmtId="0" fontId="17" fillId="13" borderId="7" xfId="3" applyFont="1" applyFill="1" applyBorder="1" applyAlignment="1">
      <alignment horizontal="center" vertical="center" wrapText="1"/>
    </xf>
    <xf numFmtId="0" fontId="17" fillId="13" borderId="5" xfId="3" applyFont="1" applyFill="1" applyBorder="1" applyAlignment="1">
      <alignment horizontal="center" vertical="center" wrapText="1"/>
    </xf>
    <xf numFmtId="0" fontId="20" fillId="14" borderId="7" xfId="3" applyFont="1" applyFill="1" applyBorder="1" applyAlignment="1">
      <alignment horizontal="center" vertical="center" wrapText="1"/>
    </xf>
    <xf numFmtId="49" fontId="20" fillId="11" borderId="28" xfId="3" applyNumberFormat="1" applyFont="1" applyFill="1" applyBorder="1" applyAlignment="1">
      <alignment horizontal="center" vertical="center" wrapText="1"/>
    </xf>
    <xf numFmtId="0" fontId="18" fillId="0" borderId="0" xfId="3" applyFont="1" applyAlignment="1">
      <alignment horizontal="center" vertical="center" wrapText="1"/>
    </xf>
    <xf numFmtId="0" fontId="22" fillId="0" borderId="29" xfId="0" applyFont="1" applyBorder="1"/>
    <xf numFmtId="0" fontId="7" fillId="0" borderId="29" xfId="0" applyFont="1" applyBorder="1" applyAlignment="1">
      <alignment horizontal="right" vertical="center"/>
    </xf>
    <xf numFmtId="0" fontId="7" fillId="0" borderId="29" xfId="0" applyFont="1" applyBorder="1" applyAlignment="1">
      <alignment horizontal="left" vertical="center"/>
    </xf>
    <xf numFmtId="164" fontId="23" fillId="0" borderId="29" xfId="1" applyNumberFormat="1" applyFont="1" applyFill="1" applyBorder="1" applyAlignment="1">
      <alignment horizontal="center" vertical="center"/>
    </xf>
    <xf numFmtId="164" fontId="7" fillId="0" borderId="29" xfId="1" applyNumberFormat="1" applyFont="1" applyFill="1" applyBorder="1" applyAlignment="1">
      <alignment vertical="center"/>
    </xf>
    <xf numFmtId="164" fontId="7" fillId="0" borderId="29" xfId="1" applyNumberFormat="1" applyFont="1" applyFill="1" applyBorder="1" applyAlignment="1">
      <alignment horizontal="center" vertical="center"/>
    </xf>
    <xf numFmtId="14" fontId="7" fillId="0" borderId="29" xfId="3" applyNumberFormat="1" applyFont="1" applyBorder="1"/>
    <xf numFmtId="0" fontId="22" fillId="0" borderId="29" xfId="0" applyFont="1" applyBorder="1" applyAlignment="1">
      <alignment horizontal="left" vertical="center"/>
    </xf>
    <xf numFmtId="0" fontId="7" fillId="0" borderId="29" xfId="0" applyFont="1" applyBorder="1"/>
    <xf numFmtId="164" fontId="22" fillId="0" borderId="29" xfId="1" applyNumberFormat="1" applyFont="1" applyFill="1" applyBorder="1"/>
    <xf numFmtId="0" fontId="7" fillId="10" borderId="29" xfId="0" applyFont="1" applyFill="1" applyBorder="1"/>
    <xf numFmtId="164" fontId="7" fillId="10" borderId="29" xfId="1" applyNumberFormat="1" applyFont="1" applyFill="1" applyBorder="1" applyAlignment="1">
      <alignment horizontal="center" vertical="center"/>
    </xf>
    <xf numFmtId="164" fontId="7" fillId="10" borderId="29" xfId="1" applyNumberFormat="1" applyFont="1" applyFill="1" applyBorder="1" applyAlignment="1">
      <alignment vertical="center"/>
    </xf>
    <xf numFmtId="0" fontId="22" fillId="10" borderId="29" xfId="0" applyFont="1" applyFill="1" applyBorder="1"/>
    <xf numFmtId="164" fontId="23" fillId="10" borderId="29" xfId="1" applyNumberFormat="1" applyFont="1" applyFill="1" applyBorder="1" applyAlignment="1">
      <alignment horizontal="center" vertical="center"/>
    </xf>
    <xf numFmtId="14" fontId="7" fillId="0" borderId="4" xfId="3" applyNumberFormat="1" applyFont="1" applyBorder="1"/>
    <xf numFmtId="0" fontId="22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right" vertical="center"/>
    </xf>
    <xf numFmtId="0" fontId="22" fillId="0" borderId="4" xfId="0" applyFont="1" applyBorder="1"/>
    <xf numFmtId="164" fontId="23" fillId="0" borderId="4" xfId="1" applyNumberFormat="1" applyFont="1" applyFill="1" applyBorder="1" applyAlignment="1">
      <alignment horizontal="center" vertical="center"/>
    </xf>
    <xf numFmtId="164" fontId="7" fillId="0" borderId="4" xfId="1" applyNumberFormat="1" applyFont="1" applyFill="1" applyBorder="1" applyAlignment="1">
      <alignment vertical="center"/>
    </xf>
    <xf numFmtId="164" fontId="22" fillId="0" borderId="4" xfId="1" applyNumberFormat="1" applyFont="1" applyFill="1" applyBorder="1"/>
    <xf numFmtId="0" fontId="7" fillId="17" borderId="4" xfId="0" applyFont="1" applyFill="1" applyBorder="1" applyAlignment="1">
      <alignment horizontal="left" vertical="center"/>
    </xf>
    <xf numFmtId="164" fontId="7" fillId="0" borderId="4" xfId="1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164" fontId="22" fillId="0" borderId="0" xfId="1" applyNumberFormat="1" applyFont="1" applyFill="1" applyBorder="1"/>
    <xf numFmtId="0" fontId="22" fillId="18" borderId="4" xfId="0" applyFont="1" applyFill="1" applyBorder="1"/>
    <xf numFmtId="164" fontId="7" fillId="0" borderId="4" xfId="1" applyNumberFormat="1" applyFont="1" applyFill="1" applyBorder="1"/>
    <xf numFmtId="164" fontId="7" fillId="0" borderId="29" xfId="1" applyNumberFormat="1" applyFont="1" applyFill="1" applyBorder="1"/>
    <xf numFmtId="0" fontId="22" fillId="0" borderId="4" xfId="0" applyFont="1" applyBorder="1" applyAlignment="1">
      <alignment horizontal="right"/>
    </xf>
    <xf numFmtId="164" fontId="7" fillId="0" borderId="0" xfId="1" applyNumberFormat="1" applyFont="1" applyFill="1" applyBorder="1" applyAlignment="1">
      <alignment vertical="center"/>
    </xf>
    <xf numFmtId="0" fontId="22" fillId="18" borderId="4" xfId="0" applyFont="1" applyFill="1" applyBorder="1" applyAlignment="1">
      <alignment horizontal="left" vertical="center"/>
    </xf>
    <xf numFmtId="0" fontId="22" fillId="10" borderId="4" xfId="0" applyFont="1" applyFill="1" applyBorder="1"/>
    <xf numFmtId="164" fontId="23" fillId="10" borderId="4" xfId="1" applyNumberFormat="1" applyFont="1" applyFill="1" applyBorder="1" applyAlignment="1">
      <alignment horizontal="center" vertical="center"/>
    </xf>
    <xf numFmtId="164" fontId="7" fillId="10" borderId="4" xfId="1" applyNumberFormat="1" applyFont="1" applyFill="1" applyBorder="1" applyAlignment="1">
      <alignment vertical="center"/>
    </xf>
    <xf numFmtId="164" fontId="22" fillId="10" borderId="4" xfId="1" applyNumberFormat="1" applyFont="1" applyFill="1" applyBorder="1"/>
    <xf numFmtId="164" fontId="22" fillId="10" borderId="29" xfId="1" applyNumberFormat="1" applyFont="1" applyFill="1" applyBorder="1"/>
    <xf numFmtId="3" fontId="7" fillId="0" borderId="4" xfId="3" applyNumberFormat="1" applyFont="1" applyBorder="1" applyAlignment="1">
      <alignment horizontal="right"/>
    </xf>
    <xf numFmtId="0" fontId="7" fillId="10" borderId="4" xfId="0" applyFont="1" applyFill="1" applyBorder="1" applyAlignment="1">
      <alignment horizontal="left" vertical="center"/>
    </xf>
    <xf numFmtId="164" fontId="7" fillId="10" borderId="4" xfId="1" applyNumberFormat="1" applyFont="1" applyFill="1" applyBorder="1" applyAlignment="1">
      <alignment horizontal="center" vertical="center"/>
    </xf>
    <xf numFmtId="0" fontId="22" fillId="0" borderId="4" xfId="0" applyFont="1" applyBorder="1" applyAlignment="1">
      <alignment vertical="center"/>
    </xf>
    <xf numFmtId="164" fontId="7" fillId="10" borderId="4" xfId="1" applyNumberFormat="1" applyFont="1" applyFill="1" applyBorder="1"/>
    <xf numFmtId="164" fontId="6" fillId="0" borderId="0" xfId="1" applyNumberFormat="1" applyFont="1" applyFill="1" applyBorder="1" applyAlignment="1">
      <alignment horizontal="center" vertical="center"/>
    </xf>
    <xf numFmtId="49" fontId="20" fillId="11" borderId="30" xfId="3" applyNumberFormat="1" applyFont="1" applyFill="1" applyBorder="1" applyAlignment="1">
      <alignment horizontal="center" vertical="center" wrapText="1"/>
    </xf>
    <xf numFmtId="0" fontId="22" fillId="0" borderId="12" xfId="0" applyFont="1" applyBorder="1" applyAlignment="1">
      <alignment horizontal="center"/>
    </xf>
    <xf numFmtId="3" fontId="7" fillId="0" borderId="31" xfId="3" applyNumberFormat="1" applyFont="1" applyBorder="1" applyAlignment="1">
      <alignment horizontal="center"/>
    </xf>
    <xf numFmtId="0" fontId="7" fillId="0" borderId="32" xfId="3" applyFont="1" applyBorder="1"/>
    <xf numFmtId="0" fontId="7" fillId="0" borderId="33" xfId="3" applyFont="1" applyBorder="1"/>
    <xf numFmtId="3" fontId="7" fillId="0" borderId="32" xfId="3" applyNumberFormat="1" applyFont="1" applyBorder="1" applyAlignment="1">
      <alignment horizontal="center"/>
    </xf>
    <xf numFmtId="0" fontId="22" fillId="0" borderId="20" xfId="0" applyFont="1" applyBorder="1" applyAlignment="1">
      <alignment horizontal="center"/>
    </xf>
    <xf numFmtId="0" fontId="22" fillId="0" borderId="13" xfId="0" applyFont="1" applyBorder="1" applyAlignment="1">
      <alignment horizontal="center"/>
    </xf>
    <xf numFmtId="3" fontId="7" fillId="0" borderId="14" xfId="3" applyNumberFormat="1" applyFont="1" applyBorder="1" applyAlignment="1">
      <alignment horizontal="right"/>
    </xf>
    <xf numFmtId="3" fontId="7" fillId="0" borderId="15" xfId="3" applyNumberFormat="1" applyFont="1" applyBorder="1" applyAlignment="1">
      <alignment horizontal="right"/>
    </xf>
    <xf numFmtId="0" fontId="0" fillId="0" borderId="34" xfId="0" applyBorder="1"/>
    <xf numFmtId="164" fontId="7" fillId="10" borderId="1" xfId="1" applyNumberFormat="1" applyFont="1" applyFill="1" applyBorder="1"/>
    <xf numFmtId="3" fontId="7" fillId="0" borderId="4" xfId="3" applyNumberFormat="1" applyFont="1" applyBorder="1" applyAlignment="1">
      <alignment horizontal="center"/>
    </xf>
    <xf numFmtId="0" fontId="0" fillId="0" borderId="29" xfId="0" applyBorder="1"/>
    <xf numFmtId="0" fontId="0" fillId="0" borderId="4" xfId="0" applyBorder="1"/>
    <xf numFmtId="164" fontId="23" fillId="0" borderId="1" xfId="1" applyNumberFormat="1" applyFont="1" applyFill="1" applyBorder="1" applyAlignment="1">
      <alignment horizontal="center" vertical="center"/>
    </xf>
    <xf numFmtId="164" fontId="0" fillId="0" borderId="0" xfId="0" applyNumberFormat="1"/>
    <xf numFmtId="0" fontId="4" fillId="20" borderId="29" xfId="0" applyFont="1" applyFill="1" applyBorder="1" applyAlignment="1">
      <alignment horizontal="center"/>
    </xf>
    <xf numFmtId="14" fontId="4" fillId="20" borderId="29" xfId="0" applyNumberFormat="1" applyFont="1" applyFill="1" applyBorder="1" applyAlignment="1">
      <alignment horizontal="center"/>
    </xf>
    <xf numFmtId="0" fontId="4" fillId="20" borderId="4" xfId="0" applyFont="1" applyFill="1" applyBorder="1" applyAlignment="1">
      <alignment horizontal="center"/>
    </xf>
    <xf numFmtId="49" fontId="10" fillId="17" borderId="4" xfId="0" applyNumberFormat="1" applyFont="1" applyFill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4" xfId="0" applyFont="1" applyBorder="1"/>
    <xf numFmtId="165" fontId="10" fillId="0" borderId="4" xfId="0" applyNumberFormat="1" applyFont="1" applyBorder="1" applyAlignment="1">
      <alignment horizontal="center"/>
    </xf>
    <xf numFmtId="164" fontId="10" fillId="0" borderId="4" xfId="1" applyNumberFormat="1" applyFont="1" applyFill="1" applyBorder="1" applyAlignment="1">
      <alignment horizontal="center"/>
    </xf>
    <xf numFmtId="0" fontId="10" fillId="0" borderId="4" xfId="1" applyNumberFormat="1" applyFont="1" applyFill="1" applyBorder="1" applyAlignment="1">
      <alignment horizontal="center"/>
    </xf>
    <xf numFmtId="43" fontId="0" fillId="0" borderId="4" xfId="1" applyFont="1" applyFill="1" applyBorder="1" applyAlignment="1" applyProtection="1">
      <alignment horizontal="center"/>
      <protection locked="0"/>
    </xf>
    <xf numFmtId="0" fontId="10" fillId="10" borderId="4" xfId="0" applyFont="1" applyFill="1" applyBorder="1" applyAlignment="1">
      <alignment horizontal="center"/>
    </xf>
    <xf numFmtId="0" fontId="10" fillId="10" borderId="4" xfId="0" applyFont="1" applyFill="1" applyBorder="1"/>
    <xf numFmtId="43" fontId="0" fillId="10" borderId="4" xfId="1" applyFont="1" applyFill="1" applyBorder="1" applyAlignment="1" applyProtection="1">
      <alignment horizontal="center"/>
      <protection locked="0"/>
    </xf>
    <xf numFmtId="43" fontId="10" fillId="10" borderId="4" xfId="1" applyFont="1" applyFill="1" applyBorder="1"/>
    <xf numFmtId="0" fontId="10" fillId="17" borderId="4" xfId="0" applyFont="1" applyFill="1" applyBorder="1" applyAlignment="1">
      <alignment horizontal="center"/>
    </xf>
    <xf numFmtId="0" fontId="10" fillId="17" borderId="4" xfId="0" applyFont="1" applyFill="1" applyBorder="1"/>
    <xf numFmtId="43" fontId="10" fillId="17" borderId="4" xfId="1" applyFont="1" applyFill="1" applyBorder="1"/>
    <xf numFmtId="0" fontId="24" fillId="0" borderId="4" xfId="0" applyFont="1" applyBorder="1" applyAlignment="1">
      <alignment horizontal="right" vertical="center"/>
    </xf>
    <xf numFmtId="43" fontId="10" fillId="0" borderId="4" xfId="1" applyFont="1" applyFill="1" applyBorder="1"/>
    <xf numFmtId="49" fontId="10" fillId="0" borderId="4" xfId="0" applyNumberFormat="1" applyFont="1" applyBorder="1" applyAlignment="1">
      <alignment horizontal="center"/>
    </xf>
    <xf numFmtId="49" fontId="10" fillId="0" borderId="29" xfId="0" applyNumberFormat="1" applyFont="1" applyBorder="1" applyAlignment="1">
      <alignment horizontal="center"/>
    </xf>
    <xf numFmtId="0" fontId="0" fillId="0" borderId="4" xfId="0" applyBorder="1" applyAlignment="1">
      <alignment horizontal="center"/>
    </xf>
    <xf numFmtId="43" fontId="0" fillId="0" borderId="4" xfId="1" applyFont="1" applyFill="1" applyBorder="1" applyAlignment="1">
      <alignment horizontal="center"/>
    </xf>
    <xf numFmtId="0" fontId="0" fillId="0" borderId="0" xfId="0" applyAlignment="1">
      <alignment vertical="center"/>
    </xf>
    <xf numFmtId="0" fontId="25" fillId="0" borderId="0" xfId="0" applyFont="1"/>
    <xf numFmtId="0" fontId="26" fillId="0" borderId="0" xfId="0" applyFont="1" applyAlignment="1">
      <alignment vertical="center"/>
    </xf>
    <xf numFmtId="0" fontId="27" fillId="0" borderId="0" xfId="0" applyFont="1"/>
    <xf numFmtId="0" fontId="35" fillId="10" borderId="0" xfId="0" applyFont="1" applyFill="1" applyAlignment="1">
      <alignment vertical="center"/>
    </xf>
    <xf numFmtId="0" fontId="36" fillId="0" borderId="35" xfId="0" applyFont="1" applyBorder="1" applyAlignment="1">
      <alignment horizontal="center" vertical="center"/>
    </xf>
    <xf numFmtId="0" fontId="36" fillId="0" borderId="36" xfId="0" applyFont="1" applyBorder="1" applyAlignment="1">
      <alignment horizontal="center" vertical="center"/>
    </xf>
    <xf numFmtId="0" fontId="27" fillId="0" borderId="0" xfId="0" applyFont="1" applyAlignment="1">
      <alignment vertical="center"/>
    </xf>
    <xf numFmtId="0" fontId="37" fillId="0" borderId="37" xfId="0" applyFont="1" applyBorder="1" applyAlignment="1">
      <alignment vertical="center"/>
    </xf>
    <xf numFmtId="0" fontId="37" fillId="0" borderId="38" xfId="0" applyFont="1" applyBorder="1" applyAlignment="1">
      <alignment horizontal="center" vertical="center"/>
    </xf>
    <xf numFmtId="0" fontId="25" fillId="22" borderId="0" xfId="0" applyFont="1" applyFill="1"/>
    <xf numFmtId="0" fontId="25" fillId="10" borderId="0" xfId="0" applyFont="1" applyFill="1"/>
    <xf numFmtId="0" fontId="35" fillId="0" borderId="0" xfId="0" applyFont="1" applyAlignment="1">
      <alignment vertical="center"/>
    </xf>
    <xf numFmtId="0" fontId="44" fillId="10" borderId="0" xfId="0" applyFont="1" applyFill="1" applyAlignment="1">
      <alignment vertical="center"/>
    </xf>
    <xf numFmtId="0" fontId="45" fillId="0" borderId="0" xfId="0" applyFont="1" applyAlignment="1">
      <alignment horizontal="left" vertical="center" indent="4"/>
    </xf>
    <xf numFmtId="0" fontId="15" fillId="0" borderId="0" xfId="0" applyFont="1" applyAlignment="1">
      <alignment horizontal="center"/>
    </xf>
    <xf numFmtId="0" fontId="17" fillId="5" borderId="1" xfId="0" applyFont="1" applyFill="1" applyBorder="1" applyAlignment="1">
      <alignment horizontal="center"/>
    </xf>
    <xf numFmtId="0" fontId="17" fillId="5" borderId="2" xfId="0" applyFont="1" applyFill="1" applyBorder="1" applyAlignment="1">
      <alignment horizontal="center"/>
    </xf>
    <xf numFmtId="0" fontId="17" fillId="5" borderId="3" xfId="0" applyFont="1" applyFill="1" applyBorder="1" applyAlignment="1">
      <alignment horizontal="center"/>
    </xf>
    <xf numFmtId="0" fontId="17" fillId="6" borderId="2" xfId="0" applyFont="1" applyFill="1" applyBorder="1" applyAlignment="1">
      <alignment horizontal="center"/>
    </xf>
    <xf numFmtId="0" fontId="15" fillId="7" borderId="3" xfId="0" applyFont="1" applyFill="1" applyBorder="1" applyAlignment="1">
      <alignment horizontal="center"/>
    </xf>
    <xf numFmtId="0" fontId="15" fillId="7" borderId="4" xfId="0" applyFont="1" applyFill="1" applyBorder="1" applyAlignment="1">
      <alignment horizontal="center"/>
    </xf>
    <xf numFmtId="0" fontId="18" fillId="8" borderId="1" xfId="0" applyFont="1" applyFill="1" applyBorder="1" applyAlignment="1">
      <alignment horizontal="center" vertical="center"/>
    </xf>
    <xf numFmtId="0" fontId="18" fillId="8" borderId="2" xfId="0" applyFont="1" applyFill="1" applyBorder="1" applyAlignment="1">
      <alignment horizontal="center" vertical="center"/>
    </xf>
    <xf numFmtId="0" fontId="18" fillId="8" borderId="3" xfId="0" applyFont="1" applyFill="1" applyBorder="1" applyAlignment="1">
      <alignment horizontal="center" vertical="center"/>
    </xf>
    <xf numFmtId="0" fontId="17" fillId="6" borderId="4" xfId="0" applyFont="1" applyFill="1" applyBorder="1" applyAlignment="1">
      <alignment horizontal="center"/>
    </xf>
    <xf numFmtId="0" fontId="2" fillId="19" borderId="0" xfId="0" applyFont="1" applyFill="1" applyAlignment="1">
      <alignment horizontal="center" vertical="center"/>
    </xf>
    <xf numFmtId="0" fontId="2" fillId="19" borderId="1" xfId="0" applyFont="1" applyFill="1" applyBorder="1" applyAlignment="1">
      <alignment horizontal="center" vertical="center"/>
    </xf>
    <xf numFmtId="0" fontId="2" fillId="19" borderId="2" xfId="0" applyFont="1" applyFill="1" applyBorder="1" applyAlignment="1">
      <alignment horizontal="center" vertical="center"/>
    </xf>
    <xf numFmtId="0" fontId="2" fillId="19" borderId="3" xfId="0" applyFont="1" applyFill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37" fillId="0" borderId="0" xfId="0" applyFont="1" applyAlignment="1">
      <alignment vertical="center" wrapText="1"/>
    </xf>
    <xf numFmtId="0" fontId="27" fillId="0" borderId="0" xfId="0" applyFont="1"/>
    <xf numFmtId="0" fontId="28" fillId="21" borderId="0" xfId="0" applyFont="1" applyFill="1" applyAlignment="1">
      <alignment horizontal="center" vertical="center"/>
    </xf>
  </cellXfs>
  <cellStyles count="4">
    <cellStyle name="Comma" xfId="1" builtinId="3"/>
    <cellStyle name="Normal" xfId="0" builtinId="0"/>
    <cellStyle name="Normal_Preços Setembro XXX.09.2008 2 2" xfId="3" xr:uid="{F1ECA743-0C8E-438F-AC27-3A5B465A33E4}"/>
    <cellStyle name="Percent" xfId="2" builtinId="5"/>
  </cellStyles>
  <dxfs count="34"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</font>
    </dxf>
    <dxf>
      <font>
        <b/>
        <i val="0"/>
        <color rgb="FFFF0000"/>
      </font>
    </dxf>
    <dxf>
      <font>
        <b val="0"/>
        <i val="0"/>
        <condense val="0"/>
        <extend val="0"/>
        <color auto="1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 tint="-4.9989318521683403E-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  <condense val="0"/>
        <extend val="0"/>
        <color auto="1"/>
      </font>
    </dxf>
    <dxf>
      <font>
        <b val="0"/>
        <i val="0"/>
        <condense val="0"/>
        <extend val="0"/>
        <color auto="1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color rgb="FF9C6500"/>
      </font>
      <fill>
        <patternFill>
          <bgColor rgb="FFFFEB9C"/>
        </patternFill>
      </fill>
    </dxf>
    <dxf>
      <font>
        <color theme="0" tint="-4.9989318521683403E-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361951</xdr:colOff>
      <xdr:row>0</xdr:row>
      <xdr:rowOff>0</xdr:rowOff>
    </xdr:from>
    <xdr:to>
      <xdr:col>6</xdr:col>
      <xdr:colOff>76201</xdr:colOff>
      <xdr:row>0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8B3C60D3-25CD-482B-A40C-CCD455FD1D4D}"/>
            </a:ext>
          </a:extLst>
        </xdr:cNvPr>
        <xdr:cNvSpPr/>
      </xdr:nvSpPr>
      <xdr:spPr>
        <a:xfrm>
          <a:off x="361951" y="0"/>
          <a:ext cx="11601450" cy="0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254000</xdr:colOff>
      <xdr:row>0</xdr:row>
      <xdr:rowOff>0</xdr:rowOff>
    </xdr:from>
    <xdr:to>
      <xdr:col>4</xdr:col>
      <xdr:colOff>1435100</xdr:colOff>
      <xdr:row>0</xdr:row>
      <xdr:rowOff>0</xdr:rowOff>
    </xdr:to>
    <xdr:pic>
      <xdr:nvPicPr>
        <xdr:cNvPr id="3" name="Imagem 9">
          <a:extLst>
            <a:ext uri="{FF2B5EF4-FFF2-40B4-BE49-F238E27FC236}">
              <a16:creationId xmlns:a16="http://schemas.microsoft.com/office/drawing/2014/main" id="{BCE300F9-41CB-4065-B035-1E60D86973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4000" y="0"/>
          <a:ext cx="91884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361951</xdr:colOff>
      <xdr:row>3</xdr:row>
      <xdr:rowOff>25400</xdr:rowOff>
    </xdr:from>
    <xdr:to>
      <xdr:col>6</xdr:col>
      <xdr:colOff>76201</xdr:colOff>
      <xdr:row>59</xdr:row>
      <xdr:rowOff>9524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B3F5F4EA-CBB1-4CD0-BDE7-8BBB79E1F05C}"/>
            </a:ext>
          </a:extLst>
        </xdr:cNvPr>
        <xdr:cNvSpPr/>
      </xdr:nvSpPr>
      <xdr:spPr>
        <a:xfrm>
          <a:off x="361951" y="552450"/>
          <a:ext cx="11601450" cy="10671174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177800</xdr:colOff>
      <xdr:row>59</xdr:row>
      <xdr:rowOff>25399</xdr:rowOff>
    </xdr:from>
    <xdr:to>
      <xdr:col>6</xdr:col>
      <xdr:colOff>323850</xdr:colOff>
      <xdr:row>78</xdr:row>
      <xdr:rowOff>61600</xdr:rowOff>
    </xdr:to>
    <xdr:pic>
      <xdr:nvPicPr>
        <xdr:cNvPr id="5" name="Imagem 9">
          <a:extLst>
            <a:ext uri="{FF2B5EF4-FFF2-40B4-BE49-F238E27FC236}">
              <a16:creationId xmlns:a16="http://schemas.microsoft.com/office/drawing/2014/main" id="{81CBBDB6-6FB5-46DC-BD4D-EE9BBD5E97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7800" y="11239499"/>
          <a:ext cx="12033250" cy="30524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349250</xdr:colOff>
      <xdr:row>78</xdr:row>
      <xdr:rowOff>0</xdr:rowOff>
    </xdr:from>
    <xdr:to>
      <xdr:col>6</xdr:col>
      <xdr:colOff>63500</xdr:colOff>
      <xdr:row>87</xdr:row>
      <xdr:rowOff>73024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657C22D4-4741-4023-9934-4FB51565AD20}"/>
            </a:ext>
          </a:extLst>
        </xdr:cNvPr>
        <xdr:cNvSpPr/>
      </xdr:nvSpPr>
      <xdr:spPr>
        <a:xfrm>
          <a:off x="349250" y="14230350"/>
          <a:ext cx="11601450" cy="1666874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c</a:t>
          </a:r>
        </a:p>
      </xdr:txBody>
    </xdr:sp>
    <xdr:clientData/>
  </xdr:twoCellAnchor>
  <xdr:twoCellAnchor>
    <xdr:from>
      <xdr:col>0</xdr:col>
      <xdr:colOff>355600</xdr:colOff>
      <xdr:row>88</xdr:row>
      <xdr:rowOff>63500</xdr:rowOff>
    </xdr:from>
    <xdr:to>
      <xdr:col>6</xdr:col>
      <xdr:colOff>63500</xdr:colOff>
      <xdr:row>91</xdr:row>
      <xdr:rowOff>76200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4DFE626B-F24A-4026-8A0E-905F79B2130A}"/>
            </a:ext>
          </a:extLst>
        </xdr:cNvPr>
        <xdr:cNvSpPr/>
      </xdr:nvSpPr>
      <xdr:spPr>
        <a:xfrm>
          <a:off x="355600" y="16046450"/>
          <a:ext cx="11595100" cy="558800"/>
        </a:xfrm>
        <a:prstGeom prst="rect">
          <a:avLst/>
        </a:prstGeom>
        <a:noFill/>
        <a:ln w="12700">
          <a:solidFill>
            <a:schemeClr val="accent5">
              <a:lumMod val="60000"/>
              <a:lumOff val="4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5950-DCBD-4B74-A4F6-C19451ED7138}">
  <dimension ref="A1:BA468"/>
  <sheetViews>
    <sheetView showGridLines="0" tabSelected="1" zoomScale="80" zoomScaleNormal="80" workbookViewId="0">
      <pane xSplit="4" ySplit="12" topLeftCell="AF143" activePane="bottomRight" state="frozen"/>
      <selection activeCell="D146" sqref="D146"/>
      <selection pane="topRight" activeCell="D146" sqref="D146"/>
      <selection pane="bottomLeft" activeCell="D146" sqref="D146"/>
      <selection pane="bottomRight" activeCell="D146" sqref="D146"/>
    </sheetView>
  </sheetViews>
  <sheetFormatPr defaultColWidth="9.1796875" defaultRowHeight="14.5"/>
  <cols>
    <col min="1" max="1" width="16.1796875" customWidth="1"/>
    <col min="2" max="2" width="15.453125" customWidth="1"/>
    <col min="3" max="3" width="11.81640625" customWidth="1"/>
    <col min="4" max="4" width="54.1796875" bestFit="1" customWidth="1"/>
    <col min="5" max="5" width="60.1796875" bestFit="1" customWidth="1"/>
    <col min="6" max="6" width="11.7265625" customWidth="1"/>
    <col min="7" max="7" width="17.81640625" customWidth="1"/>
    <col min="8" max="8" width="22.7265625" customWidth="1"/>
    <col min="9" max="9" width="24.54296875" customWidth="1"/>
    <col min="10" max="14" width="17.81640625" customWidth="1"/>
    <col min="15" max="21" width="13.7265625" customWidth="1"/>
    <col min="22" max="38" width="16.1796875" customWidth="1"/>
    <col min="39" max="40" width="17.54296875" customWidth="1"/>
    <col min="41" max="44" width="16.26953125" customWidth="1"/>
    <col min="45" max="47" width="17.453125" customWidth="1"/>
    <col min="48" max="48" width="3.1796875" customWidth="1"/>
    <col min="49" max="49" width="16.7265625" customWidth="1"/>
    <col min="50" max="50" width="15.36328125" customWidth="1"/>
    <col min="51" max="51" width="10.81640625" customWidth="1"/>
  </cols>
  <sheetData>
    <row r="1" spans="1:53" ht="18.5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53">
      <c r="G2" s="3"/>
      <c r="H2" s="3"/>
      <c r="I2" s="3"/>
      <c r="J2" s="3"/>
      <c r="K2" s="3"/>
      <c r="L2" s="3"/>
      <c r="M2" s="3"/>
      <c r="N2" s="3"/>
    </row>
    <row r="3" spans="1:53">
      <c r="F3" s="4"/>
      <c r="G3" s="3"/>
      <c r="H3" s="5"/>
      <c r="I3" s="3"/>
      <c r="J3" s="3"/>
      <c r="K3" s="3"/>
      <c r="L3" s="3"/>
      <c r="M3" s="3"/>
      <c r="N3" s="3"/>
    </row>
    <row r="4" spans="1:53" ht="15.5">
      <c r="A4" s="6"/>
      <c r="B4" s="7" t="s">
        <v>1</v>
      </c>
      <c r="C4" s="7"/>
      <c r="F4" s="4"/>
      <c r="G4" s="3"/>
      <c r="H4" s="3"/>
      <c r="I4" s="3"/>
      <c r="J4" s="3"/>
      <c r="K4" s="3"/>
      <c r="L4" s="3"/>
      <c r="M4" s="3"/>
      <c r="N4" s="3"/>
    </row>
    <row r="5" spans="1:53">
      <c r="A5" s="8"/>
      <c r="B5" s="7" t="s">
        <v>2</v>
      </c>
      <c r="C5" s="7"/>
      <c r="F5" s="9"/>
      <c r="G5" s="3"/>
      <c r="H5" s="3"/>
      <c r="I5" s="3"/>
      <c r="J5" s="3"/>
      <c r="K5" s="3"/>
      <c r="L5" s="3"/>
      <c r="M5" s="3"/>
      <c r="N5" s="3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 spans="1:53">
      <c r="B6" s="11"/>
      <c r="C6" s="7"/>
      <c r="F6" s="3"/>
      <c r="G6" s="3"/>
      <c r="H6" s="3"/>
      <c r="I6" s="3"/>
      <c r="J6" s="3"/>
      <c r="K6" s="3"/>
      <c r="L6" s="3"/>
      <c r="M6" s="3"/>
      <c r="N6" s="3"/>
      <c r="O6" s="4"/>
      <c r="P6" s="4"/>
      <c r="Q6" s="4"/>
      <c r="R6" s="4"/>
      <c r="S6" s="4"/>
      <c r="T6" s="4"/>
      <c r="U6" s="4"/>
    </row>
    <row r="7" spans="1:53">
      <c r="A7" s="12" t="s">
        <v>3</v>
      </c>
      <c r="F7" s="3"/>
      <c r="G7" s="3"/>
      <c r="H7" s="13"/>
      <c r="I7" s="13"/>
      <c r="J7" s="3"/>
      <c r="K7" s="3"/>
      <c r="L7" s="3"/>
      <c r="M7" s="3"/>
      <c r="N7" s="3"/>
    </row>
    <row r="8" spans="1:53">
      <c r="A8" s="14" t="s">
        <v>4</v>
      </c>
      <c r="F8" s="3"/>
      <c r="G8" s="15"/>
      <c r="H8" s="3"/>
      <c r="I8" s="3"/>
      <c r="J8" s="3"/>
      <c r="K8" s="3"/>
      <c r="L8" s="3"/>
      <c r="M8" s="3"/>
      <c r="N8" s="3"/>
      <c r="W8" s="4"/>
    </row>
    <row r="9" spans="1:53">
      <c r="A9" t="s">
        <v>5</v>
      </c>
      <c r="B9" t="s">
        <v>6</v>
      </c>
      <c r="F9" s="3"/>
      <c r="G9" s="3"/>
      <c r="H9" s="15"/>
      <c r="I9" s="3"/>
      <c r="J9" s="3"/>
      <c r="K9" s="3"/>
      <c r="L9" s="3"/>
      <c r="M9" s="3"/>
      <c r="N9" s="3"/>
    </row>
    <row r="10" spans="1:53" ht="18.5">
      <c r="B10" s="16"/>
      <c r="C10" s="17"/>
      <c r="D10" s="18"/>
      <c r="E10" s="17"/>
      <c r="F10" s="3"/>
      <c r="G10" s="3"/>
      <c r="H10" s="5"/>
      <c r="I10" s="3"/>
      <c r="J10" s="3"/>
      <c r="K10" s="3"/>
      <c r="L10" s="3"/>
      <c r="M10" s="3"/>
      <c r="N10" s="3"/>
      <c r="O10" s="19"/>
      <c r="P10" s="19"/>
      <c r="Q10" s="19"/>
      <c r="R10" s="19"/>
      <c r="S10" s="19"/>
      <c r="T10" s="20"/>
      <c r="U10" s="20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</row>
    <row r="11" spans="1:53" ht="16" thickBot="1">
      <c r="C11" t="s">
        <v>7</v>
      </c>
      <c r="D11" s="21">
        <v>46246</v>
      </c>
      <c r="H11" s="203"/>
      <c r="I11" s="203"/>
      <c r="J11" s="204" t="s">
        <v>8</v>
      </c>
      <c r="K11" s="205"/>
      <c r="L11" s="205"/>
      <c r="M11" s="205"/>
      <c r="N11" s="205"/>
      <c r="O11" s="205"/>
      <c r="P11" s="205"/>
      <c r="Q11" s="205"/>
      <c r="R11" s="205"/>
      <c r="S11" s="205"/>
      <c r="T11" s="205"/>
      <c r="U11" s="205"/>
      <c r="V11" s="205"/>
      <c r="W11" s="205"/>
      <c r="X11" s="205"/>
      <c r="Y11" s="205"/>
      <c r="Z11" s="205"/>
      <c r="AA11" s="206"/>
      <c r="AB11" s="207"/>
      <c r="AC11" s="207"/>
      <c r="AD11" s="207"/>
      <c r="AE11" s="207"/>
      <c r="AF11" s="207"/>
      <c r="AG11" s="207"/>
      <c r="AH11" s="207"/>
      <c r="AI11" s="207"/>
      <c r="AJ11" s="207"/>
      <c r="AK11" s="207"/>
      <c r="AL11" s="207"/>
      <c r="AM11" s="208" t="s">
        <v>9</v>
      </c>
      <c r="AN11" s="209"/>
      <c r="AO11" s="209"/>
      <c r="AP11" s="210" t="s">
        <v>10</v>
      </c>
      <c r="AQ11" s="211"/>
      <c r="AR11" s="211"/>
      <c r="AS11" s="211"/>
      <c r="AT11" s="211"/>
      <c r="AU11" s="212"/>
      <c r="AV11" s="22"/>
      <c r="AY11" s="23">
        <v>2.0199999999999999E-2</v>
      </c>
      <c r="AZ11" s="23">
        <v>1.8200000000000001E-2</v>
      </c>
      <c r="BA11" s="23">
        <v>1.03E-2</v>
      </c>
    </row>
    <row r="12" spans="1:53" ht="78" thickBot="1">
      <c r="A12" s="24" t="s">
        <v>11</v>
      </c>
      <c r="B12" s="24" t="s">
        <v>12</v>
      </c>
      <c r="C12" s="24" t="s">
        <v>13</v>
      </c>
      <c r="D12" s="24" t="s">
        <v>14</v>
      </c>
      <c r="E12" s="25" t="s">
        <v>15</v>
      </c>
      <c r="F12" s="26" t="s">
        <v>16</v>
      </c>
      <c r="G12" s="27" t="s">
        <v>17</v>
      </c>
      <c r="H12" s="28" t="s">
        <v>18</v>
      </c>
      <c r="I12" s="29" t="s">
        <v>19</v>
      </c>
      <c r="J12" s="30" t="s">
        <v>20</v>
      </c>
      <c r="K12" s="30" t="s">
        <v>21</v>
      </c>
      <c r="L12" s="30" t="s">
        <v>22</v>
      </c>
      <c r="M12" s="30" t="s">
        <v>23</v>
      </c>
      <c r="N12" s="30" t="s">
        <v>24</v>
      </c>
      <c r="O12" s="31" t="s">
        <v>25</v>
      </c>
      <c r="P12" s="31" t="s">
        <v>26</v>
      </c>
      <c r="Q12" s="31" t="s">
        <v>27</v>
      </c>
      <c r="R12" s="31" t="s">
        <v>28</v>
      </c>
      <c r="S12" s="31" t="s">
        <v>29</v>
      </c>
      <c r="T12" s="31" t="s">
        <v>30</v>
      </c>
      <c r="U12" s="31" t="s">
        <v>31</v>
      </c>
      <c r="V12" s="32" t="s">
        <v>32</v>
      </c>
      <c r="W12" s="32" t="s">
        <v>33</v>
      </c>
      <c r="X12" s="32" t="s">
        <v>34</v>
      </c>
      <c r="Y12" s="32" t="s">
        <v>35</v>
      </c>
      <c r="Z12" s="32" t="s">
        <v>36</v>
      </c>
      <c r="AA12" s="32" t="s">
        <v>37</v>
      </c>
      <c r="AB12" s="33" t="s">
        <v>38</v>
      </c>
      <c r="AC12" s="33" t="s">
        <v>39</v>
      </c>
      <c r="AD12" s="33" t="s">
        <v>40</v>
      </c>
      <c r="AE12" s="33" t="s">
        <v>41</v>
      </c>
      <c r="AF12" s="33" t="s">
        <v>42</v>
      </c>
      <c r="AG12" s="33" t="s">
        <v>43</v>
      </c>
      <c r="AH12" s="33" t="s">
        <v>44</v>
      </c>
      <c r="AI12" s="33" t="s">
        <v>45</v>
      </c>
      <c r="AJ12" s="33" t="s">
        <v>46</v>
      </c>
      <c r="AK12" s="33" t="s">
        <v>47</v>
      </c>
      <c r="AL12" s="33" t="s">
        <v>48</v>
      </c>
      <c r="AM12" s="34" t="s">
        <v>49</v>
      </c>
      <c r="AN12" s="34" t="s">
        <v>50</v>
      </c>
      <c r="AO12" s="35" t="s">
        <v>51</v>
      </c>
      <c r="AP12" s="36" t="s">
        <v>52</v>
      </c>
      <c r="AQ12" s="36" t="s">
        <v>53</v>
      </c>
      <c r="AR12" s="36" t="s">
        <v>54</v>
      </c>
      <c r="AS12" s="36" t="s">
        <v>55</v>
      </c>
      <c r="AT12" s="36" t="s">
        <v>56</v>
      </c>
      <c r="AU12" s="36" t="s">
        <v>57</v>
      </c>
      <c r="AV12" s="37"/>
      <c r="AW12" s="38" t="s">
        <v>58</v>
      </c>
      <c r="AX12" s="39" t="s">
        <v>59</v>
      </c>
      <c r="AY12" s="40" t="s">
        <v>60</v>
      </c>
      <c r="AZ12" s="40" t="s">
        <v>61</v>
      </c>
      <c r="BA12" s="40" t="s">
        <v>62</v>
      </c>
    </row>
    <row r="13" spans="1:53" ht="22.5" customHeight="1">
      <c r="A13" s="41" t="s">
        <v>63</v>
      </c>
      <c r="B13" s="42" t="s">
        <v>64</v>
      </c>
      <c r="C13" s="43">
        <v>4014380</v>
      </c>
      <c r="D13" s="44" t="s">
        <v>65</v>
      </c>
      <c r="E13" s="44" t="s">
        <v>66</v>
      </c>
      <c r="F13" s="45">
        <v>6499</v>
      </c>
      <c r="G13" s="45">
        <v>2599</v>
      </c>
      <c r="H13" s="46">
        <v>999</v>
      </c>
      <c r="I13" s="46">
        <v>999</v>
      </c>
      <c r="J13" s="46">
        <v>999</v>
      </c>
      <c r="K13" s="46">
        <v>999</v>
      </c>
      <c r="L13" s="46">
        <v>999</v>
      </c>
      <c r="M13" s="46">
        <v>999</v>
      </c>
      <c r="N13" s="46">
        <v>999</v>
      </c>
      <c r="O13" s="46">
        <v>999</v>
      </c>
      <c r="P13" s="46">
        <v>999</v>
      </c>
      <c r="Q13" s="46">
        <v>999</v>
      </c>
      <c r="R13" s="46">
        <v>999</v>
      </c>
      <c r="S13" s="46">
        <v>999</v>
      </c>
      <c r="T13" s="46">
        <v>999</v>
      </c>
      <c r="U13" s="46">
        <v>999</v>
      </c>
      <c r="V13" s="46">
        <v>999</v>
      </c>
      <c r="W13" s="46">
        <v>999</v>
      </c>
      <c r="X13" s="46">
        <v>999</v>
      </c>
      <c r="Y13" s="46">
        <v>999</v>
      </c>
      <c r="Z13" s="46">
        <v>999</v>
      </c>
      <c r="AA13" s="46">
        <v>999</v>
      </c>
      <c r="AB13" s="45"/>
      <c r="AC13" s="45"/>
      <c r="AD13" s="45"/>
      <c r="AE13" s="45"/>
      <c r="AF13" s="45"/>
      <c r="AG13" s="45"/>
      <c r="AH13" s="45"/>
      <c r="AI13" s="45"/>
      <c r="AJ13" s="45"/>
      <c r="AK13" s="45"/>
      <c r="AL13" s="45"/>
      <c r="AM13" s="45"/>
      <c r="AN13" s="45"/>
      <c r="AO13" s="45"/>
      <c r="AP13" s="45"/>
      <c r="AQ13" s="45"/>
      <c r="AR13" s="45"/>
      <c r="AS13" s="45"/>
      <c r="AT13" s="45"/>
      <c r="AU13" s="45"/>
      <c r="AV13" s="47"/>
      <c r="AW13" s="48" t="s">
        <v>67</v>
      </c>
      <c r="AX13" s="49" t="s">
        <v>68</v>
      </c>
      <c r="AY13" s="50">
        <f>$H13*AY$11</f>
        <v>20.1798</v>
      </c>
      <c r="AZ13" s="50">
        <f>($H13*AZ$11)</f>
        <v>18.181800000000003</v>
      </c>
      <c r="BA13" s="50">
        <f>$H13*BA$11</f>
        <v>10.2897</v>
      </c>
    </row>
    <row r="14" spans="1:53" ht="22.5" customHeight="1">
      <c r="A14" s="41" t="s">
        <v>63</v>
      </c>
      <c r="B14" s="42" t="s">
        <v>64</v>
      </c>
      <c r="C14" s="43">
        <v>4014382</v>
      </c>
      <c r="D14" s="44" t="s">
        <v>65</v>
      </c>
      <c r="E14" s="44" t="s">
        <v>69</v>
      </c>
      <c r="F14" s="45">
        <v>6499</v>
      </c>
      <c r="G14" s="45">
        <v>2599</v>
      </c>
      <c r="H14" s="46">
        <v>999</v>
      </c>
      <c r="I14" s="46">
        <v>999</v>
      </c>
      <c r="J14" s="46">
        <v>999</v>
      </c>
      <c r="K14" s="46">
        <v>999</v>
      </c>
      <c r="L14" s="46">
        <v>999</v>
      </c>
      <c r="M14" s="46">
        <v>999</v>
      </c>
      <c r="N14" s="46">
        <v>999</v>
      </c>
      <c r="O14" s="46">
        <v>999</v>
      </c>
      <c r="P14" s="46">
        <v>999</v>
      </c>
      <c r="Q14" s="46">
        <v>999</v>
      </c>
      <c r="R14" s="46">
        <v>999</v>
      </c>
      <c r="S14" s="46">
        <v>999</v>
      </c>
      <c r="T14" s="46">
        <v>999</v>
      </c>
      <c r="U14" s="46">
        <v>999</v>
      </c>
      <c r="V14" s="46">
        <v>999</v>
      </c>
      <c r="W14" s="46">
        <v>999</v>
      </c>
      <c r="X14" s="46">
        <v>999</v>
      </c>
      <c r="Y14" s="46">
        <v>999</v>
      </c>
      <c r="Z14" s="46">
        <v>999</v>
      </c>
      <c r="AA14" s="46">
        <v>999</v>
      </c>
      <c r="AB14" s="45"/>
      <c r="AC14" s="45"/>
      <c r="AD14" s="45"/>
      <c r="AE14" s="45"/>
      <c r="AF14" s="45"/>
      <c r="AG14" s="45"/>
      <c r="AH14" s="45"/>
      <c r="AI14" s="45"/>
      <c r="AJ14" s="45"/>
      <c r="AK14" s="45"/>
      <c r="AL14" s="45"/>
      <c r="AM14" s="45"/>
      <c r="AN14" s="45"/>
      <c r="AO14" s="45"/>
      <c r="AP14" s="45"/>
      <c r="AQ14" s="45"/>
      <c r="AR14" s="45"/>
      <c r="AS14" s="45"/>
      <c r="AT14" s="45"/>
      <c r="AU14" s="45"/>
      <c r="AV14" s="47"/>
      <c r="AW14" s="48" t="s">
        <v>67</v>
      </c>
      <c r="AX14" s="49" t="s">
        <v>68</v>
      </c>
      <c r="AY14" s="50">
        <f t="shared" ref="AY14:AY77" si="0">$H14*AY$11</f>
        <v>20.1798</v>
      </c>
      <c r="AZ14" s="50">
        <f t="shared" ref="AZ14:AZ77" si="1">($H14*AZ$11)</f>
        <v>18.181800000000003</v>
      </c>
      <c r="BA14" s="50">
        <f t="shared" ref="BA14:BA77" si="2">$H14*BA$11</f>
        <v>10.2897</v>
      </c>
    </row>
    <row r="15" spans="1:53" ht="22.5" customHeight="1">
      <c r="A15" s="41" t="s">
        <v>63</v>
      </c>
      <c r="B15" s="42" t="s">
        <v>64</v>
      </c>
      <c r="C15" s="43">
        <v>4014391</v>
      </c>
      <c r="D15" s="44" t="s">
        <v>70</v>
      </c>
      <c r="E15" s="44" t="s">
        <v>71</v>
      </c>
      <c r="F15" s="45">
        <v>4499</v>
      </c>
      <c r="G15" s="45">
        <v>2299</v>
      </c>
      <c r="H15" s="46">
        <v>999</v>
      </c>
      <c r="I15" s="46">
        <v>999</v>
      </c>
      <c r="J15" s="46">
        <v>999</v>
      </c>
      <c r="K15" s="46">
        <v>999</v>
      </c>
      <c r="L15" s="46">
        <v>999</v>
      </c>
      <c r="M15" s="46">
        <v>999</v>
      </c>
      <c r="N15" s="46">
        <v>999</v>
      </c>
      <c r="O15" s="46">
        <v>999</v>
      </c>
      <c r="P15" s="46">
        <v>999</v>
      </c>
      <c r="Q15" s="46">
        <v>999</v>
      </c>
      <c r="R15" s="46">
        <v>999</v>
      </c>
      <c r="S15" s="46">
        <v>999</v>
      </c>
      <c r="T15" s="46">
        <v>999</v>
      </c>
      <c r="U15" s="46">
        <v>999</v>
      </c>
      <c r="V15" s="46">
        <v>999</v>
      </c>
      <c r="W15" s="46">
        <v>999</v>
      </c>
      <c r="X15" s="46">
        <v>999</v>
      </c>
      <c r="Y15" s="46">
        <v>999</v>
      </c>
      <c r="Z15" s="46">
        <v>999</v>
      </c>
      <c r="AA15" s="46">
        <v>999</v>
      </c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  <c r="AM15" s="45"/>
      <c r="AN15" s="45"/>
      <c r="AO15" s="45"/>
      <c r="AP15" s="45"/>
      <c r="AQ15" s="45"/>
      <c r="AR15" s="45"/>
      <c r="AS15" s="45"/>
      <c r="AT15" s="45"/>
      <c r="AU15" s="45"/>
      <c r="AV15" s="47"/>
      <c r="AW15" s="48" t="s">
        <v>67</v>
      </c>
      <c r="AX15" s="49" t="s">
        <v>68</v>
      </c>
      <c r="AY15" s="50">
        <f t="shared" si="0"/>
        <v>20.1798</v>
      </c>
      <c r="AZ15" s="50">
        <f t="shared" si="1"/>
        <v>18.181800000000003</v>
      </c>
      <c r="BA15" s="51">
        <f t="shared" si="2"/>
        <v>10.2897</v>
      </c>
    </row>
    <row r="16" spans="1:53" ht="22.5" customHeight="1">
      <c r="A16" s="41" t="s">
        <v>63</v>
      </c>
      <c r="B16" s="42" t="s">
        <v>64</v>
      </c>
      <c r="C16" s="43">
        <v>4014723</v>
      </c>
      <c r="D16" s="44" t="s">
        <v>72</v>
      </c>
      <c r="E16" s="44" t="s">
        <v>73</v>
      </c>
      <c r="F16" s="45">
        <v>6099</v>
      </c>
      <c r="G16" s="45">
        <v>3199</v>
      </c>
      <c r="H16" s="46">
        <v>4499</v>
      </c>
      <c r="I16" s="46">
        <v>4499</v>
      </c>
      <c r="J16" s="45">
        <v>3599</v>
      </c>
      <c r="K16" s="45">
        <v>3499</v>
      </c>
      <c r="L16" s="45">
        <v>3499</v>
      </c>
      <c r="M16" s="45">
        <v>3599</v>
      </c>
      <c r="N16" s="45">
        <v>3499</v>
      </c>
      <c r="O16" s="46">
        <v>3099</v>
      </c>
      <c r="P16" s="46">
        <v>2999</v>
      </c>
      <c r="Q16" s="46">
        <v>2499</v>
      </c>
      <c r="R16" s="46">
        <v>3099</v>
      </c>
      <c r="S16" s="46">
        <v>2999</v>
      </c>
      <c r="T16" s="46">
        <v>2499</v>
      </c>
      <c r="U16" s="46">
        <v>2499</v>
      </c>
      <c r="V16" s="46">
        <v>2499</v>
      </c>
      <c r="W16" s="46">
        <v>2499</v>
      </c>
      <c r="X16" s="46">
        <v>2299</v>
      </c>
      <c r="Y16" s="46">
        <v>1999</v>
      </c>
      <c r="Z16" s="46">
        <v>1999</v>
      </c>
      <c r="AA16" s="46">
        <v>1999</v>
      </c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  <c r="AN16" s="45"/>
      <c r="AO16" s="45"/>
      <c r="AP16" s="45"/>
      <c r="AQ16" s="45"/>
      <c r="AR16" s="45"/>
      <c r="AS16" s="45"/>
      <c r="AT16" s="45"/>
      <c r="AU16" s="45"/>
      <c r="AV16" s="47"/>
      <c r="AW16" s="48" t="s">
        <v>67</v>
      </c>
      <c r="AX16" s="49" t="s">
        <v>68</v>
      </c>
      <c r="AY16" s="50">
        <f t="shared" si="0"/>
        <v>90.879800000000003</v>
      </c>
      <c r="AZ16" s="50">
        <f t="shared" si="1"/>
        <v>81.881799999999998</v>
      </c>
      <c r="BA16" s="51">
        <f t="shared" si="2"/>
        <v>46.339700000000001</v>
      </c>
    </row>
    <row r="17" spans="1:53" ht="22.5" customHeight="1">
      <c r="A17" s="41" t="s">
        <v>63</v>
      </c>
      <c r="B17" s="42" t="s">
        <v>64</v>
      </c>
      <c r="C17" s="43">
        <v>4014594</v>
      </c>
      <c r="D17" s="44" t="s">
        <v>74</v>
      </c>
      <c r="E17" s="44" t="s">
        <v>75</v>
      </c>
      <c r="F17" s="45">
        <v>6299</v>
      </c>
      <c r="G17" s="45">
        <v>2799</v>
      </c>
      <c r="H17" s="46">
        <v>3899</v>
      </c>
      <c r="I17" s="46">
        <v>3899</v>
      </c>
      <c r="J17" s="45">
        <v>3799</v>
      </c>
      <c r="K17" s="45">
        <v>3799</v>
      </c>
      <c r="L17" s="45">
        <v>3799</v>
      </c>
      <c r="M17" s="45">
        <v>3799</v>
      </c>
      <c r="N17" s="45">
        <v>3799</v>
      </c>
      <c r="O17" s="46">
        <v>3599</v>
      </c>
      <c r="P17" s="46">
        <v>3499</v>
      </c>
      <c r="Q17" s="46">
        <v>2999</v>
      </c>
      <c r="R17" s="46">
        <v>3599</v>
      </c>
      <c r="S17" s="46">
        <v>3499</v>
      </c>
      <c r="T17" s="46">
        <v>2999</v>
      </c>
      <c r="U17" s="46">
        <v>2999</v>
      </c>
      <c r="V17" s="46">
        <v>2999</v>
      </c>
      <c r="W17" s="46">
        <v>2999</v>
      </c>
      <c r="X17" s="46">
        <v>2799</v>
      </c>
      <c r="Y17" s="46">
        <v>2499</v>
      </c>
      <c r="Z17" s="46">
        <v>2499</v>
      </c>
      <c r="AA17" s="46">
        <v>2499</v>
      </c>
      <c r="AB17" s="45"/>
      <c r="AC17" s="45"/>
      <c r="AD17" s="45"/>
      <c r="AE17" s="45"/>
      <c r="AF17" s="45"/>
      <c r="AG17" s="45"/>
      <c r="AH17" s="45"/>
      <c r="AI17" s="45"/>
      <c r="AJ17" s="45"/>
      <c r="AK17" s="45"/>
      <c r="AL17" s="45"/>
      <c r="AM17" s="45"/>
      <c r="AN17" s="45"/>
      <c r="AO17" s="45"/>
      <c r="AP17" s="45"/>
      <c r="AQ17" s="45"/>
      <c r="AR17" s="45"/>
      <c r="AS17" s="45"/>
      <c r="AT17" s="45"/>
      <c r="AU17" s="45"/>
      <c r="AV17" s="47"/>
      <c r="AW17" s="48" t="s">
        <v>67</v>
      </c>
      <c r="AX17" s="49" t="s">
        <v>68</v>
      </c>
      <c r="AY17" s="50">
        <f t="shared" si="0"/>
        <v>78.759799999999998</v>
      </c>
      <c r="AZ17" s="50">
        <f t="shared" si="1"/>
        <v>70.961799999999997</v>
      </c>
      <c r="BA17" s="51">
        <f t="shared" si="2"/>
        <v>40.159700000000001</v>
      </c>
    </row>
    <row r="18" spans="1:53" ht="22.5" customHeight="1">
      <c r="A18" s="41" t="s">
        <v>63</v>
      </c>
      <c r="B18" s="42" t="s">
        <v>64</v>
      </c>
      <c r="C18" s="43">
        <v>4014837</v>
      </c>
      <c r="D18" s="44" t="s">
        <v>74</v>
      </c>
      <c r="E18" s="44" t="s">
        <v>76</v>
      </c>
      <c r="F18" s="45">
        <v>6299</v>
      </c>
      <c r="G18" s="45">
        <v>2799</v>
      </c>
      <c r="H18" s="46">
        <v>3899</v>
      </c>
      <c r="I18" s="46">
        <v>3899</v>
      </c>
      <c r="J18" s="45">
        <v>3799</v>
      </c>
      <c r="K18" s="45">
        <v>3799</v>
      </c>
      <c r="L18" s="45">
        <v>3799</v>
      </c>
      <c r="M18" s="45">
        <v>3799</v>
      </c>
      <c r="N18" s="45">
        <v>3799</v>
      </c>
      <c r="O18" s="46">
        <v>3599</v>
      </c>
      <c r="P18" s="46">
        <v>3499</v>
      </c>
      <c r="Q18" s="46">
        <v>2999</v>
      </c>
      <c r="R18" s="46">
        <v>3599</v>
      </c>
      <c r="S18" s="46">
        <v>3499</v>
      </c>
      <c r="T18" s="46">
        <v>2999</v>
      </c>
      <c r="U18" s="46">
        <v>2999</v>
      </c>
      <c r="V18" s="46">
        <v>2999</v>
      </c>
      <c r="W18" s="46">
        <v>2999</v>
      </c>
      <c r="X18" s="46">
        <v>2799</v>
      </c>
      <c r="Y18" s="46">
        <v>2499</v>
      </c>
      <c r="Z18" s="46">
        <v>2499</v>
      </c>
      <c r="AA18" s="46">
        <v>2499</v>
      </c>
      <c r="AB18" s="45"/>
      <c r="AC18" s="45"/>
      <c r="AD18" s="45"/>
      <c r="AE18" s="45"/>
      <c r="AF18" s="45"/>
      <c r="AG18" s="45"/>
      <c r="AH18" s="45"/>
      <c r="AI18" s="45"/>
      <c r="AJ18" s="45"/>
      <c r="AK18" s="45"/>
      <c r="AL18" s="45"/>
      <c r="AM18" s="45"/>
      <c r="AN18" s="45"/>
      <c r="AO18" s="45"/>
      <c r="AP18" s="45"/>
      <c r="AQ18" s="45"/>
      <c r="AR18" s="45"/>
      <c r="AS18" s="45"/>
      <c r="AT18" s="45"/>
      <c r="AU18" s="45"/>
      <c r="AV18" s="47"/>
      <c r="AW18" s="48" t="s">
        <v>67</v>
      </c>
      <c r="AX18" s="49" t="s">
        <v>68</v>
      </c>
      <c r="AY18" s="50">
        <f t="shared" si="0"/>
        <v>78.759799999999998</v>
      </c>
      <c r="AZ18" s="50">
        <f t="shared" si="1"/>
        <v>70.961799999999997</v>
      </c>
      <c r="BA18" s="51">
        <f t="shared" si="2"/>
        <v>40.159700000000001</v>
      </c>
    </row>
    <row r="19" spans="1:53" ht="22.5" customHeight="1">
      <c r="A19" s="41" t="s">
        <v>63</v>
      </c>
      <c r="B19" s="42" t="s">
        <v>64</v>
      </c>
      <c r="C19" s="43">
        <v>4014833</v>
      </c>
      <c r="D19" s="44" t="s">
        <v>74</v>
      </c>
      <c r="E19" s="44" t="s">
        <v>77</v>
      </c>
      <c r="F19" s="45">
        <v>6299</v>
      </c>
      <c r="G19" s="45">
        <v>2799</v>
      </c>
      <c r="H19" s="46">
        <v>3899</v>
      </c>
      <c r="I19" s="46">
        <v>3899</v>
      </c>
      <c r="J19" s="45">
        <v>3799</v>
      </c>
      <c r="K19" s="45">
        <v>3799</v>
      </c>
      <c r="L19" s="45">
        <v>3799</v>
      </c>
      <c r="M19" s="45">
        <v>3799</v>
      </c>
      <c r="N19" s="45">
        <v>3799</v>
      </c>
      <c r="O19" s="46">
        <v>3599</v>
      </c>
      <c r="P19" s="46">
        <v>3499</v>
      </c>
      <c r="Q19" s="46">
        <v>2999</v>
      </c>
      <c r="R19" s="46">
        <v>3599</v>
      </c>
      <c r="S19" s="46">
        <v>3499</v>
      </c>
      <c r="T19" s="46">
        <v>2999</v>
      </c>
      <c r="U19" s="46">
        <v>2999</v>
      </c>
      <c r="V19" s="46">
        <v>2999</v>
      </c>
      <c r="W19" s="46">
        <v>2999</v>
      </c>
      <c r="X19" s="46">
        <v>2799</v>
      </c>
      <c r="Y19" s="46">
        <v>2499</v>
      </c>
      <c r="Z19" s="46">
        <v>2499</v>
      </c>
      <c r="AA19" s="46">
        <v>2499</v>
      </c>
      <c r="AB19" s="45"/>
      <c r="AC19" s="45"/>
      <c r="AD19" s="45"/>
      <c r="AE19" s="45"/>
      <c r="AF19" s="45"/>
      <c r="AG19" s="45"/>
      <c r="AH19" s="45"/>
      <c r="AI19" s="45"/>
      <c r="AJ19" s="45"/>
      <c r="AK19" s="45"/>
      <c r="AL19" s="45"/>
      <c r="AM19" s="45"/>
      <c r="AN19" s="45"/>
      <c r="AO19" s="45"/>
      <c r="AP19" s="45"/>
      <c r="AQ19" s="45"/>
      <c r="AR19" s="45"/>
      <c r="AS19" s="45"/>
      <c r="AT19" s="45"/>
      <c r="AU19" s="45"/>
      <c r="AV19" s="47"/>
      <c r="AW19" s="48" t="s">
        <v>67</v>
      </c>
      <c r="AX19" s="49" t="s">
        <v>68</v>
      </c>
      <c r="AY19" s="50">
        <f t="shared" si="0"/>
        <v>78.759799999999998</v>
      </c>
      <c r="AZ19" s="50">
        <f t="shared" si="1"/>
        <v>70.961799999999997</v>
      </c>
      <c r="BA19" s="51">
        <f t="shared" si="2"/>
        <v>40.159700000000001</v>
      </c>
    </row>
    <row r="20" spans="1:53" ht="22.5" customHeight="1">
      <c r="A20" s="41" t="s">
        <v>63</v>
      </c>
      <c r="B20" s="42" t="s">
        <v>64</v>
      </c>
      <c r="C20" s="43">
        <v>4014836</v>
      </c>
      <c r="D20" s="44" t="s">
        <v>74</v>
      </c>
      <c r="E20" s="44" t="s">
        <v>78</v>
      </c>
      <c r="F20" s="45">
        <v>6299</v>
      </c>
      <c r="G20" s="45">
        <v>2799</v>
      </c>
      <c r="H20" s="46">
        <v>3899</v>
      </c>
      <c r="I20" s="46">
        <v>3899</v>
      </c>
      <c r="J20" s="45">
        <v>3799</v>
      </c>
      <c r="K20" s="45">
        <v>3799</v>
      </c>
      <c r="L20" s="45">
        <v>3799</v>
      </c>
      <c r="M20" s="45">
        <v>3799</v>
      </c>
      <c r="N20" s="45">
        <v>3799</v>
      </c>
      <c r="O20" s="46">
        <v>3599</v>
      </c>
      <c r="P20" s="46">
        <v>3499</v>
      </c>
      <c r="Q20" s="46">
        <v>2999</v>
      </c>
      <c r="R20" s="46">
        <v>3599</v>
      </c>
      <c r="S20" s="46">
        <v>3499</v>
      </c>
      <c r="T20" s="46">
        <v>2999</v>
      </c>
      <c r="U20" s="46">
        <v>2999</v>
      </c>
      <c r="V20" s="46">
        <v>2999</v>
      </c>
      <c r="W20" s="46">
        <v>2999</v>
      </c>
      <c r="X20" s="46">
        <v>2799</v>
      </c>
      <c r="Y20" s="46">
        <v>2499</v>
      </c>
      <c r="Z20" s="46">
        <v>2499</v>
      </c>
      <c r="AA20" s="46">
        <v>2499</v>
      </c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  <c r="AM20" s="45"/>
      <c r="AN20" s="45"/>
      <c r="AO20" s="45"/>
      <c r="AP20" s="45"/>
      <c r="AQ20" s="45"/>
      <c r="AR20" s="45"/>
      <c r="AS20" s="45"/>
      <c r="AT20" s="45"/>
      <c r="AU20" s="45"/>
      <c r="AV20" s="47"/>
      <c r="AW20" s="48" t="s">
        <v>67</v>
      </c>
      <c r="AX20" s="49" t="s">
        <v>68</v>
      </c>
      <c r="AY20" s="50">
        <f t="shared" si="0"/>
        <v>78.759799999999998</v>
      </c>
      <c r="AZ20" s="50">
        <f t="shared" si="1"/>
        <v>70.961799999999997</v>
      </c>
      <c r="BA20" s="51">
        <f t="shared" si="2"/>
        <v>40.159700000000001</v>
      </c>
    </row>
    <row r="21" spans="1:53" ht="22.5" customHeight="1">
      <c r="A21" s="41" t="s">
        <v>63</v>
      </c>
      <c r="B21" s="42" t="s">
        <v>64</v>
      </c>
      <c r="C21" s="43">
        <v>4015185</v>
      </c>
      <c r="D21" s="44" t="s">
        <v>79</v>
      </c>
      <c r="E21" s="44" t="s">
        <v>80</v>
      </c>
      <c r="F21" s="45">
        <v>7299</v>
      </c>
      <c r="G21" s="45">
        <v>3899</v>
      </c>
      <c r="H21" s="46">
        <v>5299</v>
      </c>
      <c r="I21" s="46">
        <v>5299</v>
      </c>
      <c r="J21" s="45">
        <v>4199</v>
      </c>
      <c r="K21" s="45">
        <v>4199</v>
      </c>
      <c r="L21" s="45">
        <v>4199</v>
      </c>
      <c r="M21" s="45">
        <v>4199</v>
      </c>
      <c r="N21" s="45">
        <v>4199</v>
      </c>
      <c r="O21" s="46">
        <v>3899</v>
      </c>
      <c r="P21" s="46">
        <v>3799</v>
      </c>
      <c r="Q21" s="46">
        <v>3099</v>
      </c>
      <c r="R21" s="46">
        <v>3899</v>
      </c>
      <c r="S21" s="46">
        <v>3799</v>
      </c>
      <c r="T21" s="46">
        <v>3099</v>
      </c>
      <c r="U21" s="46">
        <v>3099</v>
      </c>
      <c r="V21" s="46">
        <v>3099</v>
      </c>
      <c r="W21" s="46">
        <v>3099</v>
      </c>
      <c r="X21" s="46">
        <v>2999</v>
      </c>
      <c r="Y21" s="46">
        <v>2499</v>
      </c>
      <c r="Z21" s="46">
        <v>2499</v>
      </c>
      <c r="AA21" s="46">
        <v>2499</v>
      </c>
      <c r="AB21" s="45"/>
      <c r="AC21" s="45"/>
      <c r="AD21" s="45"/>
      <c r="AE21" s="45"/>
      <c r="AF21" s="45"/>
      <c r="AG21" s="45"/>
      <c r="AH21" s="45"/>
      <c r="AI21" s="45"/>
      <c r="AJ21" s="45"/>
      <c r="AK21" s="45"/>
      <c r="AL21" s="45"/>
      <c r="AM21" s="45"/>
      <c r="AN21" s="45"/>
      <c r="AO21" s="45"/>
      <c r="AP21" s="45"/>
      <c r="AQ21" s="45"/>
      <c r="AR21" s="45"/>
      <c r="AS21" s="45"/>
      <c r="AT21" s="45"/>
      <c r="AU21" s="45"/>
      <c r="AV21" s="47"/>
      <c r="AW21" s="48" t="s">
        <v>67</v>
      </c>
      <c r="AX21" s="49" t="s">
        <v>68</v>
      </c>
      <c r="AY21" s="50">
        <f t="shared" si="0"/>
        <v>107.0398</v>
      </c>
      <c r="AZ21" s="50">
        <f t="shared" si="1"/>
        <v>96.441800000000001</v>
      </c>
      <c r="BA21" s="51">
        <f t="shared" si="2"/>
        <v>54.579700000000003</v>
      </c>
    </row>
    <row r="22" spans="1:53" ht="22.5" customHeight="1">
      <c r="A22" s="41" t="s">
        <v>63</v>
      </c>
      <c r="B22" s="42" t="s">
        <v>64</v>
      </c>
      <c r="C22" s="43">
        <v>4015262</v>
      </c>
      <c r="D22" s="44" t="s">
        <v>79</v>
      </c>
      <c r="E22" s="44" t="s">
        <v>81</v>
      </c>
      <c r="F22" s="45">
        <v>7299</v>
      </c>
      <c r="G22" s="45">
        <v>3899</v>
      </c>
      <c r="H22" s="46">
        <v>5299</v>
      </c>
      <c r="I22" s="46">
        <v>5299</v>
      </c>
      <c r="J22" s="45">
        <v>4199</v>
      </c>
      <c r="K22" s="45">
        <v>4199</v>
      </c>
      <c r="L22" s="45">
        <v>4199</v>
      </c>
      <c r="M22" s="45">
        <v>4199</v>
      </c>
      <c r="N22" s="45">
        <v>4199</v>
      </c>
      <c r="O22" s="46">
        <v>3899</v>
      </c>
      <c r="P22" s="46">
        <v>3799</v>
      </c>
      <c r="Q22" s="46">
        <v>3099</v>
      </c>
      <c r="R22" s="46">
        <v>3899</v>
      </c>
      <c r="S22" s="46">
        <v>3799</v>
      </c>
      <c r="T22" s="46">
        <v>3099</v>
      </c>
      <c r="U22" s="46">
        <v>3099</v>
      </c>
      <c r="V22" s="46">
        <v>3099</v>
      </c>
      <c r="W22" s="46">
        <v>3099</v>
      </c>
      <c r="X22" s="46">
        <v>2999</v>
      </c>
      <c r="Y22" s="46">
        <v>2499</v>
      </c>
      <c r="Z22" s="46">
        <v>2499</v>
      </c>
      <c r="AA22" s="46">
        <v>2499</v>
      </c>
      <c r="AB22" s="45"/>
      <c r="AC22" s="45"/>
      <c r="AD22" s="45"/>
      <c r="AE22" s="45"/>
      <c r="AF22" s="45"/>
      <c r="AG22" s="45"/>
      <c r="AH22" s="45"/>
      <c r="AI22" s="45"/>
      <c r="AJ22" s="45"/>
      <c r="AK22" s="45"/>
      <c r="AL22" s="45"/>
      <c r="AM22" s="45"/>
      <c r="AN22" s="45"/>
      <c r="AO22" s="45"/>
      <c r="AP22" s="45"/>
      <c r="AQ22" s="45"/>
      <c r="AR22" s="45"/>
      <c r="AS22" s="45"/>
      <c r="AT22" s="45"/>
      <c r="AU22" s="45"/>
      <c r="AV22" s="47"/>
      <c r="AW22" s="48" t="s">
        <v>67</v>
      </c>
      <c r="AX22" s="49" t="s">
        <v>68</v>
      </c>
      <c r="AY22" s="50">
        <f t="shared" si="0"/>
        <v>107.0398</v>
      </c>
      <c r="AZ22" s="50">
        <f t="shared" si="1"/>
        <v>96.441800000000001</v>
      </c>
      <c r="BA22" s="51">
        <f t="shared" si="2"/>
        <v>54.579700000000003</v>
      </c>
    </row>
    <row r="23" spans="1:53" ht="22.5" customHeight="1">
      <c r="A23" s="41" t="s">
        <v>63</v>
      </c>
      <c r="B23" s="42" t="s">
        <v>64</v>
      </c>
      <c r="C23" s="43">
        <v>4015180</v>
      </c>
      <c r="D23" s="44" t="s">
        <v>82</v>
      </c>
      <c r="E23" s="44" t="s">
        <v>83</v>
      </c>
      <c r="F23" s="45">
        <v>7799</v>
      </c>
      <c r="G23" s="45">
        <v>2899</v>
      </c>
      <c r="H23" s="46">
        <v>4399</v>
      </c>
      <c r="I23" s="46">
        <v>4399</v>
      </c>
      <c r="J23" s="45">
        <v>4399</v>
      </c>
      <c r="K23" s="45">
        <v>4399</v>
      </c>
      <c r="L23" s="45">
        <v>4399</v>
      </c>
      <c r="M23" s="45">
        <v>4399</v>
      </c>
      <c r="N23" s="45">
        <v>4399</v>
      </c>
      <c r="O23" s="46">
        <v>4299</v>
      </c>
      <c r="P23" s="46">
        <v>4199</v>
      </c>
      <c r="Q23" s="46">
        <v>3499</v>
      </c>
      <c r="R23" s="46">
        <v>4299</v>
      </c>
      <c r="S23" s="46">
        <v>4199</v>
      </c>
      <c r="T23" s="46">
        <v>3499</v>
      </c>
      <c r="U23" s="46">
        <v>3499</v>
      </c>
      <c r="V23" s="46">
        <v>3499</v>
      </c>
      <c r="W23" s="46">
        <v>3499</v>
      </c>
      <c r="X23" s="46">
        <v>3399</v>
      </c>
      <c r="Y23" s="46">
        <v>2499</v>
      </c>
      <c r="Z23" s="46">
        <v>2499</v>
      </c>
      <c r="AA23" s="46">
        <v>2449</v>
      </c>
      <c r="AB23" s="45">
        <v>4399</v>
      </c>
      <c r="AC23" s="45">
        <v>4399</v>
      </c>
      <c r="AD23" s="45">
        <v>4399</v>
      </c>
      <c r="AE23" s="45">
        <v>4199</v>
      </c>
      <c r="AF23" s="45">
        <v>4199</v>
      </c>
      <c r="AG23" s="45">
        <v>4199</v>
      </c>
      <c r="AH23" s="45">
        <v>4199</v>
      </c>
      <c r="AI23" s="45">
        <v>3499</v>
      </c>
      <c r="AJ23" s="45">
        <v>3499</v>
      </c>
      <c r="AK23" s="45">
        <v>3499</v>
      </c>
      <c r="AL23" s="45">
        <v>2499</v>
      </c>
      <c r="AM23" s="45"/>
      <c r="AN23" s="45"/>
      <c r="AO23" s="45"/>
      <c r="AP23" s="45"/>
      <c r="AQ23" s="45"/>
      <c r="AR23" s="45"/>
      <c r="AS23" s="45"/>
      <c r="AT23" s="45"/>
      <c r="AU23" s="45"/>
      <c r="AV23" s="47"/>
      <c r="AW23" s="48" t="s">
        <v>67</v>
      </c>
      <c r="AX23" s="49" t="s">
        <v>68</v>
      </c>
      <c r="AY23" s="50">
        <f t="shared" si="0"/>
        <v>88.859799999999993</v>
      </c>
      <c r="AZ23" s="50">
        <f t="shared" si="1"/>
        <v>80.061800000000005</v>
      </c>
      <c r="BA23" s="51">
        <f t="shared" si="2"/>
        <v>45.309699999999999</v>
      </c>
    </row>
    <row r="24" spans="1:53" ht="22.5" customHeight="1">
      <c r="A24" s="41" t="s">
        <v>63</v>
      </c>
      <c r="B24" s="42" t="s">
        <v>64</v>
      </c>
      <c r="C24" s="43">
        <v>4015186</v>
      </c>
      <c r="D24" s="44" t="s">
        <v>82</v>
      </c>
      <c r="E24" s="44" t="s">
        <v>84</v>
      </c>
      <c r="F24" s="45">
        <v>7799</v>
      </c>
      <c r="G24" s="45">
        <v>2899</v>
      </c>
      <c r="H24" s="46">
        <v>4399</v>
      </c>
      <c r="I24" s="46">
        <v>4399</v>
      </c>
      <c r="J24" s="45">
        <v>4399</v>
      </c>
      <c r="K24" s="45">
        <v>4399</v>
      </c>
      <c r="L24" s="45">
        <v>4399</v>
      </c>
      <c r="M24" s="45">
        <v>4399</v>
      </c>
      <c r="N24" s="45">
        <v>4399</v>
      </c>
      <c r="O24" s="46">
        <v>4299</v>
      </c>
      <c r="P24" s="46">
        <v>4199</v>
      </c>
      <c r="Q24" s="46">
        <v>3499</v>
      </c>
      <c r="R24" s="46">
        <v>4299</v>
      </c>
      <c r="S24" s="46">
        <v>4199</v>
      </c>
      <c r="T24" s="46">
        <v>3499</v>
      </c>
      <c r="U24" s="46">
        <v>3499</v>
      </c>
      <c r="V24" s="46">
        <v>3499</v>
      </c>
      <c r="W24" s="46">
        <v>3499</v>
      </c>
      <c r="X24" s="46">
        <v>3399</v>
      </c>
      <c r="Y24" s="46">
        <v>2499</v>
      </c>
      <c r="Z24" s="46">
        <v>2499</v>
      </c>
      <c r="AA24" s="46">
        <v>2449</v>
      </c>
      <c r="AB24" s="45">
        <v>4399</v>
      </c>
      <c r="AC24" s="45">
        <v>4399</v>
      </c>
      <c r="AD24" s="45">
        <v>4399</v>
      </c>
      <c r="AE24" s="45">
        <v>4199</v>
      </c>
      <c r="AF24" s="45">
        <v>4199</v>
      </c>
      <c r="AG24" s="45">
        <v>4199</v>
      </c>
      <c r="AH24" s="45">
        <v>4199</v>
      </c>
      <c r="AI24" s="45">
        <v>3499</v>
      </c>
      <c r="AJ24" s="45">
        <v>3499</v>
      </c>
      <c r="AK24" s="45">
        <v>3499</v>
      </c>
      <c r="AL24" s="45">
        <v>2499</v>
      </c>
      <c r="AM24" s="45"/>
      <c r="AN24" s="45"/>
      <c r="AO24" s="45"/>
      <c r="AP24" s="45"/>
      <c r="AQ24" s="45"/>
      <c r="AR24" s="45"/>
      <c r="AS24" s="45"/>
      <c r="AT24" s="45"/>
      <c r="AU24" s="45"/>
      <c r="AV24" s="47"/>
      <c r="AW24" s="48" t="s">
        <v>67</v>
      </c>
      <c r="AX24" s="49" t="s">
        <v>68</v>
      </c>
      <c r="AY24" s="50">
        <f t="shared" si="0"/>
        <v>88.859799999999993</v>
      </c>
      <c r="AZ24" s="50">
        <f t="shared" si="1"/>
        <v>80.061800000000005</v>
      </c>
      <c r="BA24" s="51">
        <f t="shared" si="2"/>
        <v>45.309699999999999</v>
      </c>
    </row>
    <row r="25" spans="1:53" ht="22.5" customHeight="1">
      <c r="A25" s="41" t="s">
        <v>63</v>
      </c>
      <c r="B25" s="42" t="s">
        <v>64</v>
      </c>
      <c r="C25" s="43">
        <v>4015267</v>
      </c>
      <c r="D25" s="44" t="s">
        <v>82</v>
      </c>
      <c r="E25" s="44" t="s">
        <v>85</v>
      </c>
      <c r="F25" s="45">
        <v>7799</v>
      </c>
      <c r="G25" s="45">
        <v>2899</v>
      </c>
      <c r="H25" s="46">
        <v>4399</v>
      </c>
      <c r="I25" s="46">
        <v>4399</v>
      </c>
      <c r="J25" s="45">
        <v>4399</v>
      </c>
      <c r="K25" s="45">
        <v>4399</v>
      </c>
      <c r="L25" s="45">
        <v>4399</v>
      </c>
      <c r="M25" s="45">
        <v>4399</v>
      </c>
      <c r="N25" s="45">
        <v>4399</v>
      </c>
      <c r="O25" s="46">
        <v>4299</v>
      </c>
      <c r="P25" s="46">
        <v>4199</v>
      </c>
      <c r="Q25" s="46">
        <v>3499</v>
      </c>
      <c r="R25" s="46">
        <v>4299</v>
      </c>
      <c r="S25" s="46">
        <v>4199</v>
      </c>
      <c r="T25" s="46">
        <v>3499</v>
      </c>
      <c r="U25" s="46">
        <v>3499</v>
      </c>
      <c r="V25" s="46">
        <v>3499</v>
      </c>
      <c r="W25" s="46">
        <v>3499</v>
      </c>
      <c r="X25" s="46">
        <v>3399</v>
      </c>
      <c r="Y25" s="46">
        <v>2499</v>
      </c>
      <c r="Z25" s="46">
        <v>2499</v>
      </c>
      <c r="AA25" s="46">
        <v>2449</v>
      </c>
      <c r="AB25" s="45">
        <v>4399</v>
      </c>
      <c r="AC25" s="45">
        <v>4399</v>
      </c>
      <c r="AD25" s="45">
        <v>4399</v>
      </c>
      <c r="AE25" s="45">
        <v>4199</v>
      </c>
      <c r="AF25" s="45">
        <v>4199</v>
      </c>
      <c r="AG25" s="45">
        <v>4199</v>
      </c>
      <c r="AH25" s="45">
        <v>4199</v>
      </c>
      <c r="AI25" s="45">
        <v>3499</v>
      </c>
      <c r="AJ25" s="45">
        <v>3499</v>
      </c>
      <c r="AK25" s="45">
        <v>3499</v>
      </c>
      <c r="AL25" s="45">
        <v>2499</v>
      </c>
      <c r="AM25" s="45"/>
      <c r="AN25" s="45"/>
      <c r="AO25" s="45"/>
      <c r="AP25" s="45"/>
      <c r="AQ25" s="45"/>
      <c r="AR25" s="45"/>
      <c r="AS25" s="45"/>
      <c r="AT25" s="45"/>
      <c r="AU25" s="45"/>
      <c r="AV25" s="47"/>
      <c r="AW25" s="48" t="s">
        <v>67</v>
      </c>
      <c r="AX25" s="49" t="s">
        <v>68</v>
      </c>
      <c r="AY25" s="50">
        <f t="shared" si="0"/>
        <v>88.859799999999993</v>
      </c>
      <c r="AZ25" s="50">
        <f t="shared" si="1"/>
        <v>80.061800000000005</v>
      </c>
      <c r="BA25" s="51">
        <f t="shared" si="2"/>
        <v>45.309699999999999</v>
      </c>
    </row>
    <row r="26" spans="1:53" ht="22.5" customHeight="1">
      <c r="A26" s="41" t="s">
        <v>63</v>
      </c>
      <c r="B26" s="42" t="s">
        <v>64</v>
      </c>
      <c r="C26" s="43">
        <v>4015268</v>
      </c>
      <c r="D26" s="44" t="s">
        <v>82</v>
      </c>
      <c r="E26" s="44" t="s">
        <v>86</v>
      </c>
      <c r="F26" s="45">
        <v>7799</v>
      </c>
      <c r="G26" s="45">
        <v>2899</v>
      </c>
      <c r="H26" s="46">
        <v>4399</v>
      </c>
      <c r="I26" s="46">
        <v>4399</v>
      </c>
      <c r="J26" s="45">
        <v>4399</v>
      </c>
      <c r="K26" s="45">
        <v>4399</v>
      </c>
      <c r="L26" s="45">
        <v>4399</v>
      </c>
      <c r="M26" s="45">
        <v>4399</v>
      </c>
      <c r="N26" s="45">
        <v>4399</v>
      </c>
      <c r="O26" s="46">
        <v>4299</v>
      </c>
      <c r="P26" s="46">
        <v>4199</v>
      </c>
      <c r="Q26" s="46">
        <v>3499</v>
      </c>
      <c r="R26" s="46">
        <v>4299</v>
      </c>
      <c r="S26" s="46">
        <v>4199</v>
      </c>
      <c r="T26" s="46">
        <v>3499</v>
      </c>
      <c r="U26" s="46">
        <v>3499</v>
      </c>
      <c r="V26" s="46">
        <v>3499</v>
      </c>
      <c r="W26" s="46">
        <v>3499</v>
      </c>
      <c r="X26" s="46">
        <v>3399</v>
      </c>
      <c r="Y26" s="46">
        <v>2499</v>
      </c>
      <c r="Z26" s="46">
        <v>2499</v>
      </c>
      <c r="AA26" s="46">
        <v>2449</v>
      </c>
      <c r="AB26" s="45">
        <v>4399</v>
      </c>
      <c r="AC26" s="45">
        <v>4399</v>
      </c>
      <c r="AD26" s="45">
        <v>4399</v>
      </c>
      <c r="AE26" s="45">
        <v>4199</v>
      </c>
      <c r="AF26" s="45">
        <v>4199</v>
      </c>
      <c r="AG26" s="45">
        <v>4199</v>
      </c>
      <c r="AH26" s="45">
        <v>4199</v>
      </c>
      <c r="AI26" s="45">
        <v>3499</v>
      </c>
      <c r="AJ26" s="45">
        <v>3499</v>
      </c>
      <c r="AK26" s="45">
        <v>3499</v>
      </c>
      <c r="AL26" s="45">
        <v>2499</v>
      </c>
      <c r="AM26" s="45"/>
      <c r="AN26" s="45"/>
      <c r="AO26" s="45"/>
      <c r="AP26" s="45"/>
      <c r="AQ26" s="45"/>
      <c r="AR26" s="45"/>
      <c r="AS26" s="45"/>
      <c r="AT26" s="45"/>
      <c r="AU26" s="45"/>
      <c r="AV26" s="47"/>
      <c r="AW26" s="48" t="s">
        <v>67</v>
      </c>
      <c r="AX26" s="49" t="s">
        <v>68</v>
      </c>
      <c r="AY26" s="50">
        <f t="shared" si="0"/>
        <v>88.859799999999993</v>
      </c>
      <c r="AZ26" s="50">
        <f t="shared" si="1"/>
        <v>80.061800000000005</v>
      </c>
      <c r="BA26" s="51">
        <f t="shared" si="2"/>
        <v>45.309699999999999</v>
      </c>
    </row>
    <row r="27" spans="1:53" ht="22.5" customHeight="1">
      <c r="A27" s="41" t="s">
        <v>63</v>
      </c>
      <c r="B27" s="42" t="s">
        <v>64</v>
      </c>
      <c r="C27" s="43">
        <v>4015179</v>
      </c>
      <c r="D27" s="44" t="s">
        <v>87</v>
      </c>
      <c r="E27" s="44" t="s">
        <v>88</v>
      </c>
      <c r="F27" s="45">
        <v>7299</v>
      </c>
      <c r="G27" s="45">
        <v>3899</v>
      </c>
      <c r="H27" s="46">
        <v>4599</v>
      </c>
      <c r="I27" s="46">
        <v>4599</v>
      </c>
      <c r="J27" s="45">
        <v>4499</v>
      </c>
      <c r="K27" s="45">
        <v>4499</v>
      </c>
      <c r="L27" s="45">
        <v>4499</v>
      </c>
      <c r="M27" s="45">
        <v>4499</v>
      </c>
      <c r="N27" s="45">
        <v>4499</v>
      </c>
      <c r="O27" s="46">
        <v>4399</v>
      </c>
      <c r="P27" s="46">
        <v>4299</v>
      </c>
      <c r="Q27" s="46">
        <v>3499</v>
      </c>
      <c r="R27" s="46">
        <v>4399</v>
      </c>
      <c r="S27" s="46">
        <v>4299</v>
      </c>
      <c r="T27" s="46">
        <v>3499</v>
      </c>
      <c r="U27" s="46">
        <v>3499</v>
      </c>
      <c r="V27" s="46">
        <v>3499</v>
      </c>
      <c r="W27" s="46">
        <v>3499</v>
      </c>
      <c r="X27" s="46">
        <v>3399</v>
      </c>
      <c r="Y27" s="46">
        <v>2899</v>
      </c>
      <c r="Z27" s="46">
        <v>2899</v>
      </c>
      <c r="AA27" s="46">
        <v>2899</v>
      </c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  <c r="AM27" s="45"/>
      <c r="AN27" s="45"/>
      <c r="AO27" s="45"/>
      <c r="AP27" s="45"/>
      <c r="AQ27" s="45"/>
      <c r="AR27" s="45"/>
      <c r="AS27" s="45"/>
      <c r="AT27" s="45"/>
      <c r="AU27" s="45"/>
      <c r="AV27" s="47"/>
      <c r="AW27" s="48" t="s">
        <v>67</v>
      </c>
      <c r="AX27" s="49" t="s">
        <v>68</v>
      </c>
      <c r="AY27" s="50">
        <f t="shared" si="0"/>
        <v>92.899799999999999</v>
      </c>
      <c r="AZ27" s="50">
        <f t="shared" si="1"/>
        <v>83.701800000000006</v>
      </c>
      <c r="BA27" s="51">
        <f t="shared" si="2"/>
        <v>47.369700000000002</v>
      </c>
    </row>
    <row r="28" spans="1:53" ht="22.5" customHeight="1">
      <c r="A28" s="41" t="s">
        <v>63</v>
      </c>
      <c r="B28" s="42" t="s">
        <v>64</v>
      </c>
      <c r="C28" s="43">
        <v>4015187</v>
      </c>
      <c r="D28" s="44" t="s">
        <v>87</v>
      </c>
      <c r="E28" s="44" t="s">
        <v>89</v>
      </c>
      <c r="F28" s="45">
        <v>7299</v>
      </c>
      <c r="G28" s="45">
        <v>3899</v>
      </c>
      <c r="H28" s="46">
        <v>4599</v>
      </c>
      <c r="I28" s="46">
        <v>4599</v>
      </c>
      <c r="J28" s="45">
        <v>4499</v>
      </c>
      <c r="K28" s="45">
        <v>4499</v>
      </c>
      <c r="L28" s="45">
        <v>4499</v>
      </c>
      <c r="M28" s="45">
        <v>4499</v>
      </c>
      <c r="N28" s="45">
        <v>4499</v>
      </c>
      <c r="O28" s="46">
        <v>4399</v>
      </c>
      <c r="P28" s="46">
        <v>4299</v>
      </c>
      <c r="Q28" s="46">
        <v>3499</v>
      </c>
      <c r="R28" s="46">
        <v>4399</v>
      </c>
      <c r="S28" s="46">
        <v>4299</v>
      </c>
      <c r="T28" s="46">
        <v>3499</v>
      </c>
      <c r="U28" s="46">
        <v>3499</v>
      </c>
      <c r="V28" s="46">
        <v>3499</v>
      </c>
      <c r="W28" s="46">
        <v>3499</v>
      </c>
      <c r="X28" s="46">
        <v>3399</v>
      </c>
      <c r="Y28" s="46">
        <v>2899</v>
      </c>
      <c r="Z28" s="46">
        <v>2899</v>
      </c>
      <c r="AA28" s="46">
        <v>2899</v>
      </c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  <c r="AN28" s="45"/>
      <c r="AO28" s="45"/>
      <c r="AP28" s="45"/>
      <c r="AQ28" s="45"/>
      <c r="AR28" s="45"/>
      <c r="AS28" s="45"/>
      <c r="AT28" s="45"/>
      <c r="AU28" s="45"/>
      <c r="AV28" s="47"/>
      <c r="AW28" s="48" t="s">
        <v>67</v>
      </c>
      <c r="AX28" s="49" t="s">
        <v>68</v>
      </c>
      <c r="AY28" s="50">
        <f t="shared" si="0"/>
        <v>92.899799999999999</v>
      </c>
      <c r="AZ28" s="50">
        <f t="shared" si="1"/>
        <v>83.701800000000006</v>
      </c>
      <c r="BA28" s="51">
        <f t="shared" si="2"/>
        <v>47.369700000000002</v>
      </c>
    </row>
    <row r="29" spans="1:53" ht="22.5" customHeight="1">
      <c r="A29" s="41" t="s">
        <v>63</v>
      </c>
      <c r="B29" s="42" t="s">
        <v>64</v>
      </c>
      <c r="C29" s="43">
        <v>4015711</v>
      </c>
      <c r="D29" s="44" t="s">
        <v>87</v>
      </c>
      <c r="E29" s="44" t="s">
        <v>90</v>
      </c>
      <c r="F29" s="45">
        <v>7299</v>
      </c>
      <c r="G29" s="45">
        <v>3899</v>
      </c>
      <c r="H29" s="46">
        <v>4599</v>
      </c>
      <c r="I29" s="46">
        <v>4599</v>
      </c>
      <c r="J29" s="45">
        <v>4499</v>
      </c>
      <c r="K29" s="45">
        <v>4499</v>
      </c>
      <c r="L29" s="45">
        <v>4499</v>
      </c>
      <c r="M29" s="45">
        <v>4499</v>
      </c>
      <c r="N29" s="45">
        <v>4499</v>
      </c>
      <c r="O29" s="46">
        <v>4399</v>
      </c>
      <c r="P29" s="46">
        <v>4299</v>
      </c>
      <c r="Q29" s="46">
        <v>3499</v>
      </c>
      <c r="R29" s="46">
        <v>4399</v>
      </c>
      <c r="S29" s="46">
        <v>4299</v>
      </c>
      <c r="T29" s="46">
        <v>3499</v>
      </c>
      <c r="U29" s="46">
        <v>3499</v>
      </c>
      <c r="V29" s="46">
        <v>3499</v>
      </c>
      <c r="W29" s="46">
        <v>3499</v>
      </c>
      <c r="X29" s="46">
        <v>3399</v>
      </c>
      <c r="Y29" s="46">
        <v>2899</v>
      </c>
      <c r="Z29" s="46">
        <v>2899</v>
      </c>
      <c r="AA29" s="46">
        <v>2899</v>
      </c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  <c r="AM29" s="45"/>
      <c r="AN29" s="45"/>
      <c r="AO29" s="45"/>
      <c r="AP29" s="45"/>
      <c r="AQ29" s="45"/>
      <c r="AR29" s="45"/>
      <c r="AS29" s="45"/>
      <c r="AT29" s="45"/>
      <c r="AU29" s="45"/>
      <c r="AV29" s="47"/>
      <c r="AW29" s="48" t="s">
        <v>67</v>
      </c>
      <c r="AX29" s="49" t="s">
        <v>68</v>
      </c>
      <c r="AY29" s="50">
        <f t="shared" si="0"/>
        <v>92.899799999999999</v>
      </c>
      <c r="AZ29" s="50">
        <f t="shared" si="1"/>
        <v>83.701800000000006</v>
      </c>
      <c r="BA29" s="51">
        <f t="shared" si="2"/>
        <v>47.369700000000002</v>
      </c>
    </row>
    <row r="30" spans="1:53" ht="22.5" customHeight="1">
      <c r="A30" s="41" t="s">
        <v>63</v>
      </c>
      <c r="B30" s="42" t="s">
        <v>64</v>
      </c>
      <c r="C30" s="43">
        <v>4015162</v>
      </c>
      <c r="D30" s="44" t="s">
        <v>91</v>
      </c>
      <c r="E30" s="44" t="s">
        <v>92</v>
      </c>
      <c r="F30" s="45">
        <v>11499</v>
      </c>
      <c r="G30" s="45">
        <v>6899</v>
      </c>
      <c r="H30" s="46">
        <v>7999</v>
      </c>
      <c r="I30" s="46">
        <v>7999</v>
      </c>
      <c r="J30" s="45">
        <v>6399</v>
      </c>
      <c r="K30" s="45">
        <v>6399</v>
      </c>
      <c r="L30" s="45">
        <v>6399</v>
      </c>
      <c r="M30" s="45">
        <v>6399</v>
      </c>
      <c r="N30" s="45">
        <v>6399</v>
      </c>
      <c r="O30" s="46">
        <v>6299</v>
      </c>
      <c r="P30" s="46">
        <v>6199</v>
      </c>
      <c r="Q30" s="46">
        <v>5999</v>
      </c>
      <c r="R30" s="46">
        <v>6299</v>
      </c>
      <c r="S30" s="46">
        <v>6199</v>
      </c>
      <c r="T30" s="46">
        <v>5999</v>
      </c>
      <c r="U30" s="46">
        <v>5999</v>
      </c>
      <c r="V30" s="46">
        <v>5999</v>
      </c>
      <c r="W30" s="46">
        <v>5999</v>
      </c>
      <c r="X30" s="46">
        <v>5899</v>
      </c>
      <c r="Y30" s="46">
        <v>5499</v>
      </c>
      <c r="Z30" s="46">
        <v>5499</v>
      </c>
      <c r="AA30" s="46">
        <v>5499</v>
      </c>
      <c r="AB30" s="45"/>
      <c r="AC30" s="45"/>
      <c r="AD30" s="45"/>
      <c r="AE30" s="45"/>
      <c r="AF30" s="45"/>
      <c r="AG30" s="45"/>
      <c r="AH30" s="45"/>
      <c r="AI30" s="45"/>
      <c r="AJ30" s="45"/>
      <c r="AK30" s="45"/>
      <c r="AL30" s="45"/>
      <c r="AM30" s="45"/>
      <c r="AN30" s="45"/>
      <c r="AO30" s="45"/>
      <c r="AP30" s="45"/>
      <c r="AQ30" s="45"/>
      <c r="AR30" s="45"/>
      <c r="AS30" s="45"/>
      <c r="AT30" s="45"/>
      <c r="AU30" s="45"/>
      <c r="AV30" s="47"/>
      <c r="AW30" s="48" t="s">
        <v>67</v>
      </c>
      <c r="AX30" s="49" t="s">
        <v>68</v>
      </c>
      <c r="AY30" s="50">
        <f t="shared" si="0"/>
        <v>161.57980000000001</v>
      </c>
      <c r="AZ30" s="50">
        <f t="shared" si="1"/>
        <v>145.58180000000002</v>
      </c>
      <c r="BA30" s="51">
        <f t="shared" si="2"/>
        <v>82.389700000000005</v>
      </c>
    </row>
    <row r="31" spans="1:53" ht="22.5" customHeight="1">
      <c r="A31" s="41" t="s">
        <v>63</v>
      </c>
      <c r="B31" s="42" t="s">
        <v>64</v>
      </c>
      <c r="C31" s="43">
        <v>4015112</v>
      </c>
      <c r="D31" s="44" t="s">
        <v>93</v>
      </c>
      <c r="E31" s="44" t="s">
        <v>94</v>
      </c>
      <c r="F31" s="45">
        <v>10499</v>
      </c>
      <c r="G31" s="45">
        <v>5899</v>
      </c>
      <c r="H31" s="46">
        <v>6999</v>
      </c>
      <c r="I31" s="46">
        <v>6999</v>
      </c>
      <c r="J31" s="45">
        <v>5899</v>
      </c>
      <c r="K31" s="45">
        <v>5899</v>
      </c>
      <c r="L31" s="45">
        <v>5899</v>
      </c>
      <c r="M31" s="45">
        <v>5899</v>
      </c>
      <c r="N31" s="45">
        <v>5899</v>
      </c>
      <c r="O31" s="46">
        <v>5799</v>
      </c>
      <c r="P31" s="46">
        <v>5699</v>
      </c>
      <c r="Q31" s="46">
        <v>5499</v>
      </c>
      <c r="R31" s="46">
        <v>5799</v>
      </c>
      <c r="S31" s="46">
        <v>5699</v>
      </c>
      <c r="T31" s="46">
        <v>5499</v>
      </c>
      <c r="U31" s="46">
        <v>5499</v>
      </c>
      <c r="V31" s="46">
        <v>5499</v>
      </c>
      <c r="W31" s="46">
        <v>5499</v>
      </c>
      <c r="X31" s="46">
        <v>5399</v>
      </c>
      <c r="Y31" s="46">
        <v>4999</v>
      </c>
      <c r="Z31" s="46">
        <v>4999</v>
      </c>
      <c r="AA31" s="46">
        <v>4999</v>
      </c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  <c r="AM31" s="45"/>
      <c r="AN31" s="45"/>
      <c r="AO31" s="45"/>
      <c r="AP31" s="45"/>
      <c r="AQ31" s="45"/>
      <c r="AR31" s="45"/>
      <c r="AS31" s="45"/>
      <c r="AT31" s="45"/>
      <c r="AU31" s="45"/>
      <c r="AV31" s="47"/>
      <c r="AW31" s="48" t="s">
        <v>67</v>
      </c>
      <c r="AX31" s="49" t="s">
        <v>68</v>
      </c>
      <c r="AY31" s="50">
        <f t="shared" si="0"/>
        <v>141.37979999999999</v>
      </c>
      <c r="AZ31" s="50">
        <f t="shared" si="1"/>
        <v>127.38180000000001</v>
      </c>
      <c r="BA31" s="51">
        <f t="shared" si="2"/>
        <v>72.089700000000008</v>
      </c>
    </row>
    <row r="32" spans="1:53" ht="22.5" customHeight="1">
      <c r="A32" s="41" t="s">
        <v>63</v>
      </c>
      <c r="B32" s="42" t="s">
        <v>64</v>
      </c>
      <c r="C32" s="43">
        <v>4015116</v>
      </c>
      <c r="D32" s="44" t="s">
        <v>93</v>
      </c>
      <c r="E32" s="44" t="s">
        <v>95</v>
      </c>
      <c r="F32" s="45">
        <v>10499</v>
      </c>
      <c r="G32" s="45">
        <v>5899</v>
      </c>
      <c r="H32" s="46">
        <v>6999</v>
      </c>
      <c r="I32" s="46">
        <v>6999</v>
      </c>
      <c r="J32" s="45">
        <v>5899</v>
      </c>
      <c r="K32" s="45">
        <v>5899</v>
      </c>
      <c r="L32" s="45">
        <v>5899</v>
      </c>
      <c r="M32" s="45">
        <v>5899</v>
      </c>
      <c r="N32" s="45">
        <v>5899</v>
      </c>
      <c r="O32" s="46">
        <v>5799</v>
      </c>
      <c r="P32" s="46">
        <v>5699</v>
      </c>
      <c r="Q32" s="46">
        <v>5499</v>
      </c>
      <c r="R32" s="46">
        <v>5799</v>
      </c>
      <c r="S32" s="46">
        <v>5699</v>
      </c>
      <c r="T32" s="46">
        <v>5499</v>
      </c>
      <c r="U32" s="46">
        <v>5499</v>
      </c>
      <c r="V32" s="46">
        <v>5499</v>
      </c>
      <c r="W32" s="46">
        <v>5499</v>
      </c>
      <c r="X32" s="46">
        <v>5399</v>
      </c>
      <c r="Y32" s="46">
        <v>4999</v>
      </c>
      <c r="Z32" s="46">
        <v>4999</v>
      </c>
      <c r="AA32" s="46">
        <v>4999</v>
      </c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  <c r="AN32" s="45"/>
      <c r="AO32" s="45"/>
      <c r="AP32" s="45"/>
      <c r="AQ32" s="45"/>
      <c r="AR32" s="45"/>
      <c r="AS32" s="45"/>
      <c r="AT32" s="45"/>
      <c r="AU32" s="45"/>
      <c r="AV32" s="47"/>
      <c r="AW32" s="48" t="s">
        <v>67</v>
      </c>
      <c r="AX32" s="49" t="s">
        <v>68</v>
      </c>
      <c r="AY32" s="50">
        <f t="shared" si="0"/>
        <v>141.37979999999999</v>
      </c>
      <c r="AZ32" s="50">
        <f t="shared" si="1"/>
        <v>127.38180000000001</v>
      </c>
      <c r="BA32" s="51">
        <f t="shared" si="2"/>
        <v>72.089700000000008</v>
      </c>
    </row>
    <row r="33" spans="1:53" ht="22.5" customHeight="1">
      <c r="A33" s="41" t="s">
        <v>63</v>
      </c>
      <c r="B33" s="42" t="s">
        <v>64</v>
      </c>
      <c r="C33" s="43">
        <v>4015742</v>
      </c>
      <c r="D33" s="44" t="s">
        <v>96</v>
      </c>
      <c r="E33" s="44" t="s">
        <v>97</v>
      </c>
      <c r="F33" s="45">
        <v>7299</v>
      </c>
      <c r="G33" s="45">
        <v>5399</v>
      </c>
      <c r="H33" s="46">
        <v>5699</v>
      </c>
      <c r="I33" s="46">
        <v>5699</v>
      </c>
      <c r="J33" s="45">
        <v>4999</v>
      </c>
      <c r="K33" s="45">
        <v>4899</v>
      </c>
      <c r="L33" s="45">
        <v>4899</v>
      </c>
      <c r="M33" s="45">
        <v>4999</v>
      </c>
      <c r="N33" s="45">
        <v>4899</v>
      </c>
      <c r="O33" s="46">
        <v>4799</v>
      </c>
      <c r="P33" s="46">
        <v>4699</v>
      </c>
      <c r="Q33" s="46">
        <v>4499</v>
      </c>
      <c r="R33" s="46">
        <v>4799</v>
      </c>
      <c r="S33" s="46">
        <v>4699</v>
      </c>
      <c r="T33" s="46">
        <v>4499</v>
      </c>
      <c r="U33" s="46">
        <v>4399</v>
      </c>
      <c r="V33" s="46">
        <v>4399</v>
      </c>
      <c r="W33" s="46">
        <v>4299</v>
      </c>
      <c r="X33" s="46">
        <v>4199</v>
      </c>
      <c r="Y33" s="46">
        <v>3499</v>
      </c>
      <c r="Z33" s="46">
        <v>3499</v>
      </c>
      <c r="AA33" s="46">
        <v>3499</v>
      </c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  <c r="AM33" s="45"/>
      <c r="AN33" s="45"/>
      <c r="AO33" s="45"/>
      <c r="AP33" s="45"/>
      <c r="AQ33" s="45"/>
      <c r="AR33" s="45"/>
      <c r="AS33" s="45"/>
      <c r="AT33" s="45"/>
      <c r="AU33" s="45"/>
      <c r="AV33" s="47"/>
      <c r="AW33" s="48" t="s">
        <v>67</v>
      </c>
      <c r="AX33" s="49" t="s">
        <v>68</v>
      </c>
      <c r="AY33" s="50">
        <f t="shared" si="0"/>
        <v>115.1198</v>
      </c>
      <c r="AZ33" s="50">
        <f t="shared" si="1"/>
        <v>103.7218</v>
      </c>
      <c r="BA33" s="51">
        <f t="shared" si="2"/>
        <v>58.6997</v>
      </c>
    </row>
    <row r="34" spans="1:53" ht="22.5" customHeight="1">
      <c r="A34" s="41" t="s">
        <v>63</v>
      </c>
      <c r="B34" s="42" t="s">
        <v>64</v>
      </c>
      <c r="C34" s="43">
        <v>4015725</v>
      </c>
      <c r="D34" s="44" t="s">
        <v>96</v>
      </c>
      <c r="E34" s="44" t="s">
        <v>98</v>
      </c>
      <c r="F34" s="45">
        <v>7299</v>
      </c>
      <c r="G34" s="45">
        <v>5399</v>
      </c>
      <c r="H34" s="46">
        <v>5699</v>
      </c>
      <c r="I34" s="46">
        <v>5699</v>
      </c>
      <c r="J34" s="45">
        <v>4999</v>
      </c>
      <c r="K34" s="45">
        <v>4899</v>
      </c>
      <c r="L34" s="45">
        <v>4899</v>
      </c>
      <c r="M34" s="45">
        <v>4999</v>
      </c>
      <c r="N34" s="45">
        <v>4899</v>
      </c>
      <c r="O34" s="46">
        <v>4799</v>
      </c>
      <c r="P34" s="46">
        <v>4699</v>
      </c>
      <c r="Q34" s="46">
        <v>4499</v>
      </c>
      <c r="R34" s="46">
        <v>4799</v>
      </c>
      <c r="S34" s="46">
        <v>4699</v>
      </c>
      <c r="T34" s="46">
        <v>4499</v>
      </c>
      <c r="U34" s="46">
        <v>4399</v>
      </c>
      <c r="V34" s="46">
        <v>4399</v>
      </c>
      <c r="W34" s="46">
        <v>4299</v>
      </c>
      <c r="X34" s="46">
        <v>4199</v>
      </c>
      <c r="Y34" s="46">
        <v>3499</v>
      </c>
      <c r="Z34" s="46">
        <v>3499</v>
      </c>
      <c r="AA34" s="46">
        <v>3499</v>
      </c>
      <c r="AB34" s="45"/>
      <c r="AC34" s="45"/>
      <c r="AD34" s="45"/>
      <c r="AE34" s="45"/>
      <c r="AF34" s="45"/>
      <c r="AG34" s="45"/>
      <c r="AH34" s="45"/>
      <c r="AI34" s="45"/>
      <c r="AJ34" s="45"/>
      <c r="AK34" s="45"/>
      <c r="AL34" s="45"/>
      <c r="AM34" s="45"/>
      <c r="AN34" s="45"/>
      <c r="AO34" s="45"/>
      <c r="AP34" s="45"/>
      <c r="AQ34" s="45"/>
      <c r="AR34" s="45"/>
      <c r="AS34" s="45"/>
      <c r="AT34" s="45"/>
      <c r="AU34" s="45"/>
      <c r="AV34" s="47"/>
      <c r="AW34" s="48" t="s">
        <v>67</v>
      </c>
      <c r="AX34" s="49" t="s">
        <v>68</v>
      </c>
      <c r="AY34" s="50">
        <f t="shared" si="0"/>
        <v>115.1198</v>
      </c>
      <c r="AZ34" s="50">
        <f t="shared" si="1"/>
        <v>103.7218</v>
      </c>
      <c r="BA34" s="51">
        <f t="shared" si="2"/>
        <v>58.6997</v>
      </c>
    </row>
    <row r="35" spans="1:53" ht="22.5" customHeight="1">
      <c r="A35" s="41" t="s">
        <v>63</v>
      </c>
      <c r="B35" s="42" t="s">
        <v>64</v>
      </c>
      <c r="C35" s="43">
        <v>4015794</v>
      </c>
      <c r="D35" s="44" t="s">
        <v>96</v>
      </c>
      <c r="E35" s="44" t="s">
        <v>99</v>
      </c>
      <c r="F35" s="45">
        <v>7299</v>
      </c>
      <c r="G35" s="45">
        <v>5399</v>
      </c>
      <c r="H35" s="46">
        <v>5699</v>
      </c>
      <c r="I35" s="46">
        <v>5699</v>
      </c>
      <c r="J35" s="45">
        <v>4999</v>
      </c>
      <c r="K35" s="45">
        <v>4899</v>
      </c>
      <c r="L35" s="45">
        <v>4899</v>
      </c>
      <c r="M35" s="45">
        <v>4999</v>
      </c>
      <c r="N35" s="45">
        <v>4899</v>
      </c>
      <c r="O35" s="46">
        <v>4799</v>
      </c>
      <c r="P35" s="46">
        <v>4699</v>
      </c>
      <c r="Q35" s="46">
        <v>4499</v>
      </c>
      <c r="R35" s="46">
        <v>4799</v>
      </c>
      <c r="S35" s="46">
        <v>4699</v>
      </c>
      <c r="T35" s="46">
        <v>4499</v>
      </c>
      <c r="U35" s="46">
        <v>4399</v>
      </c>
      <c r="V35" s="46">
        <v>4399</v>
      </c>
      <c r="W35" s="46">
        <v>4299</v>
      </c>
      <c r="X35" s="46">
        <v>4199</v>
      </c>
      <c r="Y35" s="46">
        <v>3499</v>
      </c>
      <c r="Z35" s="46">
        <v>3499</v>
      </c>
      <c r="AA35" s="46">
        <v>3499</v>
      </c>
      <c r="AB35" s="45"/>
      <c r="AC35" s="45"/>
      <c r="AD35" s="45"/>
      <c r="AE35" s="45"/>
      <c r="AF35" s="45"/>
      <c r="AG35" s="45"/>
      <c r="AH35" s="45"/>
      <c r="AI35" s="45"/>
      <c r="AJ35" s="45"/>
      <c r="AK35" s="45"/>
      <c r="AL35" s="45"/>
      <c r="AM35" s="45"/>
      <c r="AN35" s="45"/>
      <c r="AO35" s="45"/>
      <c r="AP35" s="45"/>
      <c r="AQ35" s="45"/>
      <c r="AR35" s="45"/>
      <c r="AS35" s="45"/>
      <c r="AT35" s="45"/>
      <c r="AU35" s="45"/>
      <c r="AV35" s="47"/>
      <c r="AW35" s="48" t="s">
        <v>67</v>
      </c>
      <c r="AX35" s="49" t="s">
        <v>68</v>
      </c>
      <c r="AY35" s="50">
        <f t="shared" si="0"/>
        <v>115.1198</v>
      </c>
      <c r="AZ35" s="50">
        <f t="shared" si="1"/>
        <v>103.7218</v>
      </c>
      <c r="BA35" s="51">
        <f t="shared" si="2"/>
        <v>58.6997</v>
      </c>
    </row>
    <row r="36" spans="1:53" ht="22.5" customHeight="1">
      <c r="A36" s="41" t="s">
        <v>63</v>
      </c>
      <c r="B36" s="42" t="s">
        <v>64</v>
      </c>
      <c r="C36" s="43">
        <v>4015808</v>
      </c>
      <c r="D36" s="44" t="s">
        <v>96</v>
      </c>
      <c r="E36" s="44" t="s">
        <v>100</v>
      </c>
      <c r="F36" s="45">
        <v>7299</v>
      </c>
      <c r="G36" s="45">
        <v>5399</v>
      </c>
      <c r="H36" s="46">
        <v>5699</v>
      </c>
      <c r="I36" s="46">
        <v>5699</v>
      </c>
      <c r="J36" s="45">
        <v>4999</v>
      </c>
      <c r="K36" s="45">
        <v>4899</v>
      </c>
      <c r="L36" s="45">
        <v>4899</v>
      </c>
      <c r="M36" s="45">
        <v>4999</v>
      </c>
      <c r="N36" s="45">
        <v>4899</v>
      </c>
      <c r="O36" s="46">
        <v>4799</v>
      </c>
      <c r="P36" s="46">
        <v>4699</v>
      </c>
      <c r="Q36" s="46">
        <v>4499</v>
      </c>
      <c r="R36" s="46">
        <v>4799</v>
      </c>
      <c r="S36" s="46">
        <v>4699</v>
      </c>
      <c r="T36" s="46">
        <v>4499</v>
      </c>
      <c r="U36" s="46">
        <v>4399</v>
      </c>
      <c r="V36" s="46">
        <v>4399</v>
      </c>
      <c r="W36" s="46">
        <v>4299</v>
      </c>
      <c r="X36" s="46">
        <v>4199</v>
      </c>
      <c r="Y36" s="46">
        <v>3499</v>
      </c>
      <c r="Z36" s="46">
        <v>3499</v>
      </c>
      <c r="AA36" s="46">
        <v>3499</v>
      </c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  <c r="AM36" s="45"/>
      <c r="AN36" s="45"/>
      <c r="AO36" s="45"/>
      <c r="AP36" s="45"/>
      <c r="AQ36" s="45"/>
      <c r="AR36" s="45"/>
      <c r="AS36" s="45"/>
      <c r="AT36" s="45"/>
      <c r="AU36" s="45"/>
      <c r="AV36" s="47"/>
      <c r="AW36" s="48" t="s">
        <v>67</v>
      </c>
      <c r="AX36" s="49" t="s">
        <v>68</v>
      </c>
      <c r="AY36" s="50">
        <f t="shared" si="0"/>
        <v>115.1198</v>
      </c>
      <c r="AZ36" s="50">
        <f t="shared" si="1"/>
        <v>103.7218</v>
      </c>
      <c r="BA36" s="51">
        <f t="shared" si="2"/>
        <v>58.6997</v>
      </c>
    </row>
    <row r="37" spans="1:53" ht="22.5" customHeight="1">
      <c r="A37" s="41" t="s">
        <v>63</v>
      </c>
      <c r="B37" s="42" t="s">
        <v>64</v>
      </c>
      <c r="C37" s="43">
        <v>4015743</v>
      </c>
      <c r="D37" s="44" t="s">
        <v>101</v>
      </c>
      <c r="E37" s="44" t="s">
        <v>102</v>
      </c>
      <c r="F37" s="45">
        <v>8099</v>
      </c>
      <c r="G37" s="45">
        <v>3899</v>
      </c>
      <c r="H37" s="46">
        <v>5199</v>
      </c>
      <c r="I37" s="46">
        <v>5199</v>
      </c>
      <c r="J37" s="45">
        <v>5099</v>
      </c>
      <c r="K37" s="45">
        <v>5099</v>
      </c>
      <c r="L37" s="45">
        <v>5099</v>
      </c>
      <c r="M37" s="45">
        <v>5099</v>
      </c>
      <c r="N37" s="45">
        <v>5099</v>
      </c>
      <c r="O37" s="46">
        <v>4999</v>
      </c>
      <c r="P37" s="46">
        <v>4899</v>
      </c>
      <c r="Q37" s="46">
        <v>3999</v>
      </c>
      <c r="R37" s="46">
        <v>4999</v>
      </c>
      <c r="S37" s="46">
        <v>4899</v>
      </c>
      <c r="T37" s="46">
        <v>3999</v>
      </c>
      <c r="U37" s="46">
        <v>3999</v>
      </c>
      <c r="V37" s="46">
        <v>3999</v>
      </c>
      <c r="W37" s="46">
        <v>3999</v>
      </c>
      <c r="X37" s="46">
        <v>3899</v>
      </c>
      <c r="Y37" s="46">
        <v>3699</v>
      </c>
      <c r="Z37" s="46">
        <v>3699</v>
      </c>
      <c r="AA37" s="46">
        <v>3649</v>
      </c>
      <c r="AB37" s="45"/>
      <c r="AC37" s="45"/>
      <c r="AD37" s="45"/>
      <c r="AE37" s="45"/>
      <c r="AF37" s="45"/>
      <c r="AG37" s="45"/>
      <c r="AH37" s="45"/>
      <c r="AI37" s="45"/>
      <c r="AJ37" s="45"/>
      <c r="AK37" s="45"/>
      <c r="AL37" s="45"/>
      <c r="AM37" s="45"/>
      <c r="AN37" s="45"/>
      <c r="AO37" s="45"/>
      <c r="AP37" s="45"/>
      <c r="AQ37" s="45"/>
      <c r="AR37" s="45"/>
      <c r="AS37" s="45"/>
      <c r="AT37" s="45"/>
      <c r="AU37" s="45"/>
      <c r="AV37" s="47"/>
      <c r="AW37" s="48" t="s">
        <v>67</v>
      </c>
      <c r="AX37" s="49" t="s">
        <v>68</v>
      </c>
      <c r="AY37" s="50">
        <f t="shared" si="0"/>
        <v>105.01979999999999</v>
      </c>
      <c r="AZ37" s="50">
        <f t="shared" si="1"/>
        <v>94.621800000000007</v>
      </c>
      <c r="BA37" s="51">
        <f t="shared" si="2"/>
        <v>53.549700000000001</v>
      </c>
    </row>
    <row r="38" spans="1:53" ht="22.5" customHeight="1">
      <c r="A38" s="41" t="s">
        <v>63</v>
      </c>
      <c r="B38" s="42" t="s">
        <v>64</v>
      </c>
      <c r="C38" s="43">
        <v>4015770</v>
      </c>
      <c r="D38" s="44" t="s">
        <v>101</v>
      </c>
      <c r="E38" s="44" t="s">
        <v>103</v>
      </c>
      <c r="F38" s="45">
        <v>8099</v>
      </c>
      <c r="G38" s="45">
        <v>3899</v>
      </c>
      <c r="H38" s="46">
        <v>5199</v>
      </c>
      <c r="I38" s="46">
        <v>5199</v>
      </c>
      <c r="J38" s="45">
        <v>5099</v>
      </c>
      <c r="K38" s="45">
        <v>5099</v>
      </c>
      <c r="L38" s="45">
        <v>5099</v>
      </c>
      <c r="M38" s="45">
        <v>5099</v>
      </c>
      <c r="N38" s="45">
        <v>5099</v>
      </c>
      <c r="O38" s="46">
        <v>4999</v>
      </c>
      <c r="P38" s="46">
        <v>4899</v>
      </c>
      <c r="Q38" s="46">
        <v>3999</v>
      </c>
      <c r="R38" s="46">
        <v>4999</v>
      </c>
      <c r="S38" s="46">
        <v>4899</v>
      </c>
      <c r="T38" s="46">
        <v>3999</v>
      </c>
      <c r="U38" s="46">
        <v>3999</v>
      </c>
      <c r="V38" s="46">
        <v>3999</v>
      </c>
      <c r="W38" s="46">
        <v>3999</v>
      </c>
      <c r="X38" s="46">
        <v>3899</v>
      </c>
      <c r="Y38" s="46">
        <v>3699</v>
      </c>
      <c r="Z38" s="46">
        <v>3699</v>
      </c>
      <c r="AA38" s="46">
        <v>3649</v>
      </c>
      <c r="AB38" s="45"/>
      <c r="AC38" s="45"/>
      <c r="AD38" s="45"/>
      <c r="AE38" s="45"/>
      <c r="AF38" s="45"/>
      <c r="AG38" s="45"/>
      <c r="AH38" s="45"/>
      <c r="AI38" s="45"/>
      <c r="AJ38" s="45"/>
      <c r="AK38" s="45"/>
      <c r="AL38" s="45"/>
      <c r="AM38" s="45"/>
      <c r="AN38" s="45"/>
      <c r="AO38" s="45"/>
      <c r="AP38" s="45"/>
      <c r="AQ38" s="45"/>
      <c r="AR38" s="45"/>
      <c r="AS38" s="45"/>
      <c r="AT38" s="45"/>
      <c r="AU38" s="45"/>
      <c r="AV38" s="47"/>
      <c r="AW38" s="48" t="s">
        <v>67</v>
      </c>
      <c r="AX38" s="49" t="s">
        <v>68</v>
      </c>
      <c r="AY38" s="50">
        <f t="shared" si="0"/>
        <v>105.01979999999999</v>
      </c>
      <c r="AZ38" s="50">
        <f t="shared" si="1"/>
        <v>94.621800000000007</v>
      </c>
      <c r="BA38" s="51">
        <f t="shared" si="2"/>
        <v>53.549700000000001</v>
      </c>
    </row>
    <row r="39" spans="1:53" ht="22.5" customHeight="1">
      <c r="A39" s="41" t="s">
        <v>63</v>
      </c>
      <c r="B39" s="42" t="s">
        <v>64</v>
      </c>
      <c r="C39" s="43">
        <v>4015960</v>
      </c>
      <c r="D39" s="44" t="s">
        <v>101</v>
      </c>
      <c r="E39" s="44" t="s">
        <v>104</v>
      </c>
      <c r="F39" s="45">
        <v>8099</v>
      </c>
      <c r="G39" s="45">
        <v>3899</v>
      </c>
      <c r="H39" s="46">
        <v>5199</v>
      </c>
      <c r="I39" s="46">
        <v>5199</v>
      </c>
      <c r="J39" s="45">
        <v>5099</v>
      </c>
      <c r="K39" s="45">
        <v>5099</v>
      </c>
      <c r="L39" s="45">
        <v>5099</v>
      </c>
      <c r="M39" s="45">
        <v>5099</v>
      </c>
      <c r="N39" s="45">
        <v>5099</v>
      </c>
      <c r="O39" s="46">
        <v>4999</v>
      </c>
      <c r="P39" s="46">
        <v>4899</v>
      </c>
      <c r="Q39" s="46">
        <v>3999</v>
      </c>
      <c r="R39" s="46">
        <v>4999</v>
      </c>
      <c r="S39" s="46">
        <v>4899</v>
      </c>
      <c r="T39" s="46">
        <v>3999</v>
      </c>
      <c r="U39" s="46">
        <v>3999</v>
      </c>
      <c r="V39" s="46">
        <v>3999</v>
      </c>
      <c r="W39" s="46">
        <v>3999</v>
      </c>
      <c r="X39" s="46">
        <v>3899</v>
      </c>
      <c r="Y39" s="46">
        <v>3699</v>
      </c>
      <c r="Z39" s="46">
        <v>3699</v>
      </c>
      <c r="AA39" s="46">
        <v>3649</v>
      </c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  <c r="AM39" s="45"/>
      <c r="AN39" s="45"/>
      <c r="AO39" s="45"/>
      <c r="AP39" s="45"/>
      <c r="AQ39" s="45"/>
      <c r="AR39" s="45"/>
      <c r="AS39" s="45"/>
      <c r="AT39" s="45"/>
      <c r="AU39" s="45"/>
      <c r="AV39" s="47"/>
      <c r="AW39" s="48" t="s">
        <v>67</v>
      </c>
      <c r="AX39" s="49" t="s">
        <v>68</v>
      </c>
      <c r="AY39" s="50">
        <f t="shared" si="0"/>
        <v>105.01979999999999</v>
      </c>
      <c r="AZ39" s="50">
        <f t="shared" si="1"/>
        <v>94.621800000000007</v>
      </c>
      <c r="BA39" s="51">
        <f t="shared" si="2"/>
        <v>53.549700000000001</v>
      </c>
    </row>
    <row r="40" spans="1:53" ht="22.5" customHeight="1">
      <c r="A40" s="41" t="s">
        <v>63</v>
      </c>
      <c r="B40" s="42" t="s">
        <v>64</v>
      </c>
      <c r="C40" s="43">
        <v>4015961</v>
      </c>
      <c r="D40" s="44" t="s">
        <v>101</v>
      </c>
      <c r="E40" s="44" t="s">
        <v>105</v>
      </c>
      <c r="F40" s="45">
        <v>8099</v>
      </c>
      <c r="G40" s="45">
        <v>3899</v>
      </c>
      <c r="H40" s="46">
        <v>5199</v>
      </c>
      <c r="I40" s="46">
        <v>5199</v>
      </c>
      <c r="J40" s="45">
        <v>5099</v>
      </c>
      <c r="K40" s="45">
        <v>5099</v>
      </c>
      <c r="L40" s="45">
        <v>5099</v>
      </c>
      <c r="M40" s="45">
        <v>5099</v>
      </c>
      <c r="N40" s="45">
        <v>5099</v>
      </c>
      <c r="O40" s="46">
        <v>4999</v>
      </c>
      <c r="P40" s="46">
        <v>4899</v>
      </c>
      <c r="Q40" s="46">
        <v>3999</v>
      </c>
      <c r="R40" s="46">
        <v>4999</v>
      </c>
      <c r="S40" s="46">
        <v>4899</v>
      </c>
      <c r="T40" s="46">
        <v>3999</v>
      </c>
      <c r="U40" s="46">
        <v>3999</v>
      </c>
      <c r="V40" s="46">
        <v>3999</v>
      </c>
      <c r="W40" s="46">
        <v>3999</v>
      </c>
      <c r="X40" s="46">
        <v>3899</v>
      </c>
      <c r="Y40" s="46">
        <v>3699</v>
      </c>
      <c r="Z40" s="46">
        <v>3699</v>
      </c>
      <c r="AA40" s="46">
        <v>3649</v>
      </c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  <c r="AM40" s="45"/>
      <c r="AN40" s="45"/>
      <c r="AO40" s="45"/>
      <c r="AP40" s="45"/>
      <c r="AQ40" s="45"/>
      <c r="AR40" s="45"/>
      <c r="AS40" s="45"/>
      <c r="AT40" s="45"/>
      <c r="AU40" s="45"/>
      <c r="AV40" s="47"/>
      <c r="AW40" s="48" t="s">
        <v>67</v>
      </c>
      <c r="AX40" s="49" t="s">
        <v>68</v>
      </c>
      <c r="AY40" s="50">
        <f t="shared" si="0"/>
        <v>105.01979999999999</v>
      </c>
      <c r="AZ40" s="50">
        <f t="shared" si="1"/>
        <v>94.621800000000007</v>
      </c>
      <c r="BA40" s="51">
        <f t="shared" si="2"/>
        <v>53.549700000000001</v>
      </c>
    </row>
    <row r="41" spans="1:53" ht="22.5" customHeight="1">
      <c r="A41" s="41" t="s">
        <v>63</v>
      </c>
      <c r="B41" s="42" t="s">
        <v>64</v>
      </c>
      <c r="C41" s="43">
        <v>4015963</v>
      </c>
      <c r="D41" s="44" t="s">
        <v>101</v>
      </c>
      <c r="E41" s="44" t="s">
        <v>106</v>
      </c>
      <c r="F41" s="45">
        <v>8099</v>
      </c>
      <c r="G41" s="45">
        <v>3899</v>
      </c>
      <c r="H41" s="46">
        <v>5199</v>
      </c>
      <c r="I41" s="46">
        <v>5199</v>
      </c>
      <c r="J41" s="45">
        <v>5099</v>
      </c>
      <c r="K41" s="45">
        <v>5099</v>
      </c>
      <c r="L41" s="45">
        <v>5099</v>
      </c>
      <c r="M41" s="45">
        <v>5099</v>
      </c>
      <c r="N41" s="45">
        <v>5099</v>
      </c>
      <c r="O41" s="46">
        <v>4999</v>
      </c>
      <c r="P41" s="46">
        <v>4899</v>
      </c>
      <c r="Q41" s="46">
        <v>3999</v>
      </c>
      <c r="R41" s="46">
        <v>4999</v>
      </c>
      <c r="S41" s="46">
        <v>4899</v>
      </c>
      <c r="T41" s="46">
        <v>3999</v>
      </c>
      <c r="U41" s="46">
        <v>3999</v>
      </c>
      <c r="V41" s="46">
        <v>3999</v>
      </c>
      <c r="W41" s="46">
        <v>3999</v>
      </c>
      <c r="X41" s="46">
        <v>3899</v>
      </c>
      <c r="Y41" s="46">
        <v>3699</v>
      </c>
      <c r="Z41" s="46">
        <v>3699</v>
      </c>
      <c r="AA41" s="46">
        <v>3649</v>
      </c>
      <c r="AB41" s="45"/>
      <c r="AC41" s="45"/>
      <c r="AD41" s="45"/>
      <c r="AE41" s="45"/>
      <c r="AF41" s="45"/>
      <c r="AG41" s="45"/>
      <c r="AH41" s="45"/>
      <c r="AI41" s="45"/>
      <c r="AJ41" s="45"/>
      <c r="AK41" s="45"/>
      <c r="AL41" s="45"/>
      <c r="AM41" s="45"/>
      <c r="AN41" s="45"/>
      <c r="AO41" s="45"/>
      <c r="AP41" s="45"/>
      <c r="AQ41" s="45"/>
      <c r="AR41" s="45"/>
      <c r="AS41" s="45"/>
      <c r="AT41" s="45"/>
      <c r="AU41" s="45"/>
      <c r="AV41" s="47"/>
      <c r="AW41" s="48" t="s">
        <v>67</v>
      </c>
      <c r="AX41" s="49" t="s">
        <v>68</v>
      </c>
      <c r="AY41" s="50">
        <f t="shared" si="0"/>
        <v>105.01979999999999</v>
      </c>
      <c r="AZ41" s="50">
        <f t="shared" si="1"/>
        <v>94.621800000000007</v>
      </c>
      <c r="BA41" s="51">
        <f t="shared" si="2"/>
        <v>53.549700000000001</v>
      </c>
    </row>
    <row r="42" spans="1:53" ht="22.5" customHeight="1">
      <c r="A42" s="41" t="s">
        <v>63</v>
      </c>
      <c r="B42" s="42" t="s">
        <v>64</v>
      </c>
      <c r="C42" s="43">
        <v>4015744</v>
      </c>
      <c r="D42" s="44" t="s">
        <v>107</v>
      </c>
      <c r="E42" s="44" t="s">
        <v>108</v>
      </c>
      <c r="F42" s="45">
        <v>9599</v>
      </c>
      <c r="G42" s="45">
        <v>7899</v>
      </c>
      <c r="H42" s="46">
        <v>7499</v>
      </c>
      <c r="I42" s="46">
        <v>7499</v>
      </c>
      <c r="J42" s="45">
        <v>5599</v>
      </c>
      <c r="K42" s="45">
        <v>5599</v>
      </c>
      <c r="L42" s="45">
        <v>5499</v>
      </c>
      <c r="M42" s="45">
        <v>5599</v>
      </c>
      <c r="N42" s="45">
        <v>5599</v>
      </c>
      <c r="O42" s="46">
        <v>5499</v>
      </c>
      <c r="P42" s="46">
        <v>5399</v>
      </c>
      <c r="Q42" s="46">
        <v>5199</v>
      </c>
      <c r="R42" s="46">
        <v>5499</v>
      </c>
      <c r="S42" s="46">
        <v>5399</v>
      </c>
      <c r="T42" s="46">
        <v>5199</v>
      </c>
      <c r="U42" s="46">
        <v>5099</v>
      </c>
      <c r="V42" s="46">
        <v>5099</v>
      </c>
      <c r="W42" s="46">
        <v>5099</v>
      </c>
      <c r="X42" s="46">
        <v>4999</v>
      </c>
      <c r="Y42" s="46">
        <v>4599</v>
      </c>
      <c r="Z42" s="46">
        <v>4599</v>
      </c>
      <c r="AA42" s="46">
        <v>4549</v>
      </c>
      <c r="AB42" s="45"/>
      <c r="AC42" s="45"/>
      <c r="AD42" s="45"/>
      <c r="AE42" s="45"/>
      <c r="AF42" s="45"/>
      <c r="AG42" s="45"/>
      <c r="AH42" s="45"/>
      <c r="AI42" s="45"/>
      <c r="AJ42" s="45"/>
      <c r="AK42" s="45"/>
      <c r="AL42" s="45"/>
      <c r="AM42" s="45"/>
      <c r="AN42" s="45"/>
      <c r="AO42" s="45"/>
      <c r="AP42" s="45"/>
      <c r="AQ42" s="45"/>
      <c r="AR42" s="45"/>
      <c r="AS42" s="45"/>
      <c r="AT42" s="45"/>
      <c r="AU42" s="45"/>
      <c r="AV42" s="47"/>
      <c r="AW42" s="48" t="s">
        <v>67</v>
      </c>
      <c r="AX42" s="49" t="s">
        <v>68</v>
      </c>
      <c r="AY42" s="50">
        <f t="shared" si="0"/>
        <v>151.47979999999998</v>
      </c>
      <c r="AZ42" s="50">
        <f t="shared" si="1"/>
        <v>136.48179999999999</v>
      </c>
      <c r="BA42" s="51">
        <f t="shared" si="2"/>
        <v>77.239699999999999</v>
      </c>
    </row>
    <row r="43" spans="1:53" ht="22.5" customHeight="1">
      <c r="A43" s="41" t="s">
        <v>63</v>
      </c>
      <c r="B43" s="42" t="s">
        <v>64</v>
      </c>
      <c r="C43" s="43">
        <v>4015965</v>
      </c>
      <c r="D43" s="44" t="s">
        <v>107</v>
      </c>
      <c r="E43" s="44" t="s">
        <v>109</v>
      </c>
      <c r="F43" s="45">
        <v>9599</v>
      </c>
      <c r="G43" s="45">
        <v>7899</v>
      </c>
      <c r="H43" s="46">
        <v>7499</v>
      </c>
      <c r="I43" s="46">
        <v>7499</v>
      </c>
      <c r="J43" s="45">
        <v>5599</v>
      </c>
      <c r="K43" s="45">
        <v>5599</v>
      </c>
      <c r="L43" s="45">
        <v>5499</v>
      </c>
      <c r="M43" s="45">
        <v>5599</v>
      </c>
      <c r="N43" s="45">
        <v>5599</v>
      </c>
      <c r="O43" s="46">
        <v>5499</v>
      </c>
      <c r="P43" s="46">
        <v>5399</v>
      </c>
      <c r="Q43" s="46">
        <v>5199</v>
      </c>
      <c r="R43" s="46">
        <v>5499</v>
      </c>
      <c r="S43" s="46">
        <v>5399</v>
      </c>
      <c r="T43" s="46">
        <v>5199</v>
      </c>
      <c r="U43" s="46">
        <v>5099</v>
      </c>
      <c r="V43" s="46">
        <v>5099</v>
      </c>
      <c r="W43" s="46">
        <v>5099</v>
      </c>
      <c r="X43" s="46">
        <v>4999</v>
      </c>
      <c r="Y43" s="46">
        <v>4599</v>
      </c>
      <c r="Z43" s="46">
        <v>4599</v>
      </c>
      <c r="AA43" s="46">
        <v>4549</v>
      </c>
      <c r="AB43" s="45"/>
      <c r="AC43" s="45"/>
      <c r="AD43" s="45"/>
      <c r="AE43" s="45"/>
      <c r="AF43" s="45"/>
      <c r="AG43" s="45"/>
      <c r="AH43" s="45"/>
      <c r="AI43" s="45"/>
      <c r="AJ43" s="45"/>
      <c r="AK43" s="45"/>
      <c r="AL43" s="45"/>
      <c r="AM43" s="45"/>
      <c r="AN43" s="45"/>
      <c r="AO43" s="45"/>
      <c r="AP43" s="45"/>
      <c r="AQ43" s="45"/>
      <c r="AR43" s="45"/>
      <c r="AS43" s="45"/>
      <c r="AT43" s="45"/>
      <c r="AU43" s="45"/>
      <c r="AV43" s="47"/>
      <c r="AW43" s="48" t="s">
        <v>67</v>
      </c>
      <c r="AX43" s="49" t="s">
        <v>68</v>
      </c>
      <c r="AY43" s="50">
        <f t="shared" si="0"/>
        <v>151.47979999999998</v>
      </c>
      <c r="AZ43" s="50">
        <f t="shared" si="1"/>
        <v>136.48179999999999</v>
      </c>
      <c r="BA43" s="51">
        <f t="shared" si="2"/>
        <v>77.239699999999999</v>
      </c>
    </row>
    <row r="44" spans="1:53" ht="22.5" customHeight="1">
      <c r="A44" s="41" t="s">
        <v>63</v>
      </c>
      <c r="B44" s="42" t="s">
        <v>64</v>
      </c>
      <c r="C44" s="43">
        <v>4015746</v>
      </c>
      <c r="D44" s="44" t="s">
        <v>110</v>
      </c>
      <c r="E44" s="44" t="s">
        <v>111</v>
      </c>
      <c r="F44" s="45">
        <v>9099</v>
      </c>
      <c r="G44" s="45">
        <v>6099</v>
      </c>
      <c r="H44" s="46">
        <v>6999</v>
      </c>
      <c r="I44" s="46">
        <v>6999</v>
      </c>
      <c r="J44" s="45">
        <v>5899</v>
      </c>
      <c r="K44" s="45">
        <v>5899</v>
      </c>
      <c r="L44" s="45">
        <v>5899</v>
      </c>
      <c r="M44" s="45">
        <v>5899</v>
      </c>
      <c r="N44" s="45">
        <v>5899</v>
      </c>
      <c r="O44" s="46">
        <v>5799</v>
      </c>
      <c r="P44" s="46">
        <v>5699</v>
      </c>
      <c r="Q44" s="46">
        <v>5499</v>
      </c>
      <c r="R44" s="46">
        <v>5799</v>
      </c>
      <c r="S44" s="46">
        <v>5699</v>
      </c>
      <c r="T44" s="46">
        <v>5499</v>
      </c>
      <c r="U44" s="46">
        <v>5499</v>
      </c>
      <c r="V44" s="46">
        <v>5499</v>
      </c>
      <c r="W44" s="46">
        <v>5499</v>
      </c>
      <c r="X44" s="46">
        <v>5399</v>
      </c>
      <c r="Y44" s="46">
        <v>4999</v>
      </c>
      <c r="Z44" s="46">
        <v>4999</v>
      </c>
      <c r="AA44" s="46">
        <v>4999</v>
      </c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  <c r="AM44" s="45"/>
      <c r="AN44" s="45"/>
      <c r="AO44" s="45"/>
      <c r="AP44" s="45"/>
      <c r="AQ44" s="45"/>
      <c r="AR44" s="45"/>
      <c r="AS44" s="45"/>
      <c r="AT44" s="45"/>
      <c r="AU44" s="45"/>
      <c r="AV44" s="47"/>
      <c r="AW44" s="48" t="s">
        <v>67</v>
      </c>
      <c r="AX44" s="49" t="s">
        <v>68</v>
      </c>
      <c r="AY44" s="50">
        <f t="shared" si="0"/>
        <v>141.37979999999999</v>
      </c>
      <c r="AZ44" s="50">
        <f t="shared" si="1"/>
        <v>127.38180000000001</v>
      </c>
      <c r="BA44" s="51">
        <f t="shared" si="2"/>
        <v>72.089700000000008</v>
      </c>
    </row>
    <row r="45" spans="1:53" ht="22.5" customHeight="1">
      <c r="A45" s="41" t="s">
        <v>63</v>
      </c>
      <c r="B45" s="42" t="s">
        <v>64</v>
      </c>
      <c r="C45" s="43">
        <v>4015748</v>
      </c>
      <c r="D45" s="44" t="s">
        <v>112</v>
      </c>
      <c r="E45" s="44" t="s">
        <v>113</v>
      </c>
      <c r="F45" s="45">
        <v>9299</v>
      </c>
      <c r="G45" s="45">
        <v>6399</v>
      </c>
      <c r="H45" s="46">
        <v>7099</v>
      </c>
      <c r="I45" s="46">
        <v>7099</v>
      </c>
      <c r="J45" s="45">
        <v>6399</v>
      </c>
      <c r="K45" s="45">
        <v>6399</v>
      </c>
      <c r="L45" s="45">
        <v>6399</v>
      </c>
      <c r="M45" s="45">
        <v>6399</v>
      </c>
      <c r="N45" s="45">
        <v>6399</v>
      </c>
      <c r="O45" s="45">
        <v>6299</v>
      </c>
      <c r="P45" s="46">
        <v>6199</v>
      </c>
      <c r="Q45" s="46">
        <v>5999</v>
      </c>
      <c r="R45" s="45">
        <v>6299</v>
      </c>
      <c r="S45" s="45">
        <v>6199</v>
      </c>
      <c r="T45" s="46">
        <v>5999</v>
      </c>
      <c r="U45" s="46">
        <v>5999</v>
      </c>
      <c r="V45" s="46">
        <v>5999</v>
      </c>
      <c r="W45" s="46">
        <v>5999</v>
      </c>
      <c r="X45" s="46">
        <v>5899</v>
      </c>
      <c r="Y45" s="46">
        <v>5499</v>
      </c>
      <c r="Z45" s="46">
        <v>5499</v>
      </c>
      <c r="AA45" s="46">
        <v>5499</v>
      </c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5"/>
      <c r="AN45" s="45"/>
      <c r="AO45" s="45"/>
      <c r="AP45" s="45"/>
      <c r="AQ45" s="45"/>
      <c r="AR45" s="45"/>
      <c r="AS45" s="45"/>
      <c r="AT45" s="45"/>
      <c r="AU45" s="45"/>
      <c r="AV45" s="47"/>
      <c r="AW45" s="48" t="s">
        <v>67</v>
      </c>
      <c r="AX45" s="49" t="s">
        <v>68</v>
      </c>
      <c r="AY45" s="50">
        <f t="shared" si="0"/>
        <v>143.3998</v>
      </c>
      <c r="AZ45" s="50">
        <f t="shared" si="1"/>
        <v>129.20180000000002</v>
      </c>
      <c r="BA45" s="51">
        <f t="shared" si="2"/>
        <v>73.119699999999995</v>
      </c>
    </row>
    <row r="46" spans="1:53" ht="22.5" customHeight="1">
      <c r="A46" s="41" t="s">
        <v>63</v>
      </c>
      <c r="B46" s="42" t="s">
        <v>64</v>
      </c>
      <c r="C46" s="43">
        <v>4015796</v>
      </c>
      <c r="D46" s="44" t="s">
        <v>112</v>
      </c>
      <c r="E46" s="44" t="s">
        <v>114</v>
      </c>
      <c r="F46" s="45">
        <v>9299</v>
      </c>
      <c r="G46" s="45">
        <v>6399</v>
      </c>
      <c r="H46" s="46">
        <v>7099</v>
      </c>
      <c r="I46" s="46">
        <v>7099</v>
      </c>
      <c r="J46" s="45">
        <v>6399</v>
      </c>
      <c r="K46" s="45">
        <v>6399</v>
      </c>
      <c r="L46" s="45">
        <v>6399</v>
      </c>
      <c r="M46" s="45">
        <v>6399</v>
      </c>
      <c r="N46" s="45">
        <v>6399</v>
      </c>
      <c r="O46" s="45">
        <v>6299</v>
      </c>
      <c r="P46" s="46">
        <v>6199</v>
      </c>
      <c r="Q46" s="46">
        <v>5999</v>
      </c>
      <c r="R46" s="45">
        <v>6299</v>
      </c>
      <c r="S46" s="45">
        <v>6199</v>
      </c>
      <c r="T46" s="46">
        <v>5999</v>
      </c>
      <c r="U46" s="46">
        <v>5999</v>
      </c>
      <c r="V46" s="46">
        <v>5999</v>
      </c>
      <c r="W46" s="46">
        <v>5999</v>
      </c>
      <c r="X46" s="46">
        <v>5899</v>
      </c>
      <c r="Y46" s="46">
        <v>5499</v>
      </c>
      <c r="Z46" s="46">
        <v>5499</v>
      </c>
      <c r="AA46" s="46">
        <v>5499</v>
      </c>
      <c r="AB46" s="45"/>
      <c r="AC46" s="45"/>
      <c r="AD46" s="45"/>
      <c r="AE46" s="45"/>
      <c r="AF46" s="45"/>
      <c r="AG46" s="45"/>
      <c r="AH46" s="45"/>
      <c r="AI46" s="45"/>
      <c r="AJ46" s="45"/>
      <c r="AK46" s="45"/>
      <c r="AL46" s="45"/>
      <c r="AM46" s="45"/>
      <c r="AN46" s="45"/>
      <c r="AO46" s="45"/>
      <c r="AP46" s="45"/>
      <c r="AQ46" s="45"/>
      <c r="AR46" s="45"/>
      <c r="AS46" s="45"/>
      <c r="AT46" s="45"/>
      <c r="AU46" s="45"/>
      <c r="AV46" s="47"/>
      <c r="AW46" s="48" t="s">
        <v>67</v>
      </c>
      <c r="AX46" s="49" t="s">
        <v>68</v>
      </c>
      <c r="AY46" s="50">
        <f t="shared" si="0"/>
        <v>143.3998</v>
      </c>
      <c r="AZ46" s="50">
        <f t="shared" si="1"/>
        <v>129.20180000000002</v>
      </c>
      <c r="BA46" s="51">
        <f t="shared" si="2"/>
        <v>73.119699999999995</v>
      </c>
    </row>
    <row r="47" spans="1:53" ht="22.5" customHeight="1">
      <c r="A47" s="41" t="s">
        <v>63</v>
      </c>
      <c r="B47" s="42" t="s">
        <v>64</v>
      </c>
      <c r="C47" s="43">
        <v>4015767</v>
      </c>
      <c r="D47" s="44" t="s">
        <v>112</v>
      </c>
      <c r="E47" s="44" t="s">
        <v>115</v>
      </c>
      <c r="F47" s="45">
        <v>9299</v>
      </c>
      <c r="G47" s="45">
        <v>6399</v>
      </c>
      <c r="H47" s="46">
        <v>7099</v>
      </c>
      <c r="I47" s="46">
        <v>7099</v>
      </c>
      <c r="J47" s="45">
        <v>6399</v>
      </c>
      <c r="K47" s="45">
        <v>6399</v>
      </c>
      <c r="L47" s="45">
        <v>6399</v>
      </c>
      <c r="M47" s="45">
        <v>6399</v>
      </c>
      <c r="N47" s="45">
        <v>6399</v>
      </c>
      <c r="O47" s="45">
        <v>6299</v>
      </c>
      <c r="P47" s="46">
        <v>6199</v>
      </c>
      <c r="Q47" s="46">
        <v>5999</v>
      </c>
      <c r="R47" s="45">
        <v>6299</v>
      </c>
      <c r="S47" s="45">
        <v>6199</v>
      </c>
      <c r="T47" s="46">
        <v>5999</v>
      </c>
      <c r="U47" s="46">
        <v>5999</v>
      </c>
      <c r="V47" s="46">
        <v>5999</v>
      </c>
      <c r="W47" s="46">
        <v>5999</v>
      </c>
      <c r="X47" s="46">
        <v>5899</v>
      </c>
      <c r="Y47" s="46">
        <v>5499</v>
      </c>
      <c r="Z47" s="46">
        <v>5499</v>
      </c>
      <c r="AA47" s="46">
        <v>5499</v>
      </c>
      <c r="AB47" s="45"/>
      <c r="AC47" s="45"/>
      <c r="AD47" s="45"/>
      <c r="AE47" s="45"/>
      <c r="AF47" s="45"/>
      <c r="AG47" s="45"/>
      <c r="AH47" s="45"/>
      <c r="AI47" s="45"/>
      <c r="AJ47" s="45"/>
      <c r="AK47" s="45"/>
      <c r="AL47" s="45"/>
      <c r="AM47" s="45"/>
      <c r="AN47" s="45"/>
      <c r="AO47" s="45"/>
      <c r="AP47" s="45"/>
      <c r="AQ47" s="45"/>
      <c r="AR47" s="45"/>
      <c r="AS47" s="45"/>
      <c r="AT47" s="45"/>
      <c r="AU47" s="45"/>
      <c r="AV47" s="47"/>
      <c r="AW47" s="48" t="s">
        <v>67</v>
      </c>
      <c r="AX47" s="49" t="s">
        <v>68</v>
      </c>
      <c r="AY47" s="50">
        <f t="shared" si="0"/>
        <v>143.3998</v>
      </c>
      <c r="AZ47" s="50">
        <f t="shared" si="1"/>
        <v>129.20180000000002</v>
      </c>
      <c r="BA47" s="51">
        <f t="shared" si="2"/>
        <v>73.119699999999995</v>
      </c>
    </row>
    <row r="48" spans="1:53" ht="22.5" customHeight="1">
      <c r="A48" s="41" t="s">
        <v>63</v>
      </c>
      <c r="B48" s="42" t="s">
        <v>64</v>
      </c>
      <c r="C48" s="43">
        <v>4015782</v>
      </c>
      <c r="D48" s="44" t="s">
        <v>112</v>
      </c>
      <c r="E48" s="44" t="s">
        <v>116</v>
      </c>
      <c r="F48" s="45">
        <v>9299</v>
      </c>
      <c r="G48" s="45">
        <v>6399</v>
      </c>
      <c r="H48" s="46">
        <v>7099</v>
      </c>
      <c r="I48" s="46">
        <v>7099</v>
      </c>
      <c r="J48" s="45">
        <v>6399</v>
      </c>
      <c r="K48" s="45">
        <v>6399</v>
      </c>
      <c r="L48" s="45">
        <v>6399</v>
      </c>
      <c r="M48" s="45">
        <v>6399</v>
      </c>
      <c r="N48" s="45">
        <v>6399</v>
      </c>
      <c r="O48" s="45">
        <v>6299</v>
      </c>
      <c r="P48" s="46">
        <v>6199</v>
      </c>
      <c r="Q48" s="46">
        <v>5999</v>
      </c>
      <c r="R48" s="45">
        <v>6299</v>
      </c>
      <c r="S48" s="45">
        <v>6199</v>
      </c>
      <c r="T48" s="46">
        <v>5999</v>
      </c>
      <c r="U48" s="46">
        <v>5999</v>
      </c>
      <c r="V48" s="46">
        <v>5999</v>
      </c>
      <c r="W48" s="46">
        <v>5999</v>
      </c>
      <c r="X48" s="46">
        <v>5899</v>
      </c>
      <c r="Y48" s="46">
        <v>5499</v>
      </c>
      <c r="Z48" s="46">
        <v>5499</v>
      </c>
      <c r="AA48" s="46">
        <v>5499</v>
      </c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  <c r="AM48" s="45"/>
      <c r="AN48" s="45"/>
      <c r="AO48" s="45"/>
      <c r="AP48" s="45"/>
      <c r="AQ48" s="45"/>
      <c r="AR48" s="45"/>
      <c r="AS48" s="45"/>
      <c r="AT48" s="45"/>
      <c r="AU48" s="45"/>
      <c r="AV48" s="47"/>
      <c r="AW48" s="48" t="s">
        <v>67</v>
      </c>
      <c r="AX48" s="49" t="s">
        <v>68</v>
      </c>
      <c r="AY48" s="50">
        <f t="shared" si="0"/>
        <v>143.3998</v>
      </c>
      <c r="AZ48" s="50">
        <f t="shared" si="1"/>
        <v>129.20180000000002</v>
      </c>
      <c r="BA48" s="51">
        <f t="shared" si="2"/>
        <v>73.119699999999995</v>
      </c>
    </row>
    <row r="49" spans="1:53" ht="22.5" customHeight="1">
      <c r="A49" s="41" t="s">
        <v>63</v>
      </c>
      <c r="B49" s="42" t="s">
        <v>64</v>
      </c>
      <c r="C49" s="43">
        <v>4015749</v>
      </c>
      <c r="D49" s="44" t="s">
        <v>117</v>
      </c>
      <c r="E49" s="44" t="s">
        <v>118</v>
      </c>
      <c r="F49" s="45">
        <v>10099</v>
      </c>
      <c r="G49" s="45">
        <v>7999</v>
      </c>
      <c r="H49" s="46">
        <v>7799</v>
      </c>
      <c r="I49" s="46">
        <v>7799</v>
      </c>
      <c r="J49" s="45">
        <v>6899</v>
      </c>
      <c r="K49" s="45">
        <v>6899</v>
      </c>
      <c r="L49" s="45">
        <v>6899</v>
      </c>
      <c r="M49" s="45">
        <v>6899</v>
      </c>
      <c r="N49" s="45">
        <v>6899</v>
      </c>
      <c r="O49" s="45">
        <v>6799</v>
      </c>
      <c r="P49" s="46">
        <v>6699</v>
      </c>
      <c r="Q49" s="46">
        <v>6499</v>
      </c>
      <c r="R49" s="45">
        <v>6799</v>
      </c>
      <c r="S49" s="45">
        <v>6699</v>
      </c>
      <c r="T49" s="46">
        <v>6499</v>
      </c>
      <c r="U49" s="46">
        <v>6499</v>
      </c>
      <c r="V49" s="46">
        <v>6499</v>
      </c>
      <c r="W49" s="46">
        <v>6499</v>
      </c>
      <c r="X49" s="46">
        <v>6399</v>
      </c>
      <c r="Y49" s="46">
        <v>5999</v>
      </c>
      <c r="Z49" s="46">
        <v>5999</v>
      </c>
      <c r="AA49" s="46">
        <v>5999</v>
      </c>
      <c r="AB49" s="45"/>
      <c r="AC49" s="45"/>
      <c r="AD49" s="45"/>
      <c r="AE49" s="45"/>
      <c r="AF49" s="45"/>
      <c r="AG49" s="45"/>
      <c r="AH49" s="45"/>
      <c r="AI49" s="45"/>
      <c r="AJ49" s="45"/>
      <c r="AK49" s="45"/>
      <c r="AL49" s="45"/>
      <c r="AM49" s="45"/>
      <c r="AN49" s="45"/>
      <c r="AO49" s="45"/>
      <c r="AP49" s="45"/>
      <c r="AQ49" s="45"/>
      <c r="AR49" s="45"/>
      <c r="AS49" s="45"/>
      <c r="AT49" s="45"/>
      <c r="AU49" s="45"/>
      <c r="AV49" s="47"/>
      <c r="AW49" s="48" t="s">
        <v>67</v>
      </c>
      <c r="AX49" s="49" t="s">
        <v>68</v>
      </c>
      <c r="AY49" s="50">
        <f t="shared" si="0"/>
        <v>157.53979999999999</v>
      </c>
      <c r="AZ49" s="50">
        <f t="shared" si="1"/>
        <v>141.9418</v>
      </c>
      <c r="BA49" s="51">
        <f t="shared" si="2"/>
        <v>80.329700000000003</v>
      </c>
    </row>
    <row r="50" spans="1:53" ht="22.5" customHeight="1">
      <c r="A50" s="41" t="s">
        <v>63</v>
      </c>
      <c r="B50" s="42" t="s">
        <v>64</v>
      </c>
      <c r="C50" s="43">
        <v>4015797</v>
      </c>
      <c r="D50" s="44" t="s">
        <v>117</v>
      </c>
      <c r="E50" s="44" t="s">
        <v>119</v>
      </c>
      <c r="F50" s="45">
        <v>10099</v>
      </c>
      <c r="G50" s="45">
        <v>7999</v>
      </c>
      <c r="H50" s="46">
        <v>7799</v>
      </c>
      <c r="I50" s="46">
        <v>7799</v>
      </c>
      <c r="J50" s="45">
        <v>6899</v>
      </c>
      <c r="K50" s="45">
        <v>6899</v>
      </c>
      <c r="L50" s="45">
        <v>6899</v>
      </c>
      <c r="M50" s="45">
        <v>6899</v>
      </c>
      <c r="N50" s="45">
        <v>6899</v>
      </c>
      <c r="O50" s="45">
        <v>6799</v>
      </c>
      <c r="P50" s="46">
        <v>6699</v>
      </c>
      <c r="Q50" s="46">
        <v>6499</v>
      </c>
      <c r="R50" s="45">
        <v>6799</v>
      </c>
      <c r="S50" s="45">
        <v>6699</v>
      </c>
      <c r="T50" s="46">
        <v>6499</v>
      </c>
      <c r="U50" s="46">
        <v>6499</v>
      </c>
      <c r="V50" s="46">
        <v>6499</v>
      </c>
      <c r="W50" s="46">
        <v>6499</v>
      </c>
      <c r="X50" s="46">
        <v>6399</v>
      </c>
      <c r="Y50" s="46">
        <v>5999</v>
      </c>
      <c r="Z50" s="46">
        <v>5999</v>
      </c>
      <c r="AA50" s="46">
        <v>5999</v>
      </c>
      <c r="AB50" s="45"/>
      <c r="AC50" s="45"/>
      <c r="AD50" s="45"/>
      <c r="AE50" s="45"/>
      <c r="AF50" s="45"/>
      <c r="AG50" s="45"/>
      <c r="AH50" s="45"/>
      <c r="AI50" s="45"/>
      <c r="AJ50" s="45"/>
      <c r="AK50" s="45"/>
      <c r="AL50" s="45"/>
      <c r="AM50" s="45"/>
      <c r="AN50" s="45"/>
      <c r="AO50" s="45"/>
      <c r="AP50" s="45"/>
      <c r="AQ50" s="45"/>
      <c r="AR50" s="45"/>
      <c r="AS50" s="45"/>
      <c r="AT50" s="45"/>
      <c r="AU50" s="45"/>
      <c r="AV50" s="47"/>
      <c r="AW50" s="48" t="s">
        <v>67</v>
      </c>
      <c r="AX50" s="49" t="s">
        <v>68</v>
      </c>
      <c r="AY50" s="50">
        <f t="shared" si="0"/>
        <v>157.53979999999999</v>
      </c>
      <c r="AZ50" s="50">
        <f t="shared" si="1"/>
        <v>141.9418</v>
      </c>
      <c r="BA50" s="51">
        <f t="shared" si="2"/>
        <v>80.329700000000003</v>
      </c>
    </row>
    <row r="51" spans="1:53" ht="22.5" customHeight="1">
      <c r="A51" s="41" t="s">
        <v>63</v>
      </c>
      <c r="B51" s="42" t="s">
        <v>64</v>
      </c>
      <c r="C51" s="43">
        <v>4015769</v>
      </c>
      <c r="D51" s="44" t="s">
        <v>117</v>
      </c>
      <c r="E51" s="44" t="s">
        <v>120</v>
      </c>
      <c r="F51" s="45">
        <v>10099</v>
      </c>
      <c r="G51" s="45">
        <v>7999</v>
      </c>
      <c r="H51" s="46">
        <v>7799</v>
      </c>
      <c r="I51" s="46">
        <v>7799</v>
      </c>
      <c r="J51" s="45">
        <v>6899</v>
      </c>
      <c r="K51" s="45">
        <v>6899</v>
      </c>
      <c r="L51" s="45">
        <v>6899</v>
      </c>
      <c r="M51" s="45">
        <v>6899</v>
      </c>
      <c r="N51" s="45">
        <v>6899</v>
      </c>
      <c r="O51" s="45">
        <v>6799</v>
      </c>
      <c r="P51" s="46">
        <v>6699</v>
      </c>
      <c r="Q51" s="46">
        <v>6499</v>
      </c>
      <c r="R51" s="45">
        <v>6799</v>
      </c>
      <c r="S51" s="45">
        <v>6699</v>
      </c>
      <c r="T51" s="46">
        <v>6499</v>
      </c>
      <c r="U51" s="46">
        <v>6499</v>
      </c>
      <c r="V51" s="46">
        <v>6499</v>
      </c>
      <c r="W51" s="46">
        <v>6499</v>
      </c>
      <c r="X51" s="46">
        <v>6399</v>
      </c>
      <c r="Y51" s="46">
        <v>5999</v>
      </c>
      <c r="Z51" s="46">
        <v>5999</v>
      </c>
      <c r="AA51" s="46">
        <v>5999</v>
      </c>
      <c r="AB51" s="45"/>
      <c r="AC51" s="45"/>
      <c r="AD51" s="45"/>
      <c r="AE51" s="45"/>
      <c r="AF51" s="45"/>
      <c r="AG51" s="45"/>
      <c r="AH51" s="45"/>
      <c r="AI51" s="45"/>
      <c r="AJ51" s="45"/>
      <c r="AK51" s="45"/>
      <c r="AL51" s="45"/>
      <c r="AM51" s="45"/>
      <c r="AN51" s="45"/>
      <c r="AO51" s="45"/>
      <c r="AP51" s="45"/>
      <c r="AQ51" s="45"/>
      <c r="AR51" s="45"/>
      <c r="AS51" s="45"/>
      <c r="AT51" s="45"/>
      <c r="AU51" s="45"/>
      <c r="AV51" s="47"/>
      <c r="AW51" s="48" t="s">
        <v>67</v>
      </c>
      <c r="AX51" s="49" t="s">
        <v>68</v>
      </c>
      <c r="AY51" s="50">
        <f t="shared" si="0"/>
        <v>157.53979999999999</v>
      </c>
      <c r="AZ51" s="50">
        <f t="shared" si="1"/>
        <v>141.9418</v>
      </c>
      <c r="BA51" s="51">
        <f t="shared" si="2"/>
        <v>80.329700000000003</v>
      </c>
    </row>
    <row r="52" spans="1:53" ht="22.5" customHeight="1">
      <c r="A52" s="41" t="s">
        <v>63</v>
      </c>
      <c r="B52" s="42" t="s">
        <v>64</v>
      </c>
      <c r="C52" s="43">
        <v>4015784</v>
      </c>
      <c r="D52" s="44" t="s">
        <v>117</v>
      </c>
      <c r="E52" s="44" t="s">
        <v>121</v>
      </c>
      <c r="F52" s="45">
        <v>10099</v>
      </c>
      <c r="G52" s="45">
        <v>7999</v>
      </c>
      <c r="H52" s="46">
        <v>7799</v>
      </c>
      <c r="I52" s="46">
        <v>7799</v>
      </c>
      <c r="J52" s="45">
        <v>6899</v>
      </c>
      <c r="K52" s="45">
        <v>6899</v>
      </c>
      <c r="L52" s="45">
        <v>6899</v>
      </c>
      <c r="M52" s="45">
        <v>6899</v>
      </c>
      <c r="N52" s="45">
        <v>6899</v>
      </c>
      <c r="O52" s="45">
        <v>6799</v>
      </c>
      <c r="P52" s="46">
        <v>6699</v>
      </c>
      <c r="Q52" s="46">
        <v>6499</v>
      </c>
      <c r="R52" s="45">
        <v>6799</v>
      </c>
      <c r="S52" s="45">
        <v>6699</v>
      </c>
      <c r="T52" s="46">
        <v>6499</v>
      </c>
      <c r="U52" s="46">
        <v>6499</v>
      </c>
      <c r="V52" s="46">
        <v>6499</v>
      </c>
      <c r="W52" s="46">
        <v>6499</v>
      </c>
      <c r="X52" s="46">
        <v>6399</v>
      </c>
      <c r="Y52" s="46">
        <v>5999</v>
      </c>
      <c r="Z52" s="46">
        <v>5999</v>
      </c>
      <c r="AA52" s="46">
        <v>5999</v>
      </c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  <c r="AN52" s="45"/>
      <c r="AO52" s="45"/>
      <c r="AP52" s="45"/>
      <c r="AQ52" s="45"/>
      <c r="AR52" s="45"/>
      <c r="AS52" s="45"/>
      <c r="AT52" s="45"/>
      <c r="AU52" s="45"/>
      <c r="AV52" s="47"/>
      <c r="AW52" s="48" t="s">
        <v>67</v>
      </c>
      <c r="AX52" s="49" t="s">
        <v>68</v>
      </c>
      <c r="AY52" s="50">
        <f t="shared" si="0"/>
        <v>157.53979999999999</v>
      </c>
      <c r="AZ52" s="50">
        <f t="shared" si="1"/>
        <v>141.9418</v>
      </c>
      <c r="BA52" s="51">
        <f t="shared" si="2"/>
        <v>80.329700000000003</v>
      </c>
    </row>
    <row r="53" spans="1:53" ht="22.5" customHeight="1">
      <c r="A53" s="41" t="s">
        <v>63</v>
      </c>
      <c r="B53" s="42" t="s">
        <v>64</v>
      </c>
      <c r="C53" s="43">
        <v>4015762</v>
      </c>
      <c r="D53" s="44" t="s">
        <v>122</v>
      </c>
      <c r="E53" s="44" t="s">
        <v>123</v>
      </c>
      <c r="F53" s="45">
        <v>10999</v>
      </c>
      <c r="G53" s="45">
        <v>7899</v>
      </c>
      <c r="H53" s="46">
        <v>7499</v>
      </c>
      <c r="I53" s="46">
        <v>7499</v>
      </c>
      <c r="J53" s="45">
        <v>7399</v>
      </c>
      <c r="K53" s="45">
        <v>7399</v>
      </c>
      <c r="L53" s="45">
        <v>7399</v>
      </c>
      <c r="M53" s="45">
        <v>7399</v>
      </c>
      <c r="N53" s="45">
        <v>7399</v>
      </c>
      <c r="O53" s="45">
        <v>7299</v>
      </c>
      <c r="P53" s="46">
        <v>7199</v>
      </c>
      <c r="Q53" s="46">
        <v>6999</v>
      </c>
      <c r="R53" s="45">
        <v>7299</v>
      </c>
      <c r="S53" s="45">
        <v>7199</v>
      </c>
      <c r="T53" s="46">
        <v>6999</v>
      </c>
      <c r="U53" s="46">
        <v>6999</v>
      </c>
      <c r="V53" s="46">
        <v>6999</v>
      </c>
      <c r="W53" s="46">
        <v>6999</v>
      </c>
      <c r="X53" s="46">
        <v>6899</v>
      </c>
      <c r="Y53" s="46">
        <v>6499</v>
      </c>
      <c r="Z53" s="46">
        <v>6499</v>
      </c>
      <c r="AA53" s="46">
        <v>6499</v>
      </c>
      <c r="AB53" s="45"/>
      <c r="AC53" s="45"/>
      <c r="AD53" s="45"/>
      <c r="AE53" s="45"/>
      <c r="AF53" s="45"/>
      <c r="AG53" s="45"/>
      <c r="AH53" s="45"/>
      <c r="AI53" s="45"/>
      <c r="AJ53" s="45"/>
      <c r="AK53" s="45"/>
      <c r="AL53" s="45"/>
      <c r="AM53" s="45"/>
      <c r="AN53" s="45"/>
      <c r="AO53" s="45"/>
      <c r="AP53" s="45"/>
      <c r="AQ53" s="45"/>
      <c r="AR53" s="45"/>
      <c r="AS53" s="45"/>
      <c r="AT53" s="45"/>
      <c r="AU53" s="45"/>
      <c r="AV53" s="47"/>
      <c r="AW53" s="48" t="s">
        <v>67</v>
      </c>
      <c r="AX53" s="49" t="s">
        <v>68</v>
      </c>
      <c r="AY53" s="50">
        <f t="shared" si="0"/>
        <v>151.47979999999998</v>
      </c>
      <c r="AZ53" s="50">
        <f t="shared" si="1"/>
        <v>136.48179999999999</v>
      </c>
      <c r="BA53" s="51">
        <f t="shared" si="2"/>
        <v>77.239699999999999</v>
      </c>
    </row>
    <row r="54" spans="1:53" ht="22.5" customHeight="1">
      <c r="A54" s="41" t="s">
        <v>63</v>
      </c>
      <c r="B54" s="42" t="s">
        <v>64</v>
      </c>
      <c r="C54" s="43">
        <v>4015774</v>
      </c>
      <c r="D54" s="44" t="s">
        <v>122</v>
      </c>
      <c r="E54" s="44" t="s">
        <v>124</v>
      </c>
      <c r="F54" s="45">
        <v>10999</v>
      </c>
      <c r="G54" s="45">
        <v>7899</v>
      </c>
      <c r="H54" s="46">
        <v>7499</v>
      </c>
      <c r="I54" s="46">
        <v>7499</v>
      </c>
      <c r="J54" s="45">
        <v>7399</v>
      </c>
      <c r="K54" s="45">
        <v>7399</v>
      </c>
      <c r="L54" s="45">
        <v>7399</v>
      </c>
      <c r="M54" s="45">
        <v>7399</v>
      </c>
      <c r="N54" s="45">
        <v>7399</v>
      </c>
      <c r="O54" s="45">
        <v>7299</v>
      </c>
      <c r="P54" s="46">
        <v>7199</v>
      </c>
      <c r="Q54" s="46">
        <v>6999</v>
      </c>
      <c r="R54" s="45">
        <v>7299</v>
      </c>
      <c r="S54" s="45">
        <v>7199</v>
      </c>
      <c r="T54" s="46">
        <v>6999</v>
      </c>
      <c r="U54" s="46">
        <v>6999</v>
      </c>
      <c r="V54" s="46">
        <v>6999</v>
      </c>
      <c r="W54" s="46">
        <v>6999</v>
      </c>
      <c r="X54" s="46">
        <v>6899</v>
      </c>
      <c r="Y54" s="46">
        <v>6499</v>
      </c>
      <c r="Z54" s="46">
        <v>6499</v>
      </c>
      <c r="AA54" s="46">
        <v>6499</v>
      </c>
      <c r="AB54" s="45"/>
      <c r="AC54" s="45"/>
      <c r="AD54" s="45"/>
      <c r="AE54" s="45"/>
      <c r="AF54" s="45"/>
      <c r="AG54" s="45"/>
      <c r="AH54" s="45"/>
      <c r="AI54" s="45"/>
      <c r="AJ54" s="45"/>
      <c r="AK54" s="45"/>
      <c r="AL54" s="45"/>
      <c r="AM54" s="45"/>
      <c r="AN54" s="45"/>
      <c r="AO54" s="45"/>
      <c r="AP54" s="45"/>
      <c r="AQ54" s="45"/>
      <c r="AR54" s="45"/>
      <c r="AS54" s="45"/>
      <c r="AT54" s="45"/>
      <c r="AU54" s="45"/>
      <c r="AV54" s="47"/>
      <c r="AW54" s="48" t="s">
        <v>67</v>
      </c>
      <c r="AX54" s="49" t="s">
        <v>68</v>
      </c>
      <c r="AY54" s="50">
        <f t="shared" si="0"/>
        <v>151.47979999999998</v>
      </c>
      <c r="AZ54" s="50">
        <f t="shared" si="1"/>
        <v>136.48179999999999</v>
      </c>
      <c r="BA54" s="51">
        <f t="shared" si="2"/>
        <v>77.239699999999999</v>
      </c>
    </row>
    <row r="55" spans="1:53" ht="22.5" customHeight="1">
      <c r="A55" s="41" t="s">
        <v>63</v>
      </c>
      <c r="B55" s="42" t="s">
        <v>64</v>
      </c>
      <c r="C55" s="43">
        <v>4015788</v>
      </c>
      <c r="D55" s="44" t="s">
        <v>122</v>
      </c>
      <c r="E55" s="44" t="s">
        <v>125</v>
      </c>
      <c r="F55" s="45">
        <v>10999</v>
      </c>
      <c r="G55" s="45">
        <v>7899</v>
      </c>
      <c r="H55" s="46">
        <v>7499</v>
      </c>
      <c r="I55" s="46">
        <v>7499</v>
      </c>
      <c r="J55" s="45">
        <v>7399</v>
      </c>
      <c r="K55" s="45">
        <v>7399</v>
      </c>
      <c r="L55" s="45">
        <v>7399</v>
      </c>
      <c r="M55" s="45">
        <v>7399</v>
      </c>
      <c r="N55" s="45">
        <v>7399</v>
      </c>
      <c r="O55" s="45">
        <v>7299</v>
      </c>
      <c r="P55" s="46">
        <v>7199</v>
      </c>
      <c r="Q55" s="46">
        <v>6999</v>
      </c>
      <c r="R55" s="45">
        <v>7299</v>
      </c>
      <c r="S55" s="45">
        <v>7199</v>
      </c>
      <c r="T55" s="46">
        <v>6999</v>
      </c>
      <c r="U55" s="46">
        <v>6999</v>
      </c>
      <c r="V55" s="46">
        <v>6999</v>
      </c>
      <c r="W55" s="46">
        <v>6999</v>
      </c>
      <c r="X55" s="46">
        <v>6899</v>
      </c>
      <c r="Y55" s="46">
        <v>6499</v>
      </c>
      <c r="Z55" s="46">
        <v>6499</v>
      </c>
      <c r="AA55" s="46">
        <v>6499</v>
      </c>
      <c r="AB55" s="45"/>
      <c r="AC55" s="45"/>
      <c r="AD55" s="45"/>
      <c r="AE55" s="45"/>
      <c r="AF55" s="45"/>
      <c r="AG55" s="45"/>
      <c r="AH55" s="45"/>
      <c r="AI55" s="45"/>
      <c r="AJ55" s="45"/>
      <c r="AK55" s="45"/>
      <c r="AL55" s="45"/>
      <c r="AM55" s="45"/>
      <c r="AN55" s="45"/>
      <c r="AO55" s="45"/>
      <c r="AP55" s="45"/>
      <c r="AQ55" s="45"/>
      <c r="AR55" s="45"/>
      <c r="AS55" s="45"/>
      <c r="AT55" s="45"/>
      <c r="AU55" s="45"/>
      <c r="AV55" s="47"/>
      <c r="AW55" s="48" t="s">
        <v>67</v>
      </c>
      <c r="AX55" s="49" t="s">
        <v>68</v>
      </c>
      <c r="AY55" s="50">
        <f t="shared" si="0"/>
        <v>151.47979999999998</v>
      </c>
      <c r="AZ55" s="50">
        <f t="shared" si="1"/>
        <v>136.48179999999999</v>
      </c>
      <c r="BA55" s="51">
        <f t="shared" si="2"/>
        <v>77.239699999999999</v>
      </c>
    </row>
    <row r="56" spans="1:53" ht="22.5" customHeight="1">
      <c r="A56" s="41" t="s">
        <v>63</v>
      </c>
      <c r="B56" s="42" t="s">
        <v>64</v>
      </c>
      <c r="C56" s="43">
        <v>4015763</v>
      </c>
      <c r="D56" s="44" t="s">
        <v>126</v>
      </c>
      <c r="E56" s="44" t="s">
        <v>127</v>
      </c>
      <c r="F56" s="45">
        <v>12499</v>
      </c>
      <c r="G56" s="45">
        <v>9999</v>
      </c>
      <c r="H56" s="46">
        <v>7999</v>
      </c>
      <c r="I56" s="46">
        <v>7999</v>
      </c>
      <c r="J56" s="45">
        <v>7899</v>
      </c>
      <c r="K56" s="45">
        <v>7899</v>
      </c>
      <c r="L56" s="45">
        <v>7899</v>
      </c>
      <c r="M56" s="45">
        <v>7899</v>
      </c>
      <c r="N56" s="45">
        <v>7899</v>
      </c>
      <c r="O56" s="45">
        <v>7799</v>
      </c>
      <c r="P56" s="46">
        <v>7699</v>
      </c>
      <c r="Q56" s="46">
        <v>7499</v>
      </c>
      <c r="R56" s="45">
        <v>7799</v>
      </c>
      <c r="S56" s="45">
        <v>7699</v>
      </c>
      <c r="T56" s="46">
        <v>7499</v>
      </c>
      <c r="U56" s="46">
        <v>7499</v>
      </c>
      <c r="V56" s="46">
        <v>7499</v>
      </c>
      <c r="W56" s="46">
        <v>7499</v>
      </c>
      <c r="X56" s="46">
        <v>7399</v>
      </c>
      <c r="Y56" s="46">
        <v>6999</v>
      </c>
      <c r="Z56" s="46">
        <v>6999</v>
      </c>
      <c r="AA56" s="46">
        <v>6999</v>
      </c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  <c r="AM56" s="45"/>
      <c r="AN56" s="45"/>
      <c r="AO56" s="45"/>
      <c r="AP56" s="45"/>
      <c r="AQ56" s="45"/>
      <c r="AR56" s="45"/>
      <c r="AS56" s="45"/>
      <c r="AT56" s="45"/>
      <c r="AU56" s="45"/>
      <c r="AV56" s="47"/>
      <c r="AW56" s="48" t="s">
        <v>67</v>
      </c>
      <c r="AX56" s="49" t="s">
        <v>68</v>
      </c>
      <c r="AY56" s="50">
        <f t="shared" si="0"/>
        <v>161.57980000000001</v>
      </c>
      <c r="AZ56" s="50">
        <f t="shared" si="1"/>
        <v>145.58180000000002</v>
      </c>
      <c r="BA56" s="51">
        <f t="shared" si="2"/>
        <v>82.389700000000005</v>
      </c>
    </row>
    <row r="57" spans="1:53" ht="22.5" customHeight="1">
      <c r="A57" s="41" t="s">
        <v>63</v>
      </c>
      <c r="B57" s="42" t="s">
        <v>64</v>
      </c>
      <c r="C57" s="43">
        <v>4015779</v>
      </c>
      <c r="D57" s="44" t="s">
        <v>126</v>
      </c>
      <c r="E57" s="44" t="s">
        <v>128</v>
      </c>
      <c r="F57" s="45">
        <v>12499</v>
      </c>
      <c r="G57" s="45">
        <v>9999</v>
      </c>
      <c r="H57" s="46">
        <v>7999</v>
      </c>
      <c r="I57" s="46">
        <v>7999</v>
      </c>
      <c r="J57" s="45">
        <v>7899</v>
      </c>
      <c r="K57" s="45">
        <v>7899</v>
      </c>
      <c r="L57" s="45">
        <v>7899</v>
      </c>
      <c r="M57" s="45">
        <v>7899</v>
      </c>
      <c r="N57" s="45">
        <v>7899</v>
      </c>
      <c r="O57" s="45">
        <v>7799</v>
      </c>
      <c r="P57" s="46">
        <v>7699</v>
      </c>
      <c r="Q57" s="46">
        <v>7499</v>
      </c>
      <c r="R57" s="45">
        <v>7799</v>
      </c>
      <c r="S57" s="45">
        <v>7699</v>
      </c>
      <c r="T57" s="46">
        <v>7499</v>
      </c>
      <c r="U57" s="46">
        <v>7499</v>
      </c>
      <c r="V57" s="46">
        <v>7499</v>
      </c>
      <c r="W57" s="46">
        <v>7499</v>
      </c>
      <c r="X57" s="46">
        <v>7399</v>
      </c>
      <c r="Y57" s="46">
        <v>6999</v>
      </c>
      <c r="Z57" s="46">
        <v>6999</v>
      </c>
      <c r="AA57" s="46">
        <v>6999</v>
      </c>
      <c r="AB57" s="45"/>
      <c r="AC57" s="45"/>
      <c r="AD57" s="45"/>
      <c r="AE57" s="45"/>
      <c r="AF57" s="45"/>
      <c r="AG57" s="45"/>
      <c r="AH57" s="45"/>
      <c r="AI57" s="45"/>
      <c r="AJ57" s="45"/>
      <c r="AK57" s="45"/>
      <c r="AL57" s="45"/>
      <c r="AM57" s="45"/>
      <c r="AN57" s="45"/>
      <c r="AO57" s="45"/>
      <c r="AP57" s="45"/>
      <c r="AQ57" s="45"/>
      <c r="AR57" s="45"/>
      <c r="AS57" s="45"/>
      <c r="AT57" s="45"/>
      <c r="AU57" s="45"/>
      <c r="AV57" s="47"/>
      <c r="AW57" s="48" t="s">
        <v>67</v>
      </c>
      <c r="AX57" s="49" t="s">
        <v>68</v>
      </c>
      <c r="AY57" s="50">
        <f t="shared" si="0"/>
        <v>161.57980000000001</v>
      </c>
      <c r="AZ57" s="50">
        <f t="shared" si="1"/>
        <v>145.58180000000002</v>
      </c>
      <c r="BA57" s="51">
        <f t="shared" si="2"/>
        <v>82.389700000000005</v>
      </c>
    </row>
    <row r="58" spans="1:53" ht="22.5" customHeight="1">
      <c r="A58" s="41" t="s">
        <v>63</v>
      </c>
      <c r="B58" s="42" t="s">
        <v>64</v>
      </c>
      <c r="C58" s="43">
        <v>4015793</v>
      </c>
      <c r="D58" s="44" t="s">
        <v>126</v>
      </c>
      <c r="E58" s="44" t="s">
        <v>129</v>
      </c>
      <c r="F58" s="45">
        <v>12499</v>
      </c>
      <c r="G58" s="45">
        <v>9999</v>
      </c>
      <c r="H58" s="46">
        <v>7999</v>
      </c>
      <c r="I58" s="46">
        <v>7999</v>
      </c>
      <c r="J58" s="45">
        <v>7899</v>
      </c>
      <c r="K58" s="45">
        <v>7899</v>
      </c>
      <c r="L58" s="45">
        <v>7899</v>
      </c>
      <c r="M58" s="45">
        <v>7899</v>
      </c>
      <c r="N58" s="45">
        <v>7899</v>
      </c>
      <c r="O58" s="45">
        <v>7799</v>
      </c>
      <c r="P58" s="46">
        <v>7699</v>
      </c>
      <c r="Q58" s="46">
        <v>7499</v>
      </c>
      <c r="R58" s="45">
        <v>7799</v>
      </c>
      <c r="S58" s="45">
        <v>7699</v>
      </c>
      <c r="T58" s="46">
        <v>7499</v>
      </c>
      <c r="U58" s="46">
        <v>7499</v>
      </c>
      <c r="V58" s="46">
        <v>7499</v>
      </c>
      <c r="W58" s="46">
        <v>7499</v>
      </c>
      <c r="X58" s="46">
        <v>7399</v>
      </c>
      <c r="Y58" s="46">
        <v>6999</v>
      </c>
      <c r="Z58" s="46">
        <v>6999</v>
      </c>
      <c r="AA58" s="46">
        <v>6999</v>
      </c>
      <c r="AB58" s="45"/>
      <c r="AC58" s="45"/>
      <c r="AD58" s="45"/>
      <c r="AE58" s="45"/>
      <c r="AF58" s="45"/>
      <c r="AG58" s="45"/>
      <c r="AH58" s="45"/>
      <c r="AI58" s="45"/>
      <c r="AJ58" s="45"/>
      <c r="AK58" s="45"/>
      <c r="AL58" s="45"/>
      <c r="AM58" s="45"/>
      <c r="AN58" s="45"/>
      <c r="AO58" s="45"/>
      <c r="AP58" s="45"/>
      <c r="AQ58" s="45"/>
      <c r="AR58" s="45"/>
      <c r="AS58" s="45"/>
      <c r="AT58" s="45"/>
      <c r="AU58" s="45"/>
      <c r="AV58" s="47"/>
      <c r="AW58" s="48" t="s">
        <v>67</v>
      </c>
      <c r="AX58" s="49" t="s">
        <v>68</v>
      </c>
      <c r="AY58" s="50">
        <f t="shared" si="0"/>
        <v>161.57980000000001</v>
      </c>
      <c r="AZ58" s="50">
        <f t="shared" si="1"/>
        <v>145.58180000000002</v>
      </c>
      <c r="BA58" s="51">
        <f t="shared" si="2"/>
        <v>82.389700000000005</v>
      </c>
    </row>
    <row r="59" spans="1:53" ht="22.5" customHeight="1">
      <c r="A59" s="41" t="s">
        <v>63</v>
      </c>
      <c r="B59" s="42" t="s">
        <v>64</v>
      </c>
      <c r="C59" s="43">
        <v>4016678</v>
      </c>
      <c r="D59" s="44" t="s">
        <v>130</v>
      </c>
      <c r="E59" s="44" t="s">
        <v>131</v>
      </c>
      <c r="F59" s="45">
        <v>7799</v>
      </c>
      <c r="G59" s="45">
        <v>6099</v>
      </c>
      <c r="H59" s="46">
        <v>5999</v>
      </c>
      <c r="I59" s="46">
        <v>5999</v>
      </c>
      <c r="J59" s="45">
        <v>5799</v>
      </c>
      <c r="K59" s="45">
        <v>5799</v>
      </c>
      <c r="L59" s="45">
        <v>5799</v>
      </c>
      <c r="M59" s="45">
        <v>5799</v>
      </c>
      <c r="N59" s="45">
        <v>5799</v>
      </c>
      <c r="O59" s="45">
        <v>5299</v>
      </c>
      <c r="P59" s="46">
        <v>5199</v>
      </c>
      <c r="Q59" s="46">
        <v>4999</v>
      </c>
      <c r="R59" s="45">
        <v>5299</v>
      </c>
      <c r="S59" s="45">
        <v>5199</v>
      </c>
      <c r="T59" s="46">
        <v>4999</v>
      </c>
      <c r="U59" s="46">
        <v>4999</v>
      </c>
      <c r="V59" s="46">
        <v>4999</v>
      </c>
      <c r="W59" s="46">
        <v>4999</v>
      </c>
      <c r="X59" s="46">
        <v>4899</v>
      </c>
      <c r="Y59" s="46">
        <v>3999</v>
      </c>
      <c r="Z59" s="46">
        <v>3999</v>
      </c>
      <c r="AA59" s="46">
        <v>3999</v>
      </c>
      <c r="AB59" s="45"/>
      <c r="AC59" s="45"/>
      <c r="AD59" s="45"/>
      <c r="AE59" s="45"/>
      <c r="AF59" s="45"/>
      <c r="AG59" s="45"/>
      <c r="AH59" s="45"/>
      <c r="AI59" s="45"/>
      <c r="AJ59" s="45"/>
      <c r="AK59" s="45"/>
      <c r="AL59" s="45"/>
      <c r="AM59" s="45"/>
      <c r="AN59" s="45"/>
      <c r="AO59" s="45"/>
      <c r="AP59" s="45"/>
      <c r="AQ59" s="45"/>
      <c r="AR59" s="45"/>
      <c r="AS59" s="45"/>
      <c r="AT59" s="45"/>
      <c r="AU59" s="45"/>
      <c r="AV59" s="47"/>
      <c r="AW59" s="48" t="s">
        <v>67</v>
      </c>
      <c r="AX59" s="49" t="s">
        <v>68</v>
      </c>
      <c r="AY59" s="50">
        <f t="shared" si="0"/>
        <v>121.1798</v>
      </c>
      <c r="AZ59" s="50">
        <f t="shared" si="1"/>
        <v>109.18180000000001</v>
      </c>
      <c r="BA59" s="51">
        <f t="shared" si="2"/>
        <v>61.789700000000003</v>
      </c>
    </row>
    <row r="60" spans="1:53" ht="22.5" customHeight="1">
      <c r="A60" s="41" t="s">
        <v>63</v>
      </c>
      <c r="B60" s="42" t="s">
        <v>64</v>
      </c>
      <c r="C60" s="43">
        <v>4016486</v>
      </c>
      <c r="D60" s="44" t="s">
        <v>130</v>
      </c>
      <c r="E60" s="44" t="s">
        <v>132</v>
      </c>
      <c r="F60" s="45">
        <v>7799</v>
      </c>
      <c r="G60" s="45">
        <v>6099</v>
      </c>
      <c r="H60" s="46">
        <v>5999</v>
      </c>
      <c r="I60" s="46">
        <v>5999</v>
      </c>
      <c r="J60" s="45">
        <v>5799</v>
      </c>
      <c r="K60" s="45">
        <v>5799</v>
      </c>
      <c r="L60" s="45">
        <v>5799</v>
      </c>
      <c r="M60" s="45">
        <v>5799</v>
      </c>
      <c r="N60" s="45">
        <v>5799</v>
      </c>
      <c r="O60" s="45">
        <v>5299</v>
      </c>
      <c r="P60" s="46">
        <v>5199</v>
      </c>
      <c r="Q60" s="46">
        <v>4999</v>
      </c>
      <c r="R60" s="45">
        <v>5299</v>
      </c>
      <c r="S60" s="45">
        <v>5199</v>
      </c>
      <c r="T60" s="46">
        <v>4999</v>
      </c>
      <c r="U60" s="46">
        <v>4999</v>
      </c>
      <c r="V60" s="46">
        <v>4999</v>
      </c>
      <c r="W60" s="46">
        <v>4999</v>
      </c>
      <c r="X60" s="46">
        <v>4899</v>
      </c>
      <c r="Y60" s="46">
        <v>3999</v>
      </c>
      <c r="Z60" s="46">
        <v>3999</v>
      </c>
      <c r="AA60" s="46">
        <v>3999</v>
      </c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  <c r="AM60" s="45"/>
      <c r="AN60" s="45"/>
      <c r="AO60" s="45"/>
      <c r="AP60" s="45"/>
      <c r="AQ60" s="45"/>
      <c r="AR60" s="45"/>
      <c r="AS60" s="45"/>
      <c r="AT60" s="45"/>
      <c r="AU60" s="45"/>
      <c r="AV60" s="47"/>
      <c r="AW60" s="48" t="s">
        <v>67</v>
      </c>
      <c r="AX60" s="49" t="s">
        <v>68</v>
      </c>
      <c r="AY60" s="50">
        <f t="shared" si="0"/>
        <v>121.1798</v>
      </c>
      <c r="AZ60" s="50">
        <f t="shared" si="1"/>
        <v>109.18180000000001</v>
      </c>
      <c r="BA60" s="51">
        <f t="shared" si="2"/>
        <v>61.789700000000003</v>
      </c>
    </row>
    <row r="61" spans="1:53" ht="22.5" customHeight="1">
      <c r="A61" s="41" t="s">
        <v>63</v>
      </c>
      <c r="B61" s="42" t="s">
        <v>64</v>
      </c>
      <c r="C61" s="43">
        <v>4016599</v>
      </c>
      <c r="D61" s="44" t="s">
        <v>130</v>
      </c>
      <c r="E61" s="44" t="s">
        <v>133</v>
      </c>
      <c r="F61" s="45">
        <v>7799</v>
      </c>
      <c r="G61" s="45">
        <v>6099</v>
      </c>
      <c r="H61" s="46">
        <v>5999</v>
      </c>
      <c r="I61" s="46">
        <v>5999</v>
      </c>
      <c r="J61" s="45">
        <v>5799</v>
      </c>
      <c r="K61" s="45">
        <v>5799</v>
      </c>
      <c r="L61" s="45">
        <v>5799</v>
      </c>
      <c r="M61" s="45">
        <v>5799</v>
      </c>
      <c r="N61" s="45">
        <v>5799</v>
      </c>
      <c r="O61" s="45">
        <v>5299</v>
      </c>
      <c r="P61" s="46">
        <v>5199</v>
      </c>
      <c r="Q61" s="46">
        <v>4999</v>
      </c>
      <c r="R61" s="45">
        <v>5299</v>
      </c>
      <c r="S61" s="45">
        <v>5199</v>
      </c>
      <c r="T61" s="46">
        <v>4999</v>
      </c>
      <c r="U61" s="46">
        <v>4999</v>
      </c>
      <c r="V61" s="46">
        <v>4999</v>
      </c>
      <c r="W61" s="46">
        <v>4999</v>
      </c>
      <c r="X61" s="46">
        <v>4899</v>
      </c>
      <c r="Y61" s="46">
        <v>3999</v>
      </c>
      <c r="Z61" s="46">
        <v>3999</v>
      </c>
      <c r="AA61" s="46">
        <v>3999</v>
      </c>
      <c r="AB61" s="45"/>
      <c r="AC61" s="45"/>
      <c r="AD61" s="45"/>
      <c r="AE61" s="45"/>
      <c r="AF61" s="45"/>
      <c r="AG61" s="45"/>
      <c r="AH61" s="45"/>
      <c r="AI61" s="45"/>
      <c r="AJ61" s="45"/>
      <c r="AK61" s="45"/>
      <c r="AL61" s="45"/>
      <c r="AM61" s="45"/>
      <c r="AN61" s="45"/>
      <c r="AO61" s="45"/>
      <c r="AP61" s="45"/>
      <c r="AQ61" s="45"/>
      <c r="AR61" s="45"/>
      <c r="AS61" s="45"/>
      <c r="AT61" s="45"/>
      <c r="AU61" s="45"/>
      <c r="AV61" s="47"/>
      <c r="AW61" s="48" t="s">
        <v>67</v>
      </c>
      <c r="AX61" s="49" t="s">
        <v>68</v>
      </c>
      <c r="AY61" s="50">
        <f t="shared" si="0"/>
        <v>121.1798</v>
      </c>
      <c r="AZ61" s="50">
        <f t="shared" si="1"/>
        <v>109.18180000000001</v>
      </c>
      <c r="BA61" s="51">
        <f t="shared" si="2"/>
        <v>61.789700000000003</v>
      </c>
    </row>
    <row r="62" spans="1:53" ht="22.5" customHeight="1">
      <c r="A62" s="41" t="s">
        <v>63</v>
      </c>
      <c r="B62" s="42" t="s">
        <v>64</v>
      </c>
      <c r="C62" s="43">
        <v>4016672</v>
      </c>
      <c r="D62" s="44" t="s">
        <v>130</v>
      </c>
      <c r="E62" s="44" t="s">
        <v>134</v>
      </c>
      <c r="F62" s="45">
        <v>7799</v>
      </c>
      <c r="G62" s="45">
        <v>6099</v>
      </c>
      <c r="H62" s="46">
        <v>5999</v>
      </c>
      <c r="I62" s="46">
        <v>5999</v>
      </c>
      <c r="J62" s="45">
        <v>5799</v>
      </c>
      <c r="K62" s="45">
        <v>5799</v>
      </c>
      <c r="L62" s="45">
        <v>5799</v>
      </c>
      <c r="M62" s="45">
        <v>5799</v>
      </c>
      <c r="N62" s="45">
        <v>5799</v>
      </c>
      <c r="O62" s="45">
        <v>5299</v>
      </c>
      <c r="P62" s="46">
        <v>5199</v>
      </c>
      <c r="Q62" s="46">
        <v>4999</v>
      </c>
      <c r="R62" s="45">
        <v>5299</v>
      </c>
      <c r="S62" s="45">
        <v>5199</v>
      </c>
      <c r="T62" s="46">
        <v>4999</v>
      </c>
      <c r="U62" s="46">
        <v>4999</v>
      </c>
      <c r="V62" s="46">
        <v>4999</v>
      </c>
      <c r="W62" s="46">
        <v>4999</v>
      </c>
      <c r="X62" s="46">
        <v>4899</v>
      </c>
      <c r="Y62" s="46">
        <v>3999</v>
      </c>
      <c r="Z62" s="46">
        <v>3999</v>
      </c>
      <c r="AA62" s="46">
        <v>3999</v>
      </c>
      <c r="AB62" s="45"/>
      <c r="AC62" s="45"/>
      <c r="AD62" s="45"/>
      <c r="AE62" s="45"/>
      <c r="AF62" s="45"/>
      <c r="AG62" s="45"/>
      <c r="AH62" s="45"/>
      <c r="AI62" s="45"/>
      <c r="AJ62" s="45"/>
      <c r="AK62" s="45"/>
      <c r="AL62" s="45"/>
      <c r="AM62" s="45"/>
      <c r="AN62" s="45"/>
      <c r="AO62" s="45"/>
      <c r="AP62" s="45"/>
      <c r="AQ62" s="45"/>
      <c r="AR62" s="45"/>
      <c r="AS62" s="45"/>
      <c r="AT62" s="45"/>
      <c r="AU62" s="45"/>
      <c r="AV62" s="47"/>
      <c r="AW62" s="48" t="s">
        <v>67</v>
      </c>
      <c r="AX62" s="49" t="s">
        <v>68</v>
      </c>
      <c r="AY62" s="50">
        <f t="shared" si="0"/>
        <v>121.1798</v>
      </c>
      <c r="AZ62" s="50">
        <f t="shared" si="1"/>
        <v>109.18180000000001</v>
      </c>
      <c r="BA62" s="51">
        <f t="shared" si="2"/>
        <v>61.789700000000003</v>
      </c>
    </row>
    <row r="63" spans="1:53" ht="22.5" customHeight="1">
      <c r="A63" s="41" t="s">
        <v>63</v>
      </c>
      <c r="B63" s="42" t="s">
        <v>64</v>
      </c>
      <c r="C63" s="43">
        <v>4016682</v>
      </c>
      <c r="D63" s="44" t="s">
        <v>130</v>
      </c>
      <c r="E63" s="44" t="s">
        <v>135</v>
      </c>
      <c r="F63" s="45">
        <v>7799</v>
      </c>
      <c r="G63" s="45">
        <v>6099</v>
      </c>
      <c r="H63" s="46">
        <v>5999</v>
      </c>
      <c r="I63" s="46">
        <v>5999</v>
      </c>
      <c r="J63" s="45">
        <v>5799</v>
      </c>
      <c r="K63" s="45">
        <v>5799</v>
      </c>
      <c r="L63" s="45">
        <v>5799</v>
      </c>
      <c r="M63" s="45">
        <v>5799</v>
      </c>
      <c r="N63" s="45">
        <v>5799</v>
      </c>
      <c r="O63" s="45">
        <v>5299</v>
      </c>
      <c r="P63" s="46">
        <v>5199</v>
      </c>
      <c r="Q63" s="46">
        <v>4999</v>
      </c>
      <c r="R63" s="45">
        <v>5299</v>
      </c>
      <c r="S63" s="45">
        <v>5199</v>
      </c>
      <c r="T63" s="46">
        <v>4999</v>
      </c>
      <c r="U63" s="46">
        <v>4999</v>
      </c>
      <c r="V63" s="46">
        <v>4999</v>
      </c>
      <c r="W63" s="46">
        <v>4999</v>
      </c>
      <c r="X63" s="46">
        <v>4899</v>
      </c>
      <c r="Y63" s="46">
        <v>3999</v>
      </c>
      <c r="Z63" s="46">
        <v>3999</v>
      </c>
      <c r="AA63" s="46">
        <v>3999</v>
      </c>
      <c r="AB63" s="45"/>
      <c r="AC63" s="45"/>
      <c r="AD63" s="45"/>
      <c r="AE63" s="45"/>
      <c r="AF63" s="45"/>
      <c r="AG63" s="45"/>
      <c r="AH63" s="45"/>
      <c r="AI63" s="45"/>
      <c r="AJ63" s="45"/>
      <c r="AK63" s="45"/>
      <c r="AL63" s="45"/>
      <c r="AM63" s="45"/>
      <c r="AN63" s="45"/>
      <c r="AO63" s="45"/>
      <c r="AP63" s="45"/>
      <c r="AQ63" s="45"/>
      <c r="AR63" s="45"/>
      <c r="AS63" s="45"/>
      <c r="AT63" s="45"/>
      <c r="AU63" s="45"/>
      <c r="AV63" s="47"/>
      <c r="AW63" s="48" t="s">
        <v>67</v>
      </c>
      <c r="AX63" s="49" t="s">
        <v>68</v>
      </c>
      <c r="AY63" s="50">
        <f t="shared" si="0"/>
        <v>121.1798</v>
      </c>
      <c r="AZ63" s="50">
        <f t="shared" si="1"/>
        <v>109.18180000000001</v>
      </c>
      <c r="BA63" s="51">
        <f t="shared" si="2"/>
        <v>61.789700000000003</v>
      </c>
    </row>
    <row r="64" spans="1:53" ht="22.5" customHeight="1">
      <c r="A64" s="41" t="s">
        <v>63</v>
      </c>
      <c r="B64" s="42" t="s">
        <v>64</v>
      </c>
      <c r="C64" s="43">
        <v>4016560</v>
      </c>
      <c r="D64" s="44" t="s">
        <v>136</v>
      </c>
      <c r="E64" s="44" t="s">
        <v>137</v>
      </c>
      <c r="F64" s="45">
        <v>8599</v>
      </c>
      <c r="G64" s="45">
        <v>4699</v>
      </c>
      <c r="H64" s="46">
        <v>5799</v>
      </c>
      <c r="I64" s="46">
        <v>5799</v>
      </c>
      <c r="J64" s="45">
        <v>5699</v>
      </c>
      <c r="K64" s="45">
        <v>5699</v>
      </c>
      <c r="L64" s="45">
        <v>5699</v>
      </c>
      <c r="M64" s="45">
        <v>5699</v>
      </c>
      <c r="N64" s="45">
        <v>5699</v>
      </c>
      <c r="O64" s="45">
        <v>5599</v>
      </c>
      <c r="P64" s="46">
        <v>5499</v>
      </c>
      <c r="Q64" s="46">
        <v>4799</v>
      </c>
      <c r="R64" s="45">
        <v>5599</v>
      </c>
      <c r="S64" s="45">
        <v>5499</v>
      </c>
      <c r="T64" s="46">
        <v>4799</v>
      </c>
      <c r="U64" s="46">
        <v>4799</v>
      </c>
      <c r="V64" s="46">
        <v>4799</v>
      </c>
      <c r="W64" s="46">
        <v>4799</v>
      </c>
      <c r="X64" s="46">
        <v>4699</v>
      </c>
      <c r="Y64" s="46">
        <v>4299</v>
      </c>
      <c r="Z64" s="46">
        <v>4299</v>
      </c>
      <c r="AA64" s="46">
        <v>4249</v>
      </c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  <c r="AM64" s="45"/>
      <c r="AN64" s="45"/>
      <c r="AO64" s="45"/>
      <c r="AP64" s="45"/>
      <c r="AQ64" s="45"/>
      <c r="AR64" s="45"/>
      <c r="AS64" s="45"/>
      <c r="AT64" s="45"/>
      <c r="AU64" s="45"/>
      <c r="AV64" s="47"/>
      <c r="AW64" s="48" t="s">
        <v>67</v>
      </c>
      <c r="AX64" s="49" t="s">
        <v>68</v>
      </c>
      <c r="AY64" s="50">
        <f t="shared" si="0"/>
        <v>117.13979999999999</v>
      </c>
      <c r="AZ64" s="50">
        <f t="shared" si="1"/>
        <v>105.54180000000001</v>
      </c>
      <c r="BA64" s="51">
        <f t="shared" si="2"/>
        <v>59.729700000000001</v>
      </c>
    </row>
    <row r="65" spans="1:53" ht="22.5" customHeight="1">
      <c r="A65" s="41" t="s">
        <v>63</v>
      </c>
      <c r="B65" s="42" t="s">
        <v>64</v>
      </c>
      <c r="C65" s="43">
        <v>4016565</v>
      </c>
      <c r="D65" s="44" t="s">
        <v>136</v>
      </c>
      <c r="E65" s="44" t="s">
        <v>138</v>
      </c>
      <c r="F65" s="45">
        <v>8599</v>
      </c>
      <c r="G65" s="45">
        <v>4699</v>
      </c>
      <c r="H65" s="46">
        <v>5799</v>
      </c>
      <c r="I65" s="46">
        <v>5799</v>
      </c>
      <c r="J65" s="45">
        <v>5699</v>
      </c>
      <c r="K65" s="45">
        <v>5699</v>
      </c>
      <c r="L65" s="45">
        <v>5699</v>
      </c>
      <c r="M65" s="45">
        <v>5699</v>
      </c>
      <c r="N65" s="45">
        <v>5699</v>
      </c>
      <c r="O65" s="45">
        <v>5599</v>
      </c>
      <c r="P65" s="46">
        <v>5499</v>
      </c>
      <c r="Q65" s="46">
        <v>4799</v>
      </c>
      <c r="R65" s="45">
        <v>5599</v>
      </c>
      <c r="S65" s="45">
        <v>5499</v>
      </c>
      <c r="T65" s="46">
        <v>4799</v>
      </c>
      <c r="U65" s="46">
        <v>4799</v>
      </c>
      <c r="V65" s="46">
        <v>4799</v>
      </c>
      <c r="W65" s="46">
        <v>4799</v>
      </c>
      <c r="X65" s="46">
        <v>4699</v>
      </c>
      <c r="Y65" s="46">
        <v>4299</v>
      </c>
      <c r="Z65" s="46">
        <v>4299</v>
      </c>
      <c r="AA65" s="46">
        <v>4249</v>
      </c>
      <c r="AB65" s="45"/>
      <c r="AC65" s="45"/>
      <c r="AD65" s="45"/>
      <c r="AE65" s="45"/>
      <c r="AF65" s="45"/>
      <c r="AG65" s="45"/>
      <c r="AH65" s="45"/>
      <c r="AI65" s="45"/>
      <c r="AJ65" s="45"/>
      <c r="AK65" s="45"/>
      <c r="AL65" s="45"/>
      <c r="AM65" s="45"/>
      <c r="AN65" s="45"/>
      <c r="AO65" s="45"/>
      <c r="AP65" s="45"/>
      <c r="AQ65" s="45"/>
      <c r="AR65" s="45"/>
      <c r="AS65" s="45"/>
      <c r="AT65" s="45"/>
      <c r="AU65" s="45"/>
      <c r="AV65" s="47"/>
      <c r="AW65" s="48" t="s">
        <v>67</v>
      </c>
      <c r="AX65" s="49" t="s">
        <v>68</v>
      </c>
      <c r="AY65" s="50">
        <f t="shared" si="0"/>
        <v>117.13979999999999</v>
      </c>
      <c r="AZ65" s="50">
        <f t="shared" si="1"/>
        <v>105.54180000000001</v>
      </c>
      <c r="BA65" s="51">
        <f t="shared" si="2"/>
        <v>59.729700000000001</v>
      </c>
    </row>
    <row r="66" spans="1:53" ht="22.5" customHeight="1">
      <c r="A66" s="41" t="s">
        <v>63</v>
      </c>
      <c r="B66" s="42" t="s">
        <v>64</v>
      </c>
      <c r="C66" s="43">
        <v>4016675</v>
      </c>
      <c r="D66" s="44" t="s">
        <v>136</v>
      </c>
      <c r="E66" s="44" t="s">
        <v>139</v>
      </c>
      <c r="F66" s="45">
        <v>8599</v>
      </c>
      <c r="G66" s="45">
        <v>4699</v>
      </c>
      <c r="H66" s="46">
        <v>5799</v>
      </c>
      <c r="I66" s="46">
        <v>5799</v>
      </c>
      <c r="J66" s="45">
        <v>5699</v>
      </c>
      <c r="K66" s="45">
        <v>5699</v>
      </c>
      <c r="L66" s="45">
        <v>5699</v>
      </c>
      <c r="M66" s="45">
        <v>5699</v>
      </c>
      <c r="N66" s="45">
        <v>5699</v>
      </c>
      <c r="O66" s="45">
        <v>5599</v>
      </c>
      <c r="P66" s="46">
        <v>5499</v>
      </c>
      <c r="Q66" s="46">
        <v>4799</v>
      </c>
      <c r="R66" s="45">
        <v>5599</v>
      </c>
      <c r="S66" s="45">
        <v>5499</v>
      </c>
      <c r="T66" s="46">
        <v>4799</v>
      </c>
      <c r="U66" s="46">
        <v>4799</v>
      </c>
      <c r="V66" s="46">
        <v>4799</v>
      </c>
      <c r="W66" s="46">
        <v>4799</v>
      </c>
      <c r="X66" s="46">
        <v>4699</v>
      </c>
      <c r="Y66" s="46">
        <v>4299</v>
      </c>
      <c r="Z66" s="46">
        <v>4299</v>
      </c>
      <c r="AA66" s="46">
        <v>4249</v>
      </c>
      <c r="AB66" s="45"/>
      <c r="AC66" s="45"/>
      <c r="AD66" s="45"/>
      <c r="AE66" s="45"/>
      <c r="AF66" s="45"/>
      <c r="AG66" s="45"/>
      <c r="AH66" s="45"/>
      <c r="AI66" s="45"/>
      <c r="AJ66" s="45"/>
      <c r="AK66" s="45"/>
      <c r="AL66" s="45"/>
      <c r="AM66" s="45"/>
      <c r="AN66" s="45"/>
      <c r="AO66" s="45"/>
      <c r="AP66" s="45"/>
      <c r="AQ66" s="45"/>
      <c r="AR66" s="45"/>
      <c r="AS66" s="45"/>
      <c r="AT66" s="45"/>
      <c r="AU66" s="45"/>
      <c r="AV66" s="47"/>
      <c r="AW66" s="48" t="s">
        <v>67</v>
      </c>
      <c r="AX66" s="49" t="s">
        <v>68</v>
      </c>
      <c r="AY66" s="50">
        <f t="shared" si="0"/>
        <v>117.13979999999999</v>
      </c>
      <c r="AZ66" s="50">
        <f t="shared" si="1"/>
        <v>105.54180000000001</v>
      </c>
      <c r="BA66" s="51">
        <f t="shared" si="2"/>
        <v>59.729700000000001</v>
      </c>
    </row>
    <row r="67" spans="1:53" ht="22.5" customHeight="1">
      <c r="A67" s="41" t="s">
        <v>63</v>
      </c>
      <c r="B67" s="42" t="s">
        <v>64</v>
      </c>
      <c r="C67" s="43">
        <v>4016670</v>
      </c>
      <c r="D67" s="44" t="s">
        <v>136</v>
      </c>
      <c r="E67" s="44" t="s">
        <v>140</v>
      </c>
      <c r="F67" s="45">
        <v>8599</v>
      </c>
      <c r="G67" s="45">
        <v>4699</v>
      </c>
      <c r="H67" s="46">
        <v>5799</v>
      </c>
      <c r="I67" s="46">
        <v>5799</v>
      </c>
      <c r="J67" s="45">
        <v>5699</v>
      </c>
      <c r="K67" s="45">
        <v>5699</v>
      </c>
      <c r="L67" s="45">
        <v>5699</v>
      </c>
      <c r="M67" s="45">
        <v>5699</v>
      </c>
      <c r="N67" s="45">
        <v>5699</v>
      </c>
      <c r="O67" s="45">
        <v>5599</v>
      </c>
      <c r="P67" s="46">
        <v>5499</v>
      </c>
      <c r="Q67" s="46">
        <v>4799</v>
      </c>
      <c r="R67" s="45">
        <v>5599</v>
      </c>
      <c r="S67" s="45">
        <v>5499</v>
      </c>
      <c r="T67" s="46">
        <v>4799</v>
      </c>
      <c r="U67" s="46">
        <v>4799</v>
      </c>
      <c r="V67" s="46">
        <v>4799</v>
      </c>
      <c r="W67" s="46">
        <v>4799</v>
      </c>
      <c r="X67" s="46">
        <v>4699</v>
      </c>
      <c r="Y67" s="46">
        <v>4299</v>
      </c>
      <c r="Z67" s="46">
        <v>4299</v>
      </c>
      <c r="AA67" s="46">
        <v>4249</v>
      </c>
      <c r="AB67" s="45"/>
      <c r="AC67" s="45"/>
      <c r="AD67" s="45"/>
      <c r="AE67" s="45"/>
      <c r="AF67" s="45"/>
      <c r="AG67" s="45"/>
      <c r="AH67" s="45"/>
      <c r="AI67" s="45"/>
      <c r="AJ67" s="45"/>
      <c r="AK67" s="45"/>
      <c r="AL67" s="45"/>
      <c r="AM67" s="45"/>
      <c r="AN67" s="45"/>
      <c r="AO67" s="45"/>
      <c r="AP67" s="45"/>
      <c r="AQ67" s="45"/>
      <c r="AR67" s="45"/>
      <c r="AS67" s="45"/>
      <c r="AT67" s="45"/>
      <c r="AU67" s="45"/>
      <c r="AV67" s="47"/>
      <c r="AW67" s="48" t="s">
        <v>67</v>
      </c>
      <c r="AX67" s="49" t="s">
        <v>68</v>
      </c>
      <c r="AY67" s="50">
        <f t="shared" si="0"/>
        <v>117.13979999999999</v>
      </c>
      <c r="AZ67" s="50">
        <f t="shared" si="1"/>
        <v>105.54180000000001</v>
      </c>
      <c r="BA67" s="51">
        <f t="shared" si="2"/>
        <v>59.729700000000001</v>
      </c>
    </row>
    <row r="68" spans="1:53" ht="22.5" customHeight="1">
      <c r="A68" s="41" t="s">
        <v>63</v>
      </c>
      <c r="B68" s="42" t="s">
        <v>64</v>
      </c>
      <c r="C68" s="43">
        <v>4016673</v>
      </c>
      <c r="D68" s="44" t="s">
        <v>136</v>
      </c>
      <c r="E68" s="44" t="s">
        <v>141</v>
      </c>
      <c r="F68" s="45">
        <v>8599</v>
      </c>
      <c r="G68" s="45">
        <v>4699</v>
      </c>
      <c r="H68" s="46">
        <v>5799</v>
      </c>
      <c r="I68" s="46">
        <v>5799</v>
      </c>
      <c r="J68" s="45">
        <v>5699</v>
      </c>
      <c r="K68" s="45">
        <v>5699</v>
      </c>
      <c r="L68" s="45">
        <v>5699</v>
      </c>
      <c r="M68" s="45">
        <v>5699</v>
      </c>
      <c r="N68" s="45">
        <v>5699</v>
      </c>
      <c r="O68" s="45">
        <v>5599</v>
      </c>
      <c r="P68" s="46">
        <v>5499</v>
      </c>
      <c r="Q68" s="46">
        <v>4799</v>
      </c>
      <c r="R68" s="45">
        <v>5599</v>
      </c>
      <c r="S68" s="45">
        <v>5499</v>
      </c>
      <c r="T68" s="46">
        <v>4799</v>
      </c>
      <c r="U68" s="46">
        <v>4799</v>
      </c>
      <c r="V68" s="46">
        <v>4799</v>
      </c>
      <c r="W68" s="46">
        <v>4799</v>
      </c>
      <c r="X68" s="46">
        <v>4699</v>
      </c>
      <c r="Y68" s="46">
        <v>4299</v>
      </c>
      <c r="Z68" s="46">
        <v>4299</v>
      </c>
      <c r="AA68" s="46">
        <v>4249</v>
      </c>
      <c r="AB68" s="45"/>
      <c r="AC68" s="45"/>
      <c r="AD68" s="45"/>
      <c r="AE68" s="45"/>
      <c r="AF68" s="45"/>
      <c r="AG68" s="45"/>
      <c r="AH68" s="45"/>
      <c r="AI68" s="45"/>
      <c r="AJ68" s="45"/>
      <c r="AK68" s="45"/>
      <c r="AL68" s="45"/>
      <c r="AM68" s="45"/>
      <c r="AN68" s="45"/>
      <c r="AO68" s="45"/>
      <c r="AP68" s="45"/>
      <c r="AQ68" s="45"/>
      <c r="AR68" s="45"/>
      <c r="AS68" s="45"/>
      <c r="AT68" s="45"/>
      <c r="AU68" s="45"/>
      <c r="AV68" s="47"/>
      <c r="AW68" s="48" t="s">
        <v>67</v>
      </c>
      <c r="AX68" s="49" t="s">
        <v>68</v>
      </c>
      <c r="AY68" s="50">
        <f t="shared" si="0"/>
        <v>117.13979999999999</v>
      </c>
      <c r="AZ68" s="50">
        <f t="shared" si="1"/>
        <v>105.54180000000001</v>
      </c>
      <c r="BA68" s="51">
        <f t="shared" si="2"/>
        <v>59.729700000000001</v>
      </c>
    </row>
    <row r="69" spans="1:53" ht="22.5" customHeight="1">
      <c r="A69" s="41" t="s">
        <v>63</v>
      </c>
      <c r="B69" s="42" t="s">
        <v>64</v>
      </c>
      <c r="C69" s="43">
        <v>4016679</v>
      </c>
      <c r="D69" s="44" t="s">
        <v>136</v>
      </c>
      <c r="E69" s="44" t="s">
        <v>142</v>
      </c>
      <c r="F69" s="45">
        <v>8599</v>
      </c>
      <c r="G69" s="45">
        <v>4699</v>
      </c>
      <c r="H69" s="46">
        <v>5799</v>
      </c>
      <c r="I69" s="46">
        <v>5799</v>
      </c>
      <c r="J69" s="45">
        <v>5699</v>
      </c>
      <c r="K69" s="45">
        <v>5699</v>
      </c>
      <c r="L69" s="45">
        <v>5699</v>
      </c>
      <c r="M69" s="45">
        <v>5699</v>
      </c>
      <c r="N69" s="45">
        <v>5699</v>
      </c>
      <c r="O69" s="45">
        <v>5599</v>
      </c>
      <c r="P69" s="46">
        <v>5499</v>
      </c>
      <c r="Q69" s="46">
        <v>4799</v>
      </c>
      <c r="R69" s="45">
        <v>5599</v>
      </c>
      <c r="S69" s="45">
        <v>5499</v>
      </c>
      <c r="T69" s="46">
        <v>4799</v>
      </c>
      <c r="U69" s="46">
        <v>4799</v>
      </c>
      <c r="V69" s="46">
        <v>4799</v>
      </c>
      <c r="W69" s="46">
        <v>4799</v>
      </c>
      <c r="X69" s="46">
        <v>4699</v>
      </c>
      <c r="Y69" s="46">
        <v>4299</v>
      </c>
      <c r="Z69" s="46">
        <v>4299</v>
      </c>
      <c r="AA69" s="46">
        <v>4249</v>
      </c>
      <c r="AB69" s="45"/>
      <c r="AC69" s="45"/>
      <c r="AD69" s="45"/>
      <c r="AE69" s="45"/>
      <c r="AF69" s="45"/>
      <c r="AG69" s="45"/>
      <c r="AH69" s="45"/>
      <c r="AI69" s="45"/>
      <c r="AJ69" s="45"/>
      <c r="AK69" s="45"/>
      <c r="AL69" s="45"/>
      <c r="AM69" s="45"/>
      <c r="AN69" s="45"/>
      <c r="AO69" s="45"/>
      <c r="AP69" s="45"/>
      <c r="AQ69" s="45"/>
      <c r="AR69" s="45"/>
      <c r="AS69" s="45"/>
      <c r="AT69" s="45"/>
      <c r="AU69" s="45"/>
      <c r="AV69" s="47"/>
      <c r="AW69" s="48" t="s">
        <v>67</v>
      </c>
      <c r="AX69" s="49" t="s">
        <v>68</v>
      </c>
      <c r="AY69" s="50">
        <f t="shared" si="0"/>
        <v>117.13979999999999</v>
      </c>
      <c r="AZ69" s="50">
        <f t="shared" si="1"/>
        <v>105.54180000000001</v>
      </c>
      <c r="BA69" s="51">
        <f t="shared" si="2"/>
        <v>59.729700000000001</v>
      </c>
    </row>
    <row r="70" spans="1:53" ht="22.5" customHeight="1">
      <c r="A70" s="41" t="s">
        <v>63</v>
      </c>
      <c r="B70" s="42" t="s">
        <v>64</v>
      </c>
      <c r="C70" s="43">
        <v>4016594</v>
      </c>
      <c r="D70" s="44" t="s">
        <v>143</v>
      </c>
      <c r="E70" s="44" t="s">
        <v>144</v>
      </c>
      <c r="F70" s="45">
        <v>10499</v>
      </c>
      <c r="G70" s="45">
        <v>7699</v>
      </c>
      <c r="H70" s="46">
        <v>9099</v>
      </c>
      <c r="I70" s="46">
        <v>9099</v>
      </c>
      <c r="J70" s="45">
        <v>8999</v>
      </c>
      <c r="K70" s="45">
        <v>8999</v>
      </c>
      <c r="L70" s="45">
        <v>8999</v>
      </c>
      <c r="M70" s="45">
        <v>8999</v>
      </c>
      <c r="N70" s="45">
        <v>8999</v>
      </c>
      <c r="O70" s="45">
        <v>8899</v>
      </c>
      <c r="P70" s="46">
        <v>8799</v>
      </c>
      <c r="Q70" s="46">
        <v>7999</v>
      </c>
      <c r="R70" s="45">
        <v>8899</v>
      </c>
      <c r="S70" s="45">
        <v>8799</v>
      </c>
      <c r="T70" s="46">
        <v>7999</v>
      </c>
      <c r="U70" s="46">
        <v>7999</v>
      </c>
      <c r="V70" s="46">
        <v>7699</v>
      </c>
      <c r="W70" s="46">
        <v>7699</v>
      </c>
      <c r="X70" s="46">
        <v>7699</v>
      </c>
      <c r="Y70" s="46">
        <v>7499</v>
      </c>
      <c r="Z70" s="46">
        <v>7499</v>
      </c>
      <c r="AA70" s="46">
        <v>7499</v>
      </c>
      <c r="AB70" s="45"/>
      <c r="AC70" s="45"/>
      <c r="AD70" s="45"/>
      <c r="AE70" s="45"/>
      <c r="AF70" s="45"/>
      <c r="AG70" s="45"/>
      <c r="AH70" s="45"/>
      <c r="AI70" s="45"/>
      <c r="AJ70" s="45"/>
      <c r="AK70" s="45"/>
      <c r="AL70" s="45"/>
      <c r="AM70" s="45"/>
      <c r="AN70" s="45"/>
      <c r="AO70" s="45"/>
      <c r="AP70" s="45"/>
      <c r="AQ70" s="45"/>
      <c r="AR70" s="45"/>
      <c r="AS70" s="45"/>
      <c r="AT70" s="45"/>
      <c r="AU70" s="45"/>
      <c r="AV70" s="47"/>
      <c r="AW70" s="48" t="s">
        <v>67</v>
      </c>
      <c r="AX70" s="49" t="s">
        <v>68</v>
      </c>
      <c r="AY70" s="50">
        <f t="shared" si="0"/>
        <v>183.7998</v>
      </c>
      <c r="AZ70" s="50">
        <f t="shared" si="1"/>
        <v>165.6018</v>
      </c>
      <c r="BA70" s="51">
        <f t="shared" si="2"/>
        <v>93.719700000000003</v>
      </c>
    </row>
    <row r="71" spans="1:53" ht="22.5" customHeight="1">
      <c r="A71" s="41" t="s">
        <v>63</v>
      </c>
      <c r="B71" s="42" t="s">
        <v>64</v>
      </c>
      <c r="C71" s="43">
        <v>4016593</v>
      </c>
      <c r="D71" s="44" t="s">
        <v>143</v>
      </c>
      <c r="E71" s="44" t="s">
        <v>145</v>
      </c>
      <c r="F71" s="45">
        <v>10499</v>
      </c>
      <c r="G71" s="45">
        <v>7699</v>
      </c>
      <c r="H71" s="46">
        <v>9099</v>
      </c>
      <c r="I71" s="46">
        <v>9099</v>
      </c>
      <c r="J71" s="45">
        <v>8999</v>
      </c>
      <c r="K71" s="45">
        <v>8999</v>
      </c>
      <c r="L71" s="45">
        <v>8999</v>
      </c>
      <c r="M71" s="45">
        <v>8999</v>
      </c>
      <c r="N71" s="45">
        <v>8999</v>
      </c>
      <c r="O71" s="45">
        <v>8899</v>
      </c>
      <c r="P71" s="46">
        <v>8799</v>
      </c>
      <c r="Q71" s="46">
        <v>7999</v>
      </c>
      <c r="R71" s="45">
        <v>8899</v>
      </c>
      <c r="S71" s="45">
        <v>8799</v>
      </c>
      <c r="T71" s="46">
        <v>7999</v>
      </c>
      <c r="U71" s="46">
        <v>7999</v>
      </c>
      <c r="V71" s="46">
        <v>7699</v>
      </c>
      <c r="W71" s="46">
        <v>7699</v>
      </c>
      <c r="X71" s="46">
        <v>7699</v>
      </c>
      <c r="Y71" s="46">
        <v>7499</v>
      </c>
      <c r="Z71" s="46">
        <v>7499</v>
      </c>
      <c r="AA71" s="46">
        <v>7499</v>
      </c>
      <c r="AB71" s="45"/>
      <c r="AC71" s="45"/>
      <c r="AD71" s="45"/>
      <c r="AE71" s="45"/>
      <c r="AF71" s="45"/>
      <c r="AG71" s="45"/>
      <c r="AH71" s="45"/>
      <c r="AI71" s="45"/>
      <c r="AJ71" s="45"/>
      <c r="AK71" s="45"/>
      <c r="AL71" s="45"/>
      <c r="AM71" s="45"/>
      <c r="AN71" s="45"/>
      <c r="AO71" s="45"/>
      <c r="AP71" s="45"/>
      <c r="AQ71" s="45"/>
      <c r="AR71" s="45"/>
      <c r="AS71" s="45"/>
      <c r="AT71" s="45"/>
      <c r="AU71" s="45"/>
      <c r="AV71" s="47"/>
      <c r="AW71" s="48" t="s">
        <v>67</v>
      </c>
      <c r="AX71" s="49" t="s">
        <v>68</v>
      </c>
      <c r="AY71" s="50">
        <f t="shared" si="0"/>
        <v>183.7998</v>
      </c>
      <c r="AZ71" s="50">
        <f t="shared" si="1"/>
        <v>165.6018</v>
      </c>
      <c r="BA71" s="51">
        <f t="shared" si="2"/>
        <v>93.719700000000003</v>
      </c>
    </row>
    <row r="72" spans="1:53" ht="22.5" customHeight="1">
      <c r="A72" s="41" t="s">
        <v>63</v>
      </c>
      <c r="B72" s="42" t="s">
        <v>64</v>
      </c>
      <c r="C72" s="43">
        <v>4016592</v>
      </c>
      <c r="D72" s="44" t="s">
        <v>143</v>
      </c>
      <c r="E72" s="44" t="s">
        <v>146</v>
      </c>
      <c r="F72" s="45">
        <v>10499</v>
      </c>
      <c r="G72" s="45">
        <v>7699</v>
      </c>
      <c r="H72" s="46">
        <v>9099</v>
      </c>
      <c r="I72" s="46">
        <v>9099</v>
      </c>
      <c r="J72" s="45">
        <v>8999</v>
      </c>
      <c r="K72" s="45">
        <v>8999</v>
      </c>
      <c r="L72" s="45">
        <v>8999</v>
      </c>
      <c r="M72" s="45">
        <v>8999</v>
      </c>
      <c r="N72" s="45">
        <v>8999</v>
      </c>
      <c r="O72" s="45">
        <v>8899</v>
      </c>
      <c r="P72" s="46">
        <v>8799</v>
      </c>
      <c r="Q72" s="46">
        <v>7999</v>
      </c>
      <c r="R72" s="45">
        <v>8899</v>
      </c>
      <c r="S72" s="45">
        <v>8799</v>
      </c>
      <c r="T72" s="46">
        <v>7999</v>
      </c>
      <c r="U72" s="46">
        <v>7999</v>
      </c>
      <c r="V72" s="46">
        <v>7699</v>
      </c>
      <c r="W72" s="46">
        <v>7699</v>
      </c>
      <c r="X72" s="46">
        <v>7699</v>
      </c>
      <c r="Y72" s="46">
        <v>7499</v>
      </c>
      <c r="Z72" s="46">
        <v>7499</v>
      </c>
      <c r="AA72" s="46">
        <v>7499</v>
      </c>
      <c r="AB72" s="45"/>
      <c r="AC72" s="45"/>
      <c r="AD72" s="45"/>
      <c r="AE72" s="45"/>
      <c r="AF72" s="45"/>
      <c r="AG72" s="45"/>
      <c r="AH72" s="45"/>
      <c r="AI72" s="45"/>
      <c r="AJ72" s="45"/>
      <c r="AK72" s="45"/>
      <c r="AL72" s="45"/>
      <c r="AM72" s="45"/>
      <c r="AN72" s="45"/>
      <c r="AO72" s="45"/>
      <c r="AP72" s="45"/>
      <c r="AQ72" s="45"/>
      <c r="AR72" s="45"/>
      <c r="AS72" s="45"/>
      <c r="AT72" s="45"/>
      <c r="AU72" s="45"/>
      <c r="AV72" s="47"/>
      <c r="AW72" s="48" t="s">
        <v>67</v>
      </c>
      <c r="AX72" s="49" t="s">
        <v>68</v>
      </c>
      <c r="AY72" s="50">
        <f t="shared" si="0"/>
        <v>183.7998</v>
      </c>
      <c r="AZ72" s="50">
        <f t="shared" si="1"/>
        <v>165.6018</v>
      </c>
      <c r="BA72" s="51">
        <f t="shared" si="2"/>
        <v>93.719700000000003</v>
      </c>
    </row>
    <row r="73" spans="1:53" ht="22.5" customHeight="1">
      <c r="A73" s="41" t="s">
        <v>63</v>
      </c>
      <c r="B73" s="42" t="s">
        <v>64</v>
      </c>
      <c r="C73" s="43">
        <v>4016591</v>
      </c>
      <c r="D73" s="44" t="s">
        <v>143</v>
      </c>
      <c r="E73" s="44" t="s">
        <v>147</v>
      </c>
      <c r="F73" s="45">
        <v>10499</v>
      </c>
      <c r="G73" s="45">
        <v>7699</v>
      </c>
      <c r="H73" s="46">
        <v>9099</v>
      </c>
      <c r="I73" s="46">
        <v>9099</v>
      </c>
      <c r="J73" s="45">
        <v>8999</v>
      </c>
      <c r="K73" s="45">
        <v>8999</v>
      </c>
      <c r="L73" s="45">
        <v>8999</v>
      </c>
      <c r="M73" s="45">
        <v>8999</v>
      </c>
      <c r="N73" s="45">
        <v>8999</v>
      </c>
      <c r="O73" s="45">
        <v>8899</v>
      </c>
      <c r="P73" s="46">
        <v>8799</v>
      </c>
      <c r="Q73" s="46">
        <v>7999</v>
      </c>
      <c r="R73" s="45">
        <v>8899</v>
      </c>
      <c r="S73" s="45">
        <v>8799</v>
      </c>
      <c r="T73" s="46">
        <v>7999</v>
      </c>
      <c r="U73" s="46">
        <v>7999</v>
      </c>
      <c r="V73" s="46">
        <v>7699</v>
      </c>
      <c r="W73" s="46">
        <v>7699</v>
      </c>
      <c r="X73" s="46">
        <v>7699</v>
      </c>
      <c r="Y73" s="46">
        <v>7499</v>
      </c>
      <c r="Z73" s="46">
        <v>7499</v>
      </c>
      <c r="AA73" s="46">
        <v>7499</v>
      </c>
      <c r="AB73" s="45"/>
      <c r="AC73" s="45"/>
      <c r="AD73" s="45"/>
      <c r="AE73" s="45"/>
      <c r="AF73" s="45"/>
      <c r="AG73" s="45"/>
      <c r="AH73" s="45"/>
      <c r="AI73" s="45"/>
      <c r="AJ73" s="45"/>
      <c r="AK73" s="45"/>
      <c r="AL73" s="45"/>
      <c r="AM73" s="45"/>
      <c r="AN73" s="45"/>
      <c r="AO73" s="45"/>
      <c r="AP73" s="45"/>
      <c r="AQ73" s="45"/>
      <c r="AR73" s="45"/>
      <c r="AS73" s="45"/>
      <c r="AT73" s="45"/>
      <c r="AU73" s="45"/>
      <c r="AV73" s="47"/>
      <c r="AW73" s="48" t="s">
        <v>67</v>
      </c>
      <c r="AX73" s="49" t="s">
        <v>68</v>
      </c>
      <c r="AY73" s="50">
        <f t="shared" si="0"/>
        <v>183.7998</v>
      </c>
      <c r="AZ73" s="50">
        <f t="shared" si="1"/>
        <v>165.6018</v>
      </c>
      <c r="BA73" s="51">
        <f t="shared" si="2"/>
        <v>93.719700000000003</v>
      </c>
    </row>
    <row r="74" spans="1:53" ht="22.5" customHeight="1">
      <c r="A74" s="41" t="s">
        <v>63</v>
      </c>
      <c r="B74" s="42" t="s">
        <v>64</v>
      </c>
      <c r="C74" s="43">
        <v>4016595</v>
      </c>
      <c r="D74" s="44" t="s">
        <v>148</v>
      </c>
      <c r="E74" s="44" t="s">
        <v>149</v>
      </c>
      <c r="F74" s="45">
        <v>11299</v>
      </c>
      <c r="G74" s="45">
        <v>8399</v>
      </c>
      <c r="H74" s="46">
        <v>9799</v>
      </c>
      <c r="I74" s="46">
        <v>9799</v>
      </c>
      <c r="J74" s="45">
        <v>9699</v>
      </c>
      <c r="K74" s="45">
        <v>9699</v>
      </c>
      <c r="L74" s="45">
        <v>9699</v>
      </c>
      <c r="M74" s="45">
        <v>9699</v>
      </c>
      <c r="N74" s="45">
        <v>9699</v>
      </c>
      <c r="O74" s="45">
        <v>9599</v>
      </c>
      <c r="P74" s="46">
        <v>9499</v>
      </c>
      <c r="Q74" s="46">
        <v>8699</v>
      </c>
      <c r="R74" s="45">
        <v>9599</v>
      </c>
      <c r="S74" s="45">
        <v>9499</v>
      </c>
      <c r="T74" s="46">
        <v>8699</v>
      </c>
      <c r="U74" s="46">
        <v>8699</v>
      </c>
      <c r="V74" s="46">
        <v>8399</v>
      </c>
      <c r="W74" s="46">
        <v>8399</v>
      </c>
      <c r="X74" s="46">
        <v>8399</v>
      </c>
      <c r="Y74" s="46">
        <v>8199</v>
      </c>
      <c r="Z74" s="46">
        <v>8199</v>
      </c>
      <c r="AA74" s="46">
        <v>8199</v>
      </c>
      <c r="AB74" s="45"/>
      <c r="AC74" s="45"/>
      <c r="AD74" s="45"/>
      <c r="AE74" s="45"/>
      <c r="AF74" s="45"/>
      <c r="AG74" s="45"/>
      <c r="AH74" s="45"/>
      <c r="AI74" s="45"/>
      <c r="AJ74" s="45"/>
      <c r="AK74" s="45"/>
      <c r="AL74" s="45"/>
      <c r="AM74" s="45"/>
      <c r="AN74" s="45"/>
      <c r="AO74" s="45"/>
      <c r="AP74" s="45"/>
      <c r="AQ74" s="45"/>
      <c r="AR74" s="45"/>
      <c r="AS74" s="45"/>
      <c r="AT74" s="45"/>
      <c r="AU74" s="45"/>
      <c r="AV74" s="47"/>
      <c r="AW74" s="48" t="s">
        <v>67</v>
      </c>
      <c r="AX74" s="49" t="s">
        <v>68</v>
      </c>
      <c r="AY74" s="50">
        <f t="shared" si="0"/>
        <v>197.93979999999999</v>
      </c>
      <c r="AZ74" s="50">
        <f t="shared" si="1"/>
        <v>178.34180000000001</v>
      </c>
      <c r="BA74" s="51">
        <f t="shared" si="2"/>
        <v>100.9297</v>
      </c>
    </row>
    <row r="75" spans="1:53" ht="22.5" customHeight="1">
      <c r="A75" s="41" t="s">
        <v>63</v>
      </c>
      <c r="B75" s="42" t="s">
        <v>64</v>
      </c>
      <c r="C75" s="43">
        <v>4016596</v>
      </c>
      <c r="D75" s="44" t="s">
        <v>148</v>
      </c>
      <c r="E75" s="44" t="s">
        <v>150</v>
      </c>
      <c r="F75" s="45">
        <v>11299</v>
      </c>
      <c r="G75" s="45">
        <v>8399</v>
      </c>
      <c r="H75" s="46">
        <v>9799</v>
      </c>
      <c r="I75" s="46">
        <v>9799</v>
      </c>
      <c r="J75" s="45">
        <v>9699</v>
      </c>
      <c r="K75" s="45">
        <v>9699</v>
      </c>
      <c r="L75" s="45">
        <v>9699</v>
      </c>
      <c r="M75" s="45">
        <v>9699</v>
      </c>
      <c r="N75" s="45">
        <v>9699</v>
      </c>
      <c r="O75" s="45">
        <v>9599</v>
      </c>
      <c r="P75" s="46">
        <v>9499</v>
      </c>
      <c r="Q75" s="46">
        <v>8699</v>
      </c>
      <c r="R75" s="45">
        <v>9599</v>
      </c>
      <c r="S75" s="45">
        <v>9499</v>
      </c>
      <c r="T75" s="46">
        <v>8699</v>
      </c>
      <c r="U75" s="46">
        <v>8699</v>
      </c>
      <c r="V75" s="46">
        <v>8399</v>
      </c>
      <c r="W75" s="46">
        <v>8399</v>
      </c>
      <c r="X75" s="46">
        <v>8399</v>
      </c>
      <c r="Y75" s="46">
        <v>8199</v>
      </c>
      <c r="Z75" s="46">
        <v>8199</v>
      </c>
      <c r="AA75" s="46">
        <v>8199</v>
      </c>
      <c r="AB75" s="45"/>
      <c r="AC75" s="45"/>
      <c r="AD75" s="45"/>
      <c r="AE75" s="45"/>
      <c r="AF75" s="45"/>
      <c r="AG75" s="45"/>
      <c r="AH75" s="45"/>
      <c r="AI75" s="45"/>
      <c r="AJ75" s="45"/>
      <c r="AK75" s="45"/>
      <c r="AL75" s="45"/>
      <c r="AM75" s="45"/>
      <c r="AN75" s="45"/>
      <c r="AO75" s="45"/>
      <c r="AP75" s="45"/>
      <c r="AQ75" s="45"/>
      <c r="AR75" s="45"/>
      <c r="AS75" s="45"/>
      <c r="AT75" s="45"/>
      <c r="AU75" s="45"/>
      <c r="AV75" s="47"/>
      <c r="AW75" s="48" t="s">
        <v>67</v>
      </c>
      <c r="AX75" s="49" t="s">
        <v>68</v>
      </c>
      <c r="AY75" s="50">
        <f t="shared" si="0"/>
        <v>197.93979999999999</v>
      </c>
      <c r="AZ75" s="50">
        <f t="shared" si="1"/>
        <v>178.34180000000001</v>
      </c>
      <c r="BA75" s="51">
        <f t="shared" si="2"/>
        <v>100.9297</v>
      </c>
    </row>
    <row r="76" spans="1:53" ht="22.5" customHeight="1">
      <c r="A76" s="41" t="s">
        <v>63</v>
      </c>
      <c r="B76" s="42" t="s">
        <v>64</v>
      </c>
      <c r="C76" s="43">
        <v>4016508</v>
      </c>
      <c r="D76" s="44" t="s">
        <v>148</v>
      </c>
      <c r="E76" s="44" t="s">
        <v>151</v>
      </c>
      <c r="F76" s="45">
        <v>11299</v>
      </c>
      <c r="G76" s="45">
        <v>8399</v>
      </c>
      <c r="H76" s="46">
        <v>9799</v>
      </c>
      <c r="I76" s="46">
        <v>9799</v>
      </c>
      <c r="J76" s="45">
        <v>9699</v>
      </c>
      <c r="K76" s="45">
        <v>9699</v>
      </c>
      <c r="L76" s="45">
        <v>9699</v>
      </c>
      <c r="M76" s="45">
        <v>9699</v>
      </c>
      <c r="N76" s="45">
        <v>9699</v>
      </c>
      <c r="O76" s="45">
        <v>9599</v>
      </c>
      <c r="P76" s="46">
        <v>9499</v>
      </c>
      <c r="Q76" s="46">
        <v>8699</v>
      </c>
      <c r="R76" s="45">
        <v>9599</v>
      </c>
      <c r="S76" s="45">
        <v>9499</v>
      </c>
      <c r="T76" s="46">
        <v>8699</v>
      </c>
      <c r="U76" s="46">
        <v>8699</v>
      </c>
      <c r="V76" s="46">
        <v>8399</v>
      </c>
      <c r="W76" s="46">
        <v>8399</v>
      </c>
      <c r="X76" s="46">
        <v>8399</v>
      </c>
      <c r="Y76" s="46">
        <v>8199</v>
      </c>
      <c r="Z76" s="46">
        <v>8199</v>
      </c>
      <c r="AA76" s="46">
        <v>8199</v>
      </c>
      <c r="AB76" s="45"/>
      <c r="AC76" s="45"/>
      <c r="AD76" s="45"/>
      <c r="AE76" s="45"/>
      <c r="AF76" s="45"/>
      <c r="AG76" s="45"/>
      <c r="AH76" s="45"/>
      <c r="AI76" s="45"/>
      <c r="AJ76" s="45"/>
      <c r="AK76" s="45"/>
      <c r="AL76" s="45"/>
      <c r="AM76" s="45"/>
      <c r="AN76" s="45"/>
      <c r="AO76" s="45"/>
      <c r="AP76" s="45"/>
      <c r="AQ76" s="45"/>
      <c r="AR76" s="45"/>
      <c r="AS76" s="45"/>
      <c r="AT76" s="45"/>
      <c r="AU76" s="45"/>
      <c r="AV76" s="47"/>
      <c r="AW76" s="48" t="s">
        <v>67</v>
      </c>
      <c r="AX76" s="49" t="s">
        <v>68</v>
      </c>
      <c r="AY76" s="50">
        <f t="shared" si="0"/>
        <v>197.93979999999999</v>
      </c>
      <c r="AZ76" s="50">
        <f t="shared" si="1"/>
        <v>178.34180000000001</v>
      </c>
      <c r="BA76" s="51">
        <f t="shared" si="2"/>
        <v>100.9297</v>
      </c>
    </row>
    <row r="77" spans="1:53" ht="22.5" customHeight="1">
      <c r="A77" s="41" t="s">
        <v>63</v>
      </c>
      <c r="B77" s="42" t="s">
        <v>64</v>
      </c>
      <c r="C77" s="43">
        <v>4016507</v>
      </c>
      <c r="D77" s="44" t="s">
        <v>148</v>
      </c>
      <c r="E77" s="44" t="s">
        <v>152</v>
      </c>
      <c r="F77" s="45">
        <v>11299</v>
      </c>
      <c r="G77" s="45">
        <v>8399</v>
      </c>
      <c r="H77" s="46">
        <v>9799</v>
      </c>
      <c r="I77" s="46">
        <v>9799</v>
      </c>
      <c r="J77" s="45">
        <v>9699</v>
      </c>
      <c r="K77" s="45">
        <v>9699</v>
      </c>
      <c r="L77" s="45">
        <v>9699</v>
      </c>
      <c r="M77" s="45">
        <v>9699</v>
      </c>
      <c r="N77" s="45">
        <v>9699</v>
      </c>
      <c r="O77" s="45">
        <v>9599</v>
      </c>
      <c r="P77" s="46">
        <v>9499</v>
      </c>
      <c r="Q77" s="46">
        <v>8699</v>
      </c>
      <c r="R77" s="45">
        <v>9599</v>
      </c>
      <c r="S77" s="45">
        <v>9499</v>
      </c>
      <c r="T77" s="46">
        <v>8699</v>
      </c>
      <c r="U77" s="46">
        <v>8699</v>
      </c>
      <c r="V77" s="46">
        <v>8399</v>
      </c>
      <c r="W77" s="46">
        <v>8399</v>
      </c>
      <c r="X77" s="46">
        <v>8399</v>
      </c>
      <c r="Y77" s="46">
        <v>8199</v>
      </c>
      <c r="Z77" s="46">
        <v>8199</v>
      </c>
      <c r="AA77" s="46">
        <v>8199</v>
      </c>
      <c r="AB77" s="45"/>
      <c r="AC77" s="45"/>
      <c r="AD77" s="45"/>
      <c r="AE77" s="45"/>
      <c r="AF77" s="45"/>
      <c r="AG77" s="45"/>
      <c r="AH77" s="45"/>
      <c r="AI77" s="45"/>
      <c r="AJ77" s="45"/>
      <c r="AK77" s="45"/>
      <c r="AL77" s="45"/>
      <c r="AM77" s="45"/>
      <c r="AN77" s="45"/>
      <c r="AO77" s="45"/>
      <c r="AP77" s="45"/>
      <c r="AQ77" s="45"/>
      <c r="AR77" s="45"/>
      <c r="AS77" s="45"/>
      <c r="AT77" s="45"/>
      <c r="AU77" s="45"/>
      <c r="AV77" s="47"/>
      <c r="AW77" s="48" t="s">
        <v>67</v>
      </c>
      <c r="AX77" s="49" t="s">
        <v>68</v>
      </c>
      <c r="AY77" s="50">
        <f t="shared" si="0"/>
        <v>197.93979999999999</v>
      </c>
      <c r="AZ77" s="50">
        <f t="shared" si="1"/>
        <v>178.34180000000001</v>
      </c>
      <c r="BA77" s="51">
        <f t="shared" si="2"/>
        <v>100.9297</v>
      </c>
    </row>
    <row r="78" spans="1:53" ht="22.5" customHeight="1">
      <c r="A78" s="41" t="s">
        <v>63</v>
      </c>
      <c r="B78" s="42" t="s">
        <v>64</v>
      </c>
      <c r="C78" s="43">
        <v>4016598</v>
      </c>
      <c r="D78" s="44" t="s">
        <v>153</v>
      </c>
      <c r="E78" s="44" t="s">
        <v>154</v>
      </c>
      <c r="F78" s="45">
        <v>12799</v>
      </c>
      <c r="G78" s="45">
        <v>9699</v>
      </c>
      <c r="H78" s="46">
        <v>11799</v>
      </c>
      <c r="I78" s="46">
        <v>11799</v>
      </c>
      <c r="J78" s="45">
        <v>11799</v>
      </c>
      <c r="K78" s="45">
        <v>11799</v>
      </c>
      <c r="L78" s="45">
        <v>11799</v>
      </c>
      <c r="M78" s="45">
        <v>11799</v>
      </c>
      <c r="N78" s="45">
        <v>11799</v>
      </c>
      <c r="O78" s="45">
        <v>11699</v>
      </c>
      <c r="P78" s="46">
        <v>11599</v>
      </c>
      <c r="Q78" s="46">
        <v>10799</v>
      </c>
      <c r="R78" s="45">
        <v>11699</v>
      </c>
      <c r="S78" s="45">
        <v>11599</v>
      </c>
      <c r="T78" s="46">
        <v>10799</v>
      </c>
      <c r="U78" s="46">
        <v>10799</v>
      </c>
      <c r="V78" s="46">
        <v>10799</v>
      </c>
      <c r="W78" s="46">
        <v>10699</v>
      </c>
      <c r="X78" s="46">
        <v>10699</v>
      </c>
      <c r="Y78" s="46">
        <v>9699</v>
      </c>
      <c r="Z78" s="46">
        <v>9599</v>
      </c>
      <c r="AA78" s="46">
        <v>9599</v>
      </c>
      <c r="AB78" s="45"/>
      <c r="AC78" s="45"/>
      <c r="AD78" s="45"/>
      <c r="AE78" s="45"/>
      <c r="AF78" s="45"/>
      <c r="AG78" s="45"/>
      <c r="AH78" s="45"/>
      <c r="AI78" s="45"/>
      <c r="AJ78" s="45"/>
      <c r="AK78" s="45"/>
      <c r="AL78" s="45"/>
      <c r="AM78" s="45"/>
      <c r="AN78" s="45"/>
      <c r="AO78" s="45"/>
      <c r="AP78" s="45"/>
      <c r="AQ78" s="45"/>
      <c r="AR78" s="45"/>
      <c r="AS78" s="45"/>
      <c r="AT78" s="45"/>
      <c r="AU78" s="45"/>
      <c r="AV78" s="47"/>
      <c r="AW78" s="48" t="s">
        <v>67</v>
      </c>
      <c r="AX78" s="49" t="s">
        <v>68</v>
      </c>
      <c r="AY78" s="50">
        <f t="shared" ref="AY78:AY141" si="3">$H78*AY$11</f>
        <v>238.3398</v>
      </c>
      <c r="AZ78" s="50">
        <f t="shared" ref="AZ78:AZ141" si="4">($H78*AZ$11)</f>
        <v>214.74180000000001</v>
      </c>
      <c r="BA78" s="51">
        <f t="shared" ref="BA78:BA141" si="5">$H78*BA$11</f>
        <v>121.52970000000001</v>
      </c>
    </row>
    <row r="79" spans="1:53" ht="22.5" customHeight="1">
      <c r="A79" s="41" t="s">
        <v>63</v>
      </c>
      <c r="B79" s="42" t="s">
        <v>64</v>
      </c>
      <c r="C79" s="43">
        <v>4016606</v>
      </c>
      <c r="D79" s="44" t="s">
        <v>155</v>
      </c>
      <c r="E79" s="44" t="s">
        <v>156</v>
      </c>
      <c r="F79" s="45">
        <v>12499</v>
      </c>
      <c r="G79" s="45">
        <v>9599</v>
      </c>
      <c r="H79" s="46">
        <v>10999</v>
      </c>
      <c r="I79" s="46">
        <v>10999</v>
      </c>
      <c r="J79" s="45">
        <v>10899</v>
      </c>
      <c r="K79" s="45">
        <v>10899</v>
      </c>
      <c r="L79" s="45">
        <v>10899</v>
      </c>
      <c r="M79" s="45">
        <v>10899</v>
      </c>
      <c r="N79" s="45">
        <v>10899</v>
      </c>
      <c r="O79" s="45">
        <v>10599</v>
      </c>
      <c r="P79" s="46">
        <v>10499</v>
      </c>
      <c r="Q79" s="46">
        <v>9799</v>
      </c>
      <c r="R79" s="45">
        <v>10599</v>
      </c>
      <c r="S79" s="45">
        <v>10499</v>
      </c>
      <c r="T79" s="46">
        <v>9799</v>
      </c>
      <c r="U79" s="46">
        <v>9799</v>
      </c>
      <c r="V79" s="46">
        <v>9799</v>
      </c>
      <c r="W79" s="46">
        <v>9799</v>
      </c>
      <c r="X79" s="46">
        <v>9599</v>
      </c>
      <c r="Y79" s="46">
        <v>8999</v>
      </c>
      <c r="Z79" s="46">
        <v>8999</v>
      </c>
      <c r="AA79" s="46">
        <v>8999</v>
      </c>
      <c r="AB79" s="45"/>
      <c r="AC79" s="45"/>
      <c r="AD79" s="45"/>
      <c r="AE79" s="45"/>
      <c r="AF79" s="45"/>
      <c r="AG79" s="45"/>
      <c r="AH79" s="45"/>
      <c r="AI79" s="45"/>
      <c r="AJ79" s="45"/>
      <c r="AK79" s="45"/>
      <c r="AL79" s="45"/>
      <c r="AM79" s="45"/>
      <c r="AN79" s="45"/>
      <c r="AO79" s="45"/>
      <c r="AP79" s="45"/>
      <c r="AQ79" s="45"/>
      <c r="AR79" s="45"/>
      <c r="AS79" s="45"/>
      <c r="AT79" s="45"/>
      <c r="AU79" s="45"/>
      <c r="AV79" s="47"/>
      <c r="AW79" s="48" t="s">
        <v>67</v>
      </c>
      <c r="AX79" s="49" t="s">
        <v>68</v>
      </c>
      <c r="AY79" s="50">
        <f t="shared" si="3"/>
        <v>222.1798</v>
      </c>
      <c r="AZ79" s="50">
        <f t="shared" si="4"/>
        <v>200.18180000000001</v>
      </c>
      <c r="BA79" s="51">
        <f t="shared" si="5"/>
        <v>113.2897</v>
      </c>
    </row>
    <row r="80" spans="1:53" ht="22.5" customHeight="1">
      <c r="A80" s="41" t="s">
        <v>63</v>
      </c>
      <c r="B80" s="42" t="s">
        <v>64</v>
      </c>
      <c r="C80" s="43">
        <v>4016618</v>
      </c>
      <c r="D80" s="44" t="s">
        <v>155</v>
      </c>
      <c r="E80" s="44" t="s">
        <v>157</v>
      </c>
      <c r="F80" s="45">
        <v>12499</v>
      </c>
      <c r="G80" s="45">
        <v>9599</v>
      </c>
      <c r="H80" s="46">
        <v>10999</v>
      </c>
      <c r="I80" s="46">
        <v>10999</v>
      </c>
      <c r="J80" s="45">
        <v>10899</v>
      </c>
      <c r="K80" s="45">
        <v>10899</v>
      </c>
      <c r="L80" s="45">
        <v>10899</v>
      </c>
      <c r="M80" s="45">
        <v>10899</v>
      </c>
      <c r="N80" s="45">
        <v>10899</v>
      </c>
      <c r="O80" s="45">
        <v>10599</v>
      </c>
      <c r="P80" s="46">
        <v>10499</v>
      </c>
      <c r="Q80" s="46">
        <v>9799</v>
      </c>
      <c r="R80" s="45">
        <v>10599</v>
      </c>
      <c r="S80" s="45">
        <v>10499</v>
      </c>
      <c r="T80" s="46">
        <v>9799</v>
      </c>
      <c r="U80" s="46">
        <v>9799</v>
      </c>
      <c r="V80" s="46">
        <v>9799</v>
      </c>
      <c r="W80" s="46">
        <v>9799</v>
      </c>
      <c r="X80" s="46">
        <v>9599</v>
      </c>
      <c r="Y80" s="46">
        <v>8999</v>
      </c>
      <c r="Z80" s="46">
        <v>8999</v>
      </c>
      <c r="AA80" s="46">
        <v>8999</v>
      </c>
      <c r="AB80" s="45"/>
      <c r="AC80" s="45"/>
      <c r="AD80" s="45"/>
      <c r="AE80" s="45"/>
      <c r="AF80" s="45"/>
      <c r="AG80" s="45"/>
      <c r="AH80" s="45"/>
      <c r="AI80" s="45"/>
      <c r="AJ80" s="45"/>
      <c r="AK80" s="45"/>
      <c r="AL80" s="45"/>
      <c r="AM80" s="45"/>
      <c r="AN80" s="45"/>
      <c r="AO80" s="45"/>
      <c r="AP80" s="45"/>
      <c r="AQ80" s="45"/>
      <c r="AR80" s="45"/>
      <c r="AS80" s="45"/>
      <c r="AT80" s="45"/>
      <c r="AU80" s="45"/>
      <c r="AV80" s="47"/>
      <c r="AW80" s="48" t="s">
        <v>67</v>
      </c>
      <c r="AX80" s="49" t="s">
        <v>68</v>
      </c>
      <c r="AY80" s="50">
        <f t="shared" si="3"/>
        <v>222.1798</v>
      </c>
      <c r="AZ80" s="50">
        <f t="shared" si="4"/>
        <v>200.18180000000001</v>
      </c>
      <c r="BA80" s="51">
        <f t="shared" si="5"/>
        <v>113.2897</v>
      </c>
    </row>
    <row r="81" spans="1:53" ht="22.5" customHeight="1">
      <c r="A81" s="41" t="s">
        <v>63</v>
      </c>
      <c r="B81" s="42" t="s">
        <v>64</v>
      </c>
      <c r="C81" s="43">
        <v>4016617</v>
      </c>
      <c r="D81" s="44" t="s">
        <v>155</v>
      </c>
      <c r="E81" s="44" t="s">
        <v>158</v>
      </c>
      <c r="F81" s="45">
        <v>12499</v>
      </c>
      <c r="G81" s="45">
        <v>9599</v>
      </c>
      <c r="H81" s="46">
        <v>10999</v>
      </c>
      <c r="I81" s="46">
        <v>10999</v>
      </c>
      <c r="J81" s="45">
        <v>10899</v>
      </c>
      <c r="K81" s="45">
        <v>10899</v>
      </c>
      <c r="L81" s="45">
        <v>10899</v>
      </c>
      <c r="M81" s="45">
        <v>10899</v>
      </c>
      <c r="N81" s="45">
        <v>10899</v>
      </c>
      <c r="O81" s="45">
        <v>10599</v>
      </c>
      <c r="P81" s="46">
        <v>10499</v>
      </c>
      <c r="Q81" s="46">
        <v>9799</v>
      </c>
      <c r="R81" s="45">
        <v>10599</v>
      </c>
      <c r="S81" s="45">
        <v>10499</v>
      </c>
      <c r="T81" s="46">
        <v>9799</v>
      </c>
      <c r="U81" s="46">
        <v>9799</v>
      </c>
      <c r="V81" s="46">
        <v>9799</v>
      </c>
      <c r="W81" s="46">
        <v>9799</v>
      </c>
      <c r="X81" s="46">
        <v>9599</v>
      </c>
      <c r="Y81" s="46">
        <v>8999</v>
      </c>
      <c r="Z81" s="46">
        <v>8999</v>
      </c>
      <c r="AA81" s="46">
        <v>8999</v>
      </c>
      <c r="AB81" s="45"/>
      <c r="AC81" s="45"/>
      <c r="AD81" s="45"/>
      <c r="AE81" s="45"/>
      <c r="AF81" s="45"/>
      <c r="AG81" s="45"/>
      <c r="AH81" s="45"/>
      <c r="AI81" s="45"/>
      <c r="AJ81" s="45"/>
      <c r="AK81" s="45"/>
      <c r="AL81" s="45"/>
      <c r="AM81" s="45"/>
      <c r="AN81" s="45"/>
      <c r="AO81" s="45"/>
      <c r="AP81" s="45"/>
      <c r="AQ81" s="45"/>
      <c r="AR81" s="45"/>
      <c r="AS81" s="45"/>
      <c r="AT81" s="45"/>
      <c r="AU81" s="45"/>
      <c r="AV81" s="47"/>
      <c r="AW81" s="48" t="s">
        <v>67</v>
      </c>
      <c r="AX81" s="49" t="s">
        <v>68</v>
      </c>
      <c r="AY81" s="50">
        <f t="shared" si="3"/>
        <v>222.1798</v>
      </c>
      <c r="AZ81" s="50">
        <f t="shared" si="4"/>
        <v>200.18180000000001</v>
      </c>
      <c r="BA81" s="51">
        <f t="shared" si="5"/>
        <v>113.2897</v>
      </c>
    </row>
    <row r="82" spans="1:53" ht="22.5" customHeight="1">
      <c r="A82" s="41" t="s">
        <v>63</v>
      </c>
      <c r="B82" s="42" t="s">
        <v>64</v>
      </c>
      <c r="C82" s="43">
        <v>4016605</v>
      </c>
      <c r="D82" s="44" t="s">
        <v>155</v>
      </c>
      <c r="E82" s="44" t="s">
        <v>159</v>
      </c>
      <c r="F82" s="45">
        <v>12499</v>
      </c>
      <c r="G82" s="45">
        <v>9599</v>
      </c>
      <c r="H82" s="46">
        <v>10999</v>
      </c>
      <c r="I82" s="46">
        <v>10999</v>
      </c>
      <c r="J82" s="45">
        <v>10899</v>
      </c>
      <c r="K82" s="45">
        <v>10899</v>
      </c>
      <c r="L82" s="45">
        <v>10899</v>
      </c>
      <c r="M82" s="45">
        <v>10899</v>
      </c>
      <c r="N82" s="45">
        <v>10899</v>
      </c>
      <c r="O82" s="45">
        <v>10599</v>
      </c>
      <c r="P82" s="46">
        <v>10499</v>
      </c>
      <c r="Q82" s="46">
        <v>9799</v>
      </c>
      <c r="R82" s="45">
        <v>10599</v>
      </c>
      <c r="S82" s="45">
        <v>10499</v>
      </c>
      <c r="T82" s="46">
        <v>9799</v>
      </c>
      <c r="U82" s="46">
        <v>9799</v>
      </c>
      <c r="V82" s="46">
        <v>9799</v>
      </c>
      <c r="W82" s="46">
        <v>9799</v>
      </c>
      <c r="X82" s="46">
        <v>9599</v>
      </c>
      <c r="Y82" s="46">
        <v>8999</v>
      </c>
      <c r="Z82" s="46">
        <v>8999</v>
      </c>
      <c r="AA82" s="46">
        <v>8999</v>
      </c>
      <c r="AB82" s="45"/>
      <c r="AC82" s="45"/>
      <c r="AD82" s="45"/>
      <c r="AE82" s="45"/>
      <c r="AF82" s="45"/>
      <c r="AG82" s="45"/>
      <c r="AH82" s="45"/>
      <c r="AI82" s="45"/>
      <c r="AJ82" s="45"/>
      <c r="AK82" s="45"/>
      <c r="AL82" s="45"/>
      <c r="AM82" s="45"/>
      <c r="AN82" s="45"/>
      <c r="AO82" s="45"/>
      <c r="AP82" s="45"/>
      <c r="AQ82" s="45"/>
      <c r="AR82" s="45"/>
      <c r="AS82" s="45"/>
      <c r="AT82" s="45"/>
      <c r="AU82" s="45"/>
      <c r="AV82" s="47"/>
      <c r="AW82" s="48" t="s">
        <v>67</v>
      </c>
      <c r="AX82" s="49" t="s">
        <v>68</v>
      </c>
      <c r="AY82" s="50">
        <f t="shared" si="3"/>
        <v>222.1798</v>
      </c>
      <c r="AZ82" s="50">
        <f t="shared" si="4"/>
        <v>200.18180000000001</v>
      </c>
      <c r="BA82" s="51">
        <f t="shared" si="5"/>
        <v>113.2897</v>
      </c>
    </row>
    <row r="83" spans="1:53" ht="22.5" customHeight="1">
      <c r="A83" s="41" t="s">
        <v>63</v>
      </c>
      <c r="B83" s="42" t="s">
        <v>64</v>
      </c>
      <c r="C83" s="43">
        <v>4016613</v>
      </c>
      <c r="D83" s="44" t="s">
        <v>160</v>
      </c>
      <c r="E83" s="44" t="s">
        <v>161</v>
      </c>
      <c r="F83" s="45">
        <v>13999</v>
      </c>
      <c r="G83" s="45">
        <v>10799</v>
      </c>
      <c r="H83" s="46">
        <v>12099</v>
      </c>
      <c r="I83" s="46">
        <v>12099</v>
      </c>
      <c r="J83" s="45">
        <v>11999</v>
      </c>
      <c r="K83" s="45">
        <v>11999</v>
      </c>
      <c r="L83" s="45">
        <v>11999</v>
      </c>
      <c r="M83" s="45">
        <v>11999</v>
      </c>
      <c r="N83" s="45">
        <v>11999</v>
      </c>
      <c r="O83" s="45">
        <v>11699</v>
      </c>
      <c r="P83" s="46">
        <v>11599</v>
      </c>
      <c r="Q83" s="46">
        <v>10999</v>
      </c>
      <c r="R83" s="45">
        <v>11699</v>
      </c>
      <c r="S83" s="45">
        <v>11599</v>
      </c>
      <c r="T83" s="46">
        <v>10999</v>
      </c>
      <c r="U83" s="46">
        <v>10999</v>
      </c>
      <c r="V83" s="46">
        <v>10999</v>
      </c>
      <c r="W83" s="46">
        <v>10999</v>
      </c>
      <c r="X83" s="46">
        <v>10799</v>
      </c>
      <c r="Y83" s="46">
        <v>10299</v>
      </c>
      <c r="Z83" s="46">
        <v>10299</v>
      </c>
      <c r="AA83" s="46">
        <v>10299</v>
      </c>
      <c r="AB83" s="45"/>
      <c r="AC83" s="45"/>
      <c r="AD83" s="45"/>
      <c r="AE83" s="45"/>
      <c r="AF83" s="45"/>
      <c r="AG83" s="45"/>
      <c r="AH83" s="45"/>
      <c r="AI83" s="45"/>
      <c r="AJ83" s="45"/>
      <c r="AK83" s="45"/>
      <c r="AL83" s="45"/>
      <c r="AM83" s="45"/>
      <c r="AN83" s="45"/>
      <c r="AO83" s="45"/>
      <c r="AP83" s="45"/>
      <c r="AQ83" s="45"/>
      <c r="AR83" s="45"/>
      <c r="AS83" s="45"/>
      <c r="AT83" s="45"/>
      <c r="AU83" s="45"/>
      <c r="AV83" s="47"/>
      <c r="AW83" s="48" t="s">
        <v>67</v>
      </c>
      <c r="AX83" s="49" t="s">
        <v>68</v>
      </c>
      <c r="AY83" s="50">
        <f t="shared" si="3"/>
        <v>244.3998</v>
      </c>
      <c r="AZ83" s="50">
        <f t="shared" si="4"/>
        <v>220.20180000000002</v>
      </c>
      <c r="BA83" s="51">
        <f t="shared" si="5"/>
        <v>124.61969999999999</v>
      </c>
    </row>
    <row r="84" spans="1:53" ht="22.5" customHeight="1">
      <c r="A84" s="41" t="s">
        <v>63</v>
      </c>
      <c r="B84" s="42" t="s">
        <v>64</v>
      </c>
      <c r="C84" s="43">
        <v>4016619</v>
      </c>
      <c r="D84" s="44" t="s">
        <v>160</v>
      </c>
      <c r="E84" s="44" t="s">
        <v>162</v>
      </c>
      <c r="F84" s="45">
        <v>13999</v>
      </c>
      <c r="G84" s="45">
        <v>10799</v>
      </c>
      <c r="H84" s="46">
        <v>12099</v>
      </c>
      <c r="I84" s="46">
        <v>12099</v>
      </c>
      <c r="J84" s="45">
        <v>11999</v>
      </c>
      <c r="K84" s="45">
        <v>11999</v>
      </c>
      <c r="L84" s="45">
        <v>11999</v>
      </c>
      <c r="M84" s="45">
        <v>11999</v>
      </c>
      <c r="N84" s="45">
        <v>11999</v>
      </c>
      <c r="O84" s="45">
        <v>11699</v>
      </c>
      <c r="P84" s="46">
        <v>11599</v>
      </c>
      <c r="Q84" s="46">
        <v>10999</v>
      </c>
      <c r="R84" s="45">
        <v>11699</v>
      </c>
      <c r="S84" s="45">
        <v>11599</v>
      </c>
      <c r="T84" s="46">
        <v>10999</v>
      </c>
      <c r="U84" s="46">
        <v>10999</v>
      </c>
      <c r="V84" s="46">
        <v>10999</v>
      </c>
      <c r="W84" s="46">
        <v>10999</v>
      </c>
      <c r="X84" s="46">
        <v>10799</v>
      </c>
      <c r="Y84" s="46">
        <v>10299</v>
      </c>
      <c r="Z84" s="46">
        <v>10299</v>
      </c>
      <c r="AA84" s="46">
        <v>10299</v>
      </c>
      <c r="AB84" s="45"/>
      <c r="AC84" s="45"/>
      <c r="AD84" s="45"/>
      <c r="AE84" s="45"/>
      <c r="AF84" s="45"/>
      <c r="AG84" s="45"/>
      <c r="AH84" s="45"/>
      <c r="AI84" s="45"/>
      <c r="AJ84" s="45"/>
      <c r="AK84" s="45"/>
      <c r="AL84" s="45"/>
      <c r="AM84" s="45"/>
      <c r="AN84" s="45"/>
      <c r="AO84" s="45"/>
      <c r="AP84" s="45"/>
      <c r="AQ84" s="45"/>
      <c r="AR84" s="45"/>
      <c r="AS84" s="45"/>
      <c r="AT84" s="45"/>
      <c r="AU84" s="45"/>
      <c r="AV84" s="47"/>
      <c r="AW84" s="48" t="s">
        <v>67</v>
      </c>
      <c r="AX84" s="49" t="s">
        <v>68</v>
      </c>
      <c r="AY84" s="50">
        <f t="shared" si="3"/>
        <v>244.3998</v>
      </c>
      <c r="AZ84" s="50">
        <f t="shared" si="4"/>
        <v>220.20180000000002</v>
      </c>
      <c r="BA84" s="51">
        <f t="shared" si="5"/>
        <v>124.61969999999999</v>
      </c>
    </row>
    <row r="85" spans="1:53" ht="22.5" customHeight="1">
      <c r="A85" s="41" t="s">
        <v>63</v>
      </c>
      <c r="B85" s="42" t="s">
        <v>64</v>
      </c>
      <c r="C85" s="43">
        <v>4016609</v>
      </c>
      <c r="D85" s="44" t="s">
        <v>160</v>
      </c>
      <c r="E85" s="44" t="s">
        <v>163</v>
      </c>
      <c r="F85" s="45">
        <v>13999</v>
      </c>
      <c r="G85" s="45">
        <v>10799</v>
      </c>
      <c r="H85" s="46">
        <v>12099</v>
      </c>
      <c r="I85" s="46">
        <v>12099</v>
      </c>
      <c r="J85" s="45">
        <v>11999</v>
      </c>
      <c r="K85" s="45">
        <v>11999</v>
      </c>
      <c r="L85" s="45">
        <v>11999</v>
      </c>
      <c r="M85" s="45">
        <v>11999</v>
      </c>
      <c r="N85" s="45">
        <v>11999</v>
      </c>
      <c r="O85" s="45">
        <v>11699</v>
      </c>
      <c r="P85" s="46">
        <v>11599</v>
      </c>
      <c r="Q85" s="46">
        <v>10999</v>
      </c>
      <c r="R85" s="45">
        <v>11699</v>
      </c>
      <c r="S85" s="45">
        <v>11599</v>
      </c>
      <c r="T85" s="46">
        <v>10999</v>
      </c>
      <c r="U85" s="46">
        <v>10999</v>
      </c>
      <c r="V85" s="46">
        <v>10999</v>
      </c>
      <c r="W85" s="46">
        <v>10999</v>
      </c>
      <c r="X85" s="46">
        <v>10799</v>
      </c>
      <c r="Y85" s="46">
        <v>10299</v>
      </c>
      <c r="Z85" s="46">
        <v>10299</v>
      </c>
      <c r="AA85" s="46">
        <v>10299</v>
      </c>
      <c r="AB85" s="45"/>
      <c r="AC85" s="45"/>
      <c r="AD85" s="45"/>
      <c r="AE85" s="45"/>
      <c r="AF85" s="45"/>
      <c r="AG85" s="45"/>
      <c r="AH85" s="45"/>
      <c r="AI85" s="45"/>
      <c r="AJ85" s="45"/>
      <c r="AK85" s="45"/>
      <c r="AL85" s="45"/>
      <c r="AM85" s="45"/>
      <c r="AN85" s="45"/>
      <c r="AO85" s="45"/>
      <c r="AP85" s="45"/>
      <c r="AQ85" s="45"/>
      <c r="AR85" s="45"/>
      <c r="AS85" s="45"/>
      <c r="AT85" s="45"/>
      <c r="AU85" s="45"/>
      <c r="AV85" s="47"/>
      <c r="AW85" s="48" t="s">
        <v>67</v>
      </c>
      <c r="AX85" s="49" t="s">
        <v>68</v>
      </c>
      <c r="AY85" s="50">
        <f t="shared" si="3"/>
        <v>244.3998</v>
      </c>
      <c r="AZ85" s="50">
        <f t="shared" si="4"/>
        <v>220.20180000000002</v>
      </c>
      <c r="BA85" s="51">
        <f t="shared" si="5"/>
        <v>124.61969999999999</v>
      </c>
    </row>
    <row r="86" spans="1:53" ht="22.5" customHeight="1">
      <c r="A86" s="41" t="s">
        <v>63</v>
      </c>
      <c r="B86" s="42" t="s">
        <v>64</v>
      </c>
      <c r="C86" s="43">
        <v>4016916</v>
      </c>
      <c r="D86" s="44" t="s">
        <v>164</v>
      </c>
      <c r="E86" s="44" t="s">
        <v>165</v>
      </c>
      <c r="F86" s="45">
        <v>6599</v>
      </c>
      <c r="G86" s="45">
        <v>3499</v>
      </c>
      <c r="H86" s="46">
        <v>4799</v>
      </c>
      <c r="I86" s="46">
        <v>4799</v>
      </c>
      <c r="J86" s="45">
        <v>4799</v>
      </c>
      <c r="K86" s="45">
        <v>4799</v>
      </c>
      <c r="L86" s="45">
        <v>4799</v>
      </c>
      <c r="M86" s="45">
        <v>4799</v>
      </c>
      <c r="N86" s="45">
        <v>4799</v>
      </c>
      <c r="O86" s="45">
        <v>4699</v>
      </c>
      <c r="P86" s="46">
        <v>4599</v>
      </c>
      <c r="Q86" s="46">
        <v>3599</v>
      </c>
      <c r="R86" s="45">
        <v>4699</v>
      </c>
      <c r="S86" s="45">
        <v>4599</v>
      </c>
      <c r="T86" s="46">
        <v>3599</v>
      </c>
      <c r="U86" s="46">
        <v>3599</v>
      </c>
      <c r="V86" s="46">
        <v>3599</v>
      </c>
      <c r="W86" s="46">
        <v>3599</v>
      </c>
      <c r="X86" s="46">
        <v>3499</v>
      </c>
      <c r="Y86" s="46">
        <v>2799</v>
      </c>
      <c r="Z86" s="46">
        <v>2799</v>
      </c>
      <c r="AA86" s="46">
        <v>2749</v>
      </c>
      <c r="AB86" s="45">
        <v>4799</v>
      </c>
      <c r="AC86" s="45">
        <v>4799</v>
      </c>
      <c r="AD86" s="45">
        <v>4799</v>
      </c>
      <c r="AE86" s="45">
        <v>4699</v>
      </c>
      <c r="AF86" s="45">
        <v>4599</v>
      </c>
      <c r="AG86" s="45">
        <v>4599</v>
      </c>
      <c r="AH86" s="45">
        <v>3599</v>
      </c>
      <c r="AI86" s="45">
        <v>3599</v>
      </c>
      <c r="AJ86" s="45">
        <v>3599</v>
      </c>
      <c r="AK86" s="45">
        <v>3599</v>
      </c>
      <c r="AL86" s="45">
        <v>2799</v>
      </c>
      <c r="AM86" s="45"/>
      <c r="AN86" s="45"/>
      <c r="AO86" s="45"/>
      <c r="AP86" s="45"/>
      <c r="AQ86" s="45"/>
      <c r="AR86" s="45"/>
      <c r="AS86" s="45"/>
      <c r="AT86" s="45"/>
      <c r="AU86" s="45"/>
      <c r="AV86" s="47"/>
      <c r="AW86" s="48" t="s">
        <v>67</v>
      </c>
      <c r="AX86" s="49" t="s">
        <v>68</v>
      </c>
      <c r="AY86" s="50">
        <f t="shared" si="3"/>
        <v>96.939799999999991</v>
      </c>
      <c r="AZ86" s="50">
        <f t="shared" si="4"/>
        <v>87.341800000000006</v>
      </c>
      <c r="BA86" s="51">
        <f t="shared" si="5"/>
        <v>49.429700000000004</v>
      </c>
    </row>
    <row r="87" spans="1:53" ht="22.5" customHeight="1">
      <c r="A87" s="41" t="s">
        <v>63</v>
      </c>
      <c r="B87" s="42" t="s">
        <v>64</v>
      </c>
      <c r="C87" s="43">
        <v>4016917</v>
      </c>
      <c r="D87" s="44" t="s">
        <v>164</v>
      </c>
      <c r="E87" s="44" t="s">
        <v>166</v>
      </c>
      <c r="F87" s="45">
        <v>6599</v>
      </c>
      <c r="G87" s="45">
        <v>3499</v>
      </c>
      <c r="H87" s="46">
        <v>4799</v>
      </c>
      <c r="I87" s="46">
        <v>4799</v>
      </c>
      <c r="J87" s="45">
        <v>4799</v>
      </c>
      <c r="K87" s="45">
        <v>4799</v>
      </c>
      <c r="L87" s="45">
        <v>4799</v>
      </c>
      <c r="M87" s="45">
        <v>4799</v>
      </c>
      <c r="N87" s="45">
        <v>4799</v>
      </c>
      <c r="O87" s="45">
        <v>4699</v>
      </c>
      <c r="P87" s="46">
        <v>4599</v>
      </c>
      <c r="Q87" s="46">
        <v>3599</v>
      </c>
      <c r="R87" s="45">
        <v>4699</v>
      </c>
      <c r="S87" s="45">
        <v>4599</v>
      </c>
      <c r="T87" s="46">
        <v>3599</v>
      </c>
      <c r="U87" s="46">
        <v>3599</v>
      </c>
      <c r="V87" s="46">
        <v>3599</v>
      </c>
      <c r="W87" s="46">
        <v>3599</v>
      </c>
      <c r="X87" s="46">
        <v>3499</v>
      </c>
      <c r="Y87" s="46">
        <v>2799</v>
      </c>
      <c r="Z87" s="46">
        <v>2799</v>
      </c>
      <c r="AA87" s="46">
        <v>2749</v>
      </c>
      <c r="AB87" s="45">
        <v>4799</v>
      </c>
      <c r="AC87" s="45">
        <v>4799</v>
      </c>
      <c r="AD87" s="45">
        <v>4799</v>
      </c>
      <c r="AE87" s="45">
        <v>4699</v>
      </c>
      <c r="AF87" s="45">
        <v>4599</v>
      </c>
      <c r="AG87" s="45">
        <v>4599</v>
      </c>
      <c r="AH87" s="45">
        <v>3599</v>
      </c>
      <c r="AI87" s="45">
        <v>3599</v>
      </c>
      <c r="AJ87" s="45">
        <v>3599</v>
      </c>
      <c r="AK87" s="45">
        <v>3599</v>
      </c>
      <c r="AL87" s="45">
        <v>2799</v>
      </c>
      <c r="AM87" s="45"/>
      <c r="AN87" s="45"/>
      <c r="AO87" s="45"/>
      <c r="AP87" s="45"/>
      <c r="AQ87" s="45"/>
      <c r="AR87" s="45"/>
      <c r="AS87" s="45"/>
      <c r="AT87" s="45"/>
      <c r="AU87" s="45"/>
      <c r="AV87" s="47"/>
      <c r="AW87" s="48" t="s">
        <v>67</v>
      </c>
      <c r="AX87" s="49" t="s">
        <v>68</v>
      </c>
      <c r="AY87" s="50">
        <f t="shared" si="3"/>
        <v>96.939799999999991</v>
      </c>
      <c r="AZ87" s="50">
        <f t="shared" si="4"/>
        <v>87.341800000000006</v>
      </c>
      <c r="BA87" s="51">
        <f t="shared" si="5"/>
        <v>49.429700000000004</v>
      </c>
    </row>
    <row r="88" spans="1:53" ht="22.5" customHeight="1">
      <c r="A88" s="41" t="s">
        <v>63</v>
      </c>
      <c r="B88" s="42" t="s">
        <v>64</v>
      </c>
      <c r="C88" s="43">
        <v>4017449</v>
      </c>
      <c r="D88" s="44" t="s">
        <v>167</v>
      </c>
      <c r="E88" s="44" t="s">
        <v>168</v>
      </c>
      <c r="F88" s="45">
        <v>7999</v>
      </c>
      <c r="G88" s="45">
        <v>5399</v>
      </c>
      <c r="H88" s="46">
        <v>6499</v>
      </c>
      <c r="I88" s="46">
        <v>6499</v>
      </c>
      <c r="J88" s="45">
        <v>6399</v>
      </c>
      <c r="K88" s="45">
        <v>6399</v>
      </c>
      <c r="L88" s="45">
        <v>6399</v>
      </c>
      <c r="M88" s="45">
        <v>6399</v>
      </c>
      <c r="N88" s="45">
        <v>6399</v>
      </c>
      <c r="O88" s="45">
        <v>6299</v>
      </c>
      <c r="P88" s="46">
        <v>6199</v>
      </c>
      <c r="Q88" s="46">
        <v>5499</v>
      </c>
      <c r="R88" s="45">
        <v>6299</v>
      </c>
      <c r="S88" s="45">
        <v>6199</v>
      </c>
      <c r="T88" s="46">
        <v>5499</v>
      </c>
      <c r="U88" s="46">
        <v>5499</v>
      </c>
      <c r="V88" s="46">
        <v>5499</v>
      </c>
      <c r="W88" s="46">
        <v>5499</v>
      </c>
      <c r="X88" s="46">
        <v>5399</v>
      </c>
      <c r="Y88" s="46">
        <v>4999</v>
      </c>
      <c r="Z88" s="46">
        <v>4999</v>
      </c>
      <c r="AA88" s="46">
        <v>4949</v>
      </c>
      <c r="AB88" s="45">
        <v>6399</v>
      </c>
      <c r="AC88" s="45">
        <v>6399</v>
      </c>
      <c r="AD88" s="45">
        <v>6399</v>
      </c>
      <c r="AE88" s="45">
        <v>6299</v>
      </c>
      <c r="AF88" s="45">
        <v>6199</v>
      </c>
      <c r="AG88" s="45">
        <v>6199</v>
      </c>
      <c r="AH88" s="45">
        <v>5499</v>
      </c>
      <c r="AI88" s="45">
        <v>5499</v>
      </c>
      <c r="AJ88" s="45">
        <v>5499</v>
      </c>
      <c r="AK88" s="45">
        <v>5499</v>
      </c>
      <c r="AL88" s="45">
        <v>4999</v>
      </c>
      <c r="AM88" s="45"/>
      <c r="AN88" s="45"/>
      <c r="AO88" s="45"/>
      <c r="AP88" s="45"/>
      <c r="AQ88" s="45"/>
      <c r="AR88" s="45"/>
      <c r="AS88" s="45"/>
      <c r="AT88" s="45"/>
      <c r="AU88" s="45"/>
      <c r="AV88" s="47"/>
      <c r="AW88" s="48" t="s">
        <v>67</v>
      </c>
      <c r="AX88" s="49" t="s">
        <v>68</v>
      </c>
      <c r="AY88" s="50">
        <f t="shared" si="3"/>
        <v>131.27979999999999</v>
      </c>
      <c r="AZ88" s="50">
        <f t="shared" si="4"/>
        <v>118.2818</v>
      </c>
      <c r="BA88" s="51">
        <f t="shared" si="5"/>
        <v>66.939700000000002</v>
      </c>
    </row>
    <row r="89" spans="1:53" ht="22.5" customHeight="1">
      <c r="A89" s="41" t="s">
        <v>63</v>
      </c>
      <c r="B89" s="42" t="s">
        <v>64</v>
      </c>
      <c r="C89" s="43">
        <v>4017897</v>
      </c>
      <c r="D89" s="44" t="s">
        <v>167</v>
      </c>
      <c r="E89" s="44" t="s">
        <v>169</v>
      </c>
      <c r="F89" s="45">
        <v>7999</v>
      </c>
      <c r="G89" s="45">
        <v>5399</v>
      </c>
      <c r="H89" s="46">
        <v>6499</v>
      </c>
      <c r="I89" s="46">
        <v>6499</v>
      </c>
      <c r="J89" s="45">
        <v>6399</v>
      </c>
      <c r="K89" s="45">
        <v>6399</v>
      </c>
      <c r="L89" s="45">
        <v>6399</v>
      </c>
      <c r="M89" s="45">
        <v>6399</v>
      </c>
      <c r="N89" s="45">
        <v>6399</v>
      </c>
      <c r="O89" s="45">
        <v>6299</v>
      </c>
      <c r="P89" s="46">
        <v>6199</v>
      </c>
      <c r="Q89" s="46">
        <v>5499</v>
      </c>
      <c r="R89" s="45">
        <v>6299</v>
      </c>
      <c r="S89" s="45">
        <v>6199</v>
      </c>
      <c r="T89" s="46">
        <v>5499</v>
      </c>
      <c r="U89" s="46">
        <v>5499</v>
      </c>
      <c r="V89" s="46">
        <v>5499</v>
      </c>
      <c r="W89" s="46">
        <v>5499</v>
      </c>
      <c r="X89" s="46">
        <v>5399</v>
      </c>
      <c r="Y89" s="46">
        <v>4999</v>
      </c>
      <c r="Z89" s="46">
        <v>4999</v>
      </c>
      <c r="AA89" s="46">
        <v>4949</v>
      </c>
      <c r="AB89" s="45">
        <v>6399</v>
      </c>
      <c r="AC89" s="45">
        <v>6399</v>
      </c>
      <c r="AD89" s="45">
        <v>6399</v>
      </c>
      <c r="AE89" s="45">
        <v>6299</v>
      </c>
      <c r="AF89" s="45">
        <v>6199</v>
      </c>
      <c r="AG89" s="45">
        <v>6199</v>
      </c>
      <c r="AH89" s="45">
        <v>5499</v>
      </c>
      <c r="AI89" s="45">
        <v>5499</v>
      </c>
      <c r="AJ89" s="45">
        <v>5499</v>
      </c>
      <c r="AK89" s="45">
        <v>5499</v>
      </c>
      <c r="AL89" s="45">
        <v>4999</v>
      </c>
      <c r="AM89" s="45"/>
      <c r="AN89" s="45"/>
      <c r="AO89" s="45"/>
      <c r="AP89" s="45"/>
      <c r="AQ89" s="45"/>
      <c r="AR89" s="45"/>
      <c r="AS89" s="45"/>
      <c r="AT89" s="45"/>
      <c r="AU89" s="45"/>
      <c r="AV89" s="47"/>
      <c r="AW89" s="48" t="s">
        <v>67</v>
      </c>
      <c r="AX89" s="49" t="s">
        <v>68</v>
      </c>
      <c r="AY89" s="50">
        <f t="shared" si="3"/>
        <v>131.27979999999999</v>
      </c>
      <c r="AZ89" s="50">
        <f t="shared" si="4"/>
        <v>118.2818</v>
      </c>
      <c r="BA89" s="51">
        <f t="shared" si="5"/>
        <v>66.939700000000002</v>
      </c>
    </row>
    <row r="90" spans="1:53" ht="22.5" customHeight="1">
      <c r="A90" s="41" t="s">
        <v>63</v>
      </c>
      <c r="B90" s="42" t="s">
        <v>64</v>
      </c>
      <c r="C90" s="43">
        <v>4017480</v>
      </c>
      <c r="D90" s="44" t="s">
        <v>167</v>
      </c>
      <c r="E90" s="44" t="s">
        <v>170</v>
      </c>
      <c r="F90" s="45">
        <v>7999</v>
      </c>
      <c r="G90" s="45">
        <v>5399</v>
      </c>
      <c r="H90" s="46">
        <v>6499</v>
      </c>
      <c r="I90" s="46">
        <v>6499</v>
      </c>
      <c r="J90" s="45">
        <v>6399</v>
      </c>
      <c r="K90" s="45">
        <v>6399</v>
      </c>
      <c r="L90" s="45">
        <v>6399</v>
      </c>
      <c r="M90" s="45">
        <v>6399</v>
      </c>
      <c r="N90" s="45">
        <v>6399</v>
      </c>
      <c r="O90" s="45">
        <v>6299</v>
      </c>
      <c r="P90" s="46">
        <v>6199</v>
      </c>
      <c r="Q90" s="46">
        <v>5499</v>
      </c>
      <c r="R90" s="45">
        <v>6299</v>
      </c>
      <c r="S90" s="45">
        <v>6199</v>
      </c>
      <c r="T90" s="46">
        <v>5499</v>
      </c>
      <c r="U90" s="46">
        <v>5499</v>
      </c>
      <c r="V90" s="46">
        <v>5499</v>
      </c>
      <c r="W90" s="46">
        <v>5499</v>
      </c>
      <c r="X90" s="46">
        <v>5399</v>
      </c>
      <c r="Y90" s="46">
        <v>4999</v>
      </c>
      <c r="Z90" s="46">
        <v>4999</v>
      </c>
      <c r="AA90" s="46">
        <v>4949</v>
      </c>
      <c r="AB90" s="45">
        <v>6399</v>
      </c>
      <c r="AC90" s="45">
        <v>6399</v>
      </c>
      <c r="AD90" s="45">
        <v>6399</v>
      </c>
      <c r="AE90" s="45">
        <v>6299</v>
      </c>
      <c r="AF90" s="45">
        <v>6199</v>
      </c>
      <c r="AG90" s="45">
        <v>6199</v>
      </c>
      <c r="AH90" s="45">
        <v>5499</v>
      </c>
      <c r="AI90" s="45">
        <v>5499</v>
      </c>
      <c r="AJ90" s="45">
        <v>5499</v>
      </c>
      <c r="AK90" s="45">
        <v>5499</v>
      </c>
      <c r="AL90" s="45">
        <v>4999</v>
      </c>
      <c r="AM90" s="45"/>
      <c r="AN90" s="45"/>
      <c r="AO90" s="45"/>
      <c r="AP90" s="45"/>
      <c r="AQ90" s="45"/>
      <c r="AR90" s="45"/>
      <c r="AS90" s="45"/>
      <c r="AT90" s="45"/>
      <c r="AU90" s="45"/>
      <c r="AV90" s="47"/>
      <c r="AW90" s="48" t="s">
        <v>67</v>
      </c>
      <c r="AX90" s="49" t="s">
        <v>68</v>
      </c>
      <c r="AY90" s="50">
        <f t="shared" si="3"/>
        <v>131.27979999999999</v>
      </c>
      <c r="AZ90" s="50">
        <f t="shared" si="4"/>
        <v>118.2818</v>
      </c>
      <c r="BA90" s="51">
        <f t="shared" si="5"/>
        <v>66.939700000000002</v>
      </c>
    </row>
    <row r="91" spans="1:53" ht="22.5" customHeight="1">
      <c r="A91" s="41" t="s">
        <v>63</v>
      </c>
      <c r="B91" s="42" t="s">
        <v>64</v>
      </c>
      <c r="C91" s="43">
        <v>4017894</v>
      </c>
      <c r="D91" s="44" t="s">
        <v>167</v>
      </c>
      <c r="E91" s="44" t="s">
        <v>171</v>
      </c>
      <c r="F91" s="45">
        <v>7999</v>
      </c>
      <c r="G91" s="45">
        <v>5399</v>
      </c>
      <c r="H91" s="46">
        <v>6499</v>
      </c>
      <c r="I91" s="46">
        <v>6499</v>
      </c>
      <c r="J91" s="45">
        <v>6399</v>
      </c>
      <c r="K91" s="45">
        <v>6399</v>
      </c>
      <c r="L91" s="45">
        <v>6399</v>
      </c>
      <c r="M91" s="45">
        <v>6399</v>
      </c>
      <c r="N91" s="45">
        <v>6399</v>
      </c>
      <c r="O91" s="45">
        <v>6299</v>
      </c>
      <c r="P91" s="46">
        <v>6199</v>
      </c>
      <c r="Q91" s="46">
        <v>5499</v>
      </c>
      <c r="R91" s="45">
        <v>6299</v>
      </c>
      <c r="S91" s="45">
        <v>6199</v>
      </c>
      <c r="T91" s="46">
        <v>5499</v>
      </c>
      <c r="U91" s="46">
        <v>5499</v>
      </c>
      <c r="V91" s="46">
        <v>5499</v>
      </c>
      <c r="W91" s="46">
        <v>5499</v>
      </c>
      <c r="X91" s="46">
        <v>5399</v>
      </c>
      <c r="Y91" s="46">
        <v>4999</v>
      </c>
      <c r="Z91" s="46">
        <v>4999</v>
      </c>
      <c r="AA91" s="46">
        <v>4949</v>
      </c>
      <c r="AB91" s="45">
        <v>6399</v>
      </c>
      <c r="AC91" s="45">
        <v>6399</v>
      </c>
      <c r="AD91" s="45">
        <v>6399</v>
      </c>
      <c r="AE91" s="45">
        <v>6299</v>
      </c>
      <c r="AF91" s="45">
        <v>6199</v>
      </c>
      <c r="AG91" s="45">
        <v>6199</v>
      </c>
      <c r="AH91" s="45">
        <v>5499</v>
      </c>
      <c r="AI91" s="45">
        <v>5499</v>
      </c>
      <c r="AJ91" s="45">
        <v>5499</v>
      </c>
      <c r="AK91" s="45">
        <v>5499</v>
      </c>
      <c r="AL91" s="45">
        <v>4999</v>
      </c>
      <c r="AM91" s="45"/>
      <c r="AN91" s="45"/>
      <c r="AO91" s="45"/>
      <c r="AP91" s="45"/>
      <c r="AQ91" s="45"/>
      <c r="AR91" s="45"/>
      <c r="AS91" s="45"/>
      <c r="AT91" s="45"/>
      <c r="AU91" s="45"/>
      <c r="AV91" s="47"/>
      <c r="AW91" s="48" t="s">
        <v>67</v>
      </c>
      <c r="AX91" s="49" t="s">
        <v>68</v>
      </c>
      <c r="AY91" s="50">
        <f t="shared" si="3"/>
        <v>131.27979999999999</v>
      </c>
      <c r="AZ91" s="50">
        <f t="shared" si="4"/>
        <v>118.2818</v>
      </c>
      <c r="BA91" s="51">
        <f t="shared" si="5"/>
        <v>66.939700000000002</v>
      </c>
    </row>
    <row r="92" spans="1:53" ht="22.5" customHeight="1">
      <c r="A92" s="41" t="s">
        <v>63</v>
      </c>
      <c r="B92" s="42" t="s">
        <v>64</v>
      </c>
      <c r="C92" s="43">
        <v>4017485</v>
      </c>
      <c r="D92" s="44" t="s">
        <v>167</v>
      </c>
      <c r="E92" s="44" t="s">
        <v>172</v>
      </c>
      <c r="F92" s="45">
        <v>7999</v>
      </c>
      <c r="G92" s="45">
        <v>5399</v>
      </c>
      <c r="H92" s="46">
        <v>6499</v>
      </c>
      <c r="I92" s="46">
        <v>6499</v>
      </c>
      <c r="J92" s="45">
        <v>6399</v>
      </c>
      <c r="K92" s="45">
        <v>6399</v>
      </c>
      <c r="L92" s="45">
        <v>6399</v>
      </c>
      <c r="M92" s="45">
        <v>6399</v>
      </c>
      <c r="N92" s="45">
        <v>6399</v>
      </c>
      <c r="O92" s="45">
        <v>6299</v>
      </c>
      <c r="P92" s="46">
        <v>6199</v>
      </c>
      <c r="Q92" s="46">
        <v>5499</v>
      </c>
      <c r="R92" s="45">
        <v>6299</v>
      </c>
      <c r="S92" s="45">
        <v>6199</v>
      </c>
      <c r="T92" s="46">
        <v>5499</v>
      </c>
      <c r="U92" s="46">
        <v>5499</v>
      </c>
      <c r="V92" s="46">
        <v>5499</v>
      </c>
      <c r="W92" s="46">
        <v>5499</v>
      </c>
      <c r="X92" s="46">
        <v>5399</v>
      </c>
      <c r="Y92" s="46">
        <v>4999</v>
      </c>
      <c r="Z92" s="46">
        <v>4999</v>
      </c>
      <c r="AA92" s="46">
        <v>4949</v>
      </c>
      <c r="AB92" s="45">
        <v>6399</v>
      </c>
      <c r="AC92" s="45">
        <v>6399</v>
      </c>
      <c r="AD92" s="45">
        <v>6399</v>
      </c>
      <c r="AE92" s="45">
        <v>6299</v>
      </c>
      <c r="AF92" s="45">
        <v>6199</v>
      </c>
      <c r="AG92" s="45">
        <v>6199</v>
      </c>
      <c r="AH92" s="45">
        <v>5499</v>
      </c>
      <c r="AI92" s="45">
        <v>5499</v>
      </c>
      <c r="AJ92" s="45">
        <v>5499</v>
      </c>
      <c r="AK92" s="45">
        <v>5499</v>
      </c>
      <c r="AL92" s="45">
        <v>4999</v>
      </c>
      <c r="AM92" s="45"/>
      <c r="AN92" s="45"/>
      <c r="AO92" s="45"/>
      <c r="AP92" s="45"/>
      <c r="AQ92" s="45"/>
      <c r="AR92" s="45"/>
      <c r="AS92" s="45"/>
      <c r="AT92" s="45"/>
      <c r="AU92" s="45"/>
      <c r="AV92" s="47"/>
      <c r="AW92" s="48" t="s">
        <v>67</v>
      </c>
      <c r="AX92" s="49" t="s">
        <v>68</v>
      </c>
      <c r="AY92" s="50">
        <f t="shared" si="3"/>
        <v>131.27979999999999</v>
      </c>
      <c r="AZ92" s="50">
        <f t="shared" si="4"/>
        <v>118.2818</v>
      </c>
      <c r="BA92" s="51">
        <f t="shared" si="5"/>
        <v>66.939700000000002</v>
      </c>
    </row>
    <row r="93" spans="1:53" ht="22.5" customHeight="1">
      <c r="A93" s="41" t="s">
        <v>63</v>
      </c>
      <c r="B93" s="42" t="s">
        <v>64</v>
      </c>
      <c r="C93" s="43">
        <v>4017890</v>
      </c>
      <c r="D93" s="44" t="s">
        <v>167</v>
      </c>
      <c r="E93" s="44" t="s">
        <v>173</v>
      </c>
      <c r="F93" s="45">
        <v>7999</v>
      </c>
      <c r="G93" s="45">
        <v>5399</v>
      </c>
      <c r="H93" s="46">
        <v>6499</v>
      </c>
      <c r="I93" s="46">
        <v>6499</v>
      </c>
      <c r="J93" s="45">
        <v>6399</v>
      </c>
      <c r="K93" s="45">
        <v>6399</v>
      </c>
      <c r="L93" s="45">
        <v>6399</v>
      </c>
      <c r="M93" s="45">
        <v>6399</v>
      </c>
      <c r="N93" s="45">
        <v>6399</v>
      </c>
      <c r="O93" s="45">
        <v>6299</v>
      </c>
      <c r="P93" s="46">
        <v>6199</v>
      </c>
      <c r="Q93" s="46">
        <v>5499</v>
      </c>
      <c r="R93" s="45">
        <v>6299</v>
      </c>
      <c r="S93" s="45">
        <v>6199</v>
      </c>
      <c r="T93" s="46">
        <v>5499</v>
      </c>
      <c r="U93" s="46">
        <v>5499</v>
      </c>
      <c r="V93" s="46">
        <v>5499</v>
      </c>
      <c r="W93" s="46">
        <v>5499</v>
      </c>
      <c r="X93" s="46">
        <v>5399</v>
      </c>
      <c r="Y93" s="46">
        <v>4999</v>
      </c>
      <c r="Z93" s="46">
        <v>4999</v>
      </c>
      <c r="AA93" s="46">
        <v>4949</v>
      </c>
      <c r="AB93" s="45">
        <v>6399</v>
      </c>
      <c r="AC93" s="45">
        <v>6399</v>
      </c>
      <c r="AD93" s="45">
        <v>6399</v>
      </c>
      <c r="AE93" s="45">
        <v>6299</v>
      </c>
      <c r="AF93" s="45">
        <v>6199</v>
      </c>
      <c r="AG93" s="45">
        <v>6199</v>
      </c>
      <c r="AH93" s="45">
        <v>5499</v>
      </c>
      <c r="AI93" s="45">
        <v>5499</v>
      </c>
      <c r="AJ93" s="45">
        <v>5499</v>
      </c>
      <c r="AK93" s="45">
        <v>5499</v>
      </c>
      <c r="AL93" s="45">
        <v>4999</v>
      </c>
      <c r="AM93" s="45"/>
      <c r="AN93" s="45"/>
      <c r="AO93" s="45"/>
      <c r="AP93" s="45"/>
      <c r="AQ93" s="45"/>
      <c r="AR93" s="45"/>
      <c r="AS93" s="45"/>
      <c r="AT93" s="45"/>
      <c r="AU93" s="45"/>
      <c r="AV93" s="47"/>
      <c r="AW93" s="48" t="s">
        <v>67</v>
      </c>
      <c r="AX93" s="49" t="s">
        <v>68</v>
      </c>
      <c r="AY93" s="50">
        <f t="shared" si="3"/>
        <v>131.27979999999999</v>
      </c>
      <c r="AZ93" s="50">
        <f t="shared" si="4"/>
        <v>118.2818</v>
      </c>
      <c r="BA93" s="51">
        <f t="shared" si="5"/>
        <v>66.939700000000002</v>
      </c>
    </row>
    <row r="94" spans="1:53" ht="22.5" customHeight="1">
      <c r="A94" s="41" t="s">
        <v>63</v>
      </c>
      <c r="B94" s="42" t="s">
        <v>64</v>
      </c>
      <c r="C94" s="43">
        <v>4017486</v>
      </c>
      <c r="D94" s="44" t="s">
        <v>167</v>
      </c>
      <c r="E94" s="44" t="s">
        <v>174</v>
      </c>
      <c r="F94" s="45">
        <v>7999</v>
      </c>
      <c r="G94" s="45">
        <v>5399</v>
      </c>
      <c r="H94" s="46">
        <v>6499</v>
      </c>
      <c r="I94" s="46">
        <v>6499</v>
      </c>
      <c r="J94" s="45">
        <v>6399</v>
      </c>
      <c r="K94" s="45">
        <v>6399</v>
      </c>
      <c r="L94" s="45">
        <v>6399</v>
      </c>
      <c r="M94" s="45">
        <v>6399</v>
      </c>
      <c r="N94" s="45">
        <v>6399</v>
      </c>
      <c r="O94" s="45">
        <v>6299</v>
      </c>
      <c r="P94" s="46">
        <v>6199</v>
      </c>
      <c r="Q94" s="46">
        <v>5499</v>
      </c>
      <c r="R94" s="45">
        <v>6299</v>
      </c>
      <c r="S94" s="45">
        <v>6199</v>
      </c>
      <c r="T94" s="46">
        <v>5499</v>
      </c>
      <c r="U94" s="46">
        <v>5499</v>
      </c>
      <c r="V94" s="46">
        <v>5499</v>
      </c>
      <c r="W94" s="46">
        <v>5499</v>
      </c>
      <c r="X94" s="46">
        <v>5399</v>
      </c>
      <c r="Y94" s="46">
        <v>4999</v>
      </c>
      <c r="Z94" s="46">
        <v>4999</v>
      </c>
      <c r="AA94" s="46">
        <v>4949</v>
      </c>
      <c r="AB94" s="45">
        <v>6399</v>
      </c>
      <c r="AC94" s="45">
        <v>6399</v>
      </c>
      <c r="AD94" s="45">
        <v>6399</v>
      </c>
      <c r="AE94" s="45">
        <v>6299</v>
      </c>
      <c r="AF94" s="45">
        <v>6199</v>
      </c>
      <c r="AG94" s="45">
        <v>6199</v>
      </c>
      <c r="AH94" s="45">
        <v>5499</v>
      </c>
      <c r="AI94" s="45">
        <v>5499</v>
      </c>
      <c r="AJ94" s="45">
        <v>5499</v>
      </c>
      <c r="AK94" s="45">
        <v>5499</v>
      </c>
      <c r="AL94" s="45">
        <v>4999</v>
      </c>
      <c r="AM94" s="45"/>
      <c r="AN94" s="45"/>
      <c r="AO94" s="45"/>
      <c r="AP94" s="45"/>
      <c r="AQ94" s="45"/>
      <c r="AR94" s="45"/>
      <c r="AS94" s="45"/>
      <c r="AT94" s="45"/>
      <c r="AU94" s="45"/>
      <c r="AV94" s="47"/>
      <c r="AW94" s="48" t="s">
        <v>67</v>
      </c>
      <c r="AX94" s="49" t="s">
        <v>68</v>
      </c>
      <c r="AY94" s="50">
        <f t="shared" si="3"/>
        <v>131.27979999999999</v>
      </c>
      <c r="AZ94" s="50">
        <f t="shared" si="4"/>
        <v>118.2818</v>
      </c>
      <c r="BA94" s="51">
        <f t="shared" si="5"/>
        <v>66.939700000000002</v>
      </c>
    </row>
    <row r="95" spans="1:53" ht="22.5" customHeight="1">
      <c r="A95" s="41" t="s">
        <v>63</v>
      </c>
      <c r="B95" s="42" t="s">
        <v>64</v>
      </c>
      <c r="C95" s="43">
        <v>4017892</v>
      </c>
      <c r="D95" s="44" t="s">
        <v>167</v>
      </c>
      <c r="E95" s="44" t="s">
        <v>175</v>
      </c>
      <c r="F95" s="45">
        <v>7999</v>
      </c>
      <c r="G95" s="45">
        <v>5399</v>
      </c>
      <c r="H95" s="46">
        <v>6499</v>
      </c>
      <c r="I95" s="46">
        <v>6499</v>
      </c>
      <c r="J95" s="45">
        <v>6399</v>
      </c>
      <c r="K95" s="45">
        <v>6399</v>
      </c>
      <c r="L95" s="45">
        <v>6399</v>
      </c>
      <c r="M95" s="45">
        <v>6399</v>
      </c>
      <c r="N95" s="45">
        <v>6399</v>
      </c>
      <c r="O95" s="45">
        <v>6299</v>
      </c>
      <c r="P95" s="46">
        <v>6199</v>
      </c>
      <c r="Q95" s="46">
        <v>5499</v>
      </c>
      <c r="R95" s="45">
        <v>6299</v>
      </c>
      <c r="S95" s="45">
        <v>6199</v>
      </c>
      <c r="T95" s="46">
        <v>5499</v>
      </c>
      <c r="U95" s="46">
        <v>5499</v>
      </c>
      <c r="V95" s="46">
        <v>5499</v>
      </c>
      <c r="W95" s="46">
        <v>5499</v>
      </c>
      <c r="X95" s="46">
        <v>5399</v>
      </c>
      <c r="Y95" s="46">
        <v>4999</v>
      </c>
      <c r="Z95" s="46">
        <v>4999</v>
      </c>
      <c r="AA95" s="46">
        <v>4949</v>
      </c>
      <c r="AB95" s="45">
        <v>6399</v>
      </c>
      <c r="AC95" s="45">
        <v>6399</v>
      </c>
      <c r="AD95" s="45">
        <v>6399</v>
      </c>
      <c r="AE95" s="45">
        <v>6299</v>
      </c>
      <c r="AF95" s="45">
        <v>6199</v>
      </c>
      <c r="AG95" s="45">
        <v>6199</v>
      </c>
      <c r="AH95" s="45">
        <v>5499</v>
      </c>
      <c r="AI95" s="45">
        <v>5499</v>
      </c>
      <c r="AJ95" s="45">
        <v>5499</v>
      </c>
      <c r="AK95" s="45">
        <v>5499</v>
      </c>
      <c r="AL95" s="45">
        <v>4999</v>
      </c>
      <c r="AM95" s="45"/>
      <c r="AN95" s="45"/>
      <c r="AO95" s="45"/>
      <c r="AP95" s="45"/>
      <c r="AQ95" s="45"/>
      <c r="AR95" s="45"/>
      <c r="AS95" s="45"/>
      <c r="AT95" s="45"/>
      <c r="AU95" s="45"/>
      <c r="AV95" s="47"/>
      <c r="AW95" s="48" t="s">
        <v>67</v>
      </c>
      <c r="AX95" s="49" t="s">
        <v>68</v>
      </c>
      <c r="AY95" s="50">
        <f t="shared" si="3"/>
        <v>131.27979999999999</v>
      </c>
      <c r="AZ95" s="50">
        <f t="shared" si="4"/>
        <v>118.2818</v>
      </c>
      <c r="BA95" s="51">
        <f t="shared" si="5"/>
        <v>66.939700000000002</v>
      </c>
    </row>
    <row r="96" spans="1:53" ht="22.5" customHeight="1">
      <c r="A96" s="41" t="s">
        <v>63</v>
      </c>
      <c r="B96" s="42" t="s">
        <v>64</v>
      </c>
      <c r="C96" s="43">
        <v>4017483</v>
      </c>
      <c r="D96" s="44" t="s">
        <v>167</v>
      </c>
      <c r="E96" s="44" t="s">
        <v>176</v>
      </c>
      <c r="F96" s="45">
        <v>7999</v>
      </c>
      <c r="G96" s="45">
        <v>5399</v>
      </c>
      <c r="H96" s="46">
        <v>6499</v>
      </c>
      <c r="I96" s="46">
        <v>6499</v>
      </c>
      <c r="J96" s="45">
        <v>6399</v>
      </c>
      <c r="K96" s="45">
        <v>6399</v>
      </c>
      <c r="L96" s="45">
        <v>6399</v>
      </c>
      <c r="M96" s="45">
        <v>6399</v>
      </c>
      <c r="N96" s="45">
        <v>6399</v>
      </c>
      <c r="O96" s="45">
        <v>6299</v>
      </c>
      <c r="P96" s="46">
        <v>6199</v>
      </c>
      <c r="Q96" s="46">
        <v>5499</v>
      </c>
      <c r="R96" s="45">
        <v>6299</v>
      </c>
      <c r="S96" s="45">
        <v>6199</v>
      </c>
      <c r="T96" s="46">
        <v>5499</v>
      </c>
      <c r="U96" s="46">
        <v>5499</v>
      </c>
      <c r="V96" s="46">
        <v>5499</v>
      </c>
      <c r="W96" s="46">
        <v>5499</v>
      </c>
      <c r="X96" s="46">
        <v>5399</v>
      </c>
      <c r="Y96" s="46">
        <v>4999</v>
      </c>
      <c r="Z96" s="46">
        <v>4999</v>
      </c>
      <c r="AA96" s="46">
        <v>4949</v>
      </c>
      <c r="AB96" s="45">
        <v>6399</v>
      </c>
      <c r="AC96" s="45">
        <v>6399</v>
      </c>
      <c r="AD96" s="45">
        <v>6399</v>
      </c>
      <c r="AE96" s="45">
        <v>6299</v>
      </c>
      <c r="AF96" s="45">
        <v>6199</v>
      </c>
      <c r="AG96" s="45">
        <v>6199</v>
      </c>
      <c r="AH96" s="45">
        <v>5499</v>
      </c>
      <c r="AI96" s="45">
        <v>5499</v>
      </c>
      <c r="AJ96" s="45">
        <v>5499</v>
      </c>
      <c r="AK96" s="45">
        <v>5499</v>
      </c>
      <c r="AL96" s="45">
        <v>4999</v>
      </c>
      <c r="AM96" s="45"/>
      <c r="AN96" s="45"/>
      <c r="AO96" s="45"/>
      <c r="AP96" s="45"/>
      <c r="AQ96" s="45"/>
      <c r="AR96" s="45"/>
      <c r="AS96" s="45"/>
      <c r="AT96" s="45"/>
      <c r="AU96" s="45"/>
      <c r="AV96" s="47"/>
      <c r="AW96" s="48" t="s">
        <v>67</v>
      </c>
      <c r="AX96" s="49" t="s">
        <v>68</v>
      </c>
      <c r="AY96" s="50">
        <f t="shared" si="3"/>
        <v>131.27979999999999</v>
      </c>
      <c r="AZ96" s="50">
        <f t="shared" si="4"/>
        <v>118.2818</v>
      </c>
      <c r="BA96" s="51">
        <f t="shared" si="5"/>
        <v>66.939700000000002</v>
      </c>
    </row>
    <row r="97" spans="1:53" ht="22.5" customHeight="1">
      <c r="A97" s="41" t="s">
        <v>63</v>
      </c>
      <c r="B97" s="42" t="s">
        <v>64</v>
      </c>
      <c r="C97" s="43">
        <v>4017484</v>
      </c>
      <c r="D97" s="44" t="s">
        <v>177</v>
      </c>
      <c r="E97" s="44" t="s">
        <v>178</v>
      </c>
      <c r="F97" s="45">
        <v>9499</v>
      </c>
      <c r="G97" s="45">
        <v>7699</v>
      </c>
      <c r="H97" s="46">
        <v>8199</v>
      </c>
      <c r="I97" s="46">
        <v>8199</v>
      </c>
      <c r="J97" s="45">
        <v>8099</v>
      </c>
      <c r="K97" s="45">
        <v>8099</v>
      </c>
      <c r="L97" s="45">
        <v>8099</v>
      </c>
      <c r="M97" s="45">
        <v>8099</v>
      </c>
      <c r="N97" s="45">
        <v>8099</v>
      </c>
      <c r="O97" s="45">
        <v>7999</v>
      </c>
      <c r="P97" s="46">
        <v>7899</v>
      </c>
      <c r="Q97" s="46">
        <v>7799</v>
      </c>
      <c r="R97" s="45">
        <v>7999</v>
      </c>
      <c r="S97" s="45">
        <v>7899</v>
      </c>
      <c r="T97" s="46">
        <v>7799</v>
      </c>
      <c r="U97" s="46">
        <v>7799</v>
      </c>
      <c r="V97" s="46">
        <v>7799</v>
      </c>
      <c r="W97" s="46">
        <v>7799</v>
      </c>
      <c r="X97" s="46">
        <v>7699</v>
      </c>
      <c r="Y97" s="46">
        <v>7499</v>
      </c>
      <c r="Z97" s="46">
        <v>7499</v>
      </c>
      <c r="AA97" s="46">
        <v>7499</v>
      </c>
      <c r="AB97" s="45"/>
      <c r="AC97" s="45"/>
      <c r="AD97" s="45"/>
      <c r="AE97" s="45"/>
      <c r="AF97" s="45"/>
      <c r="AG97" s="45"/>
      <c r="AH97" s="45"/>
      <c r="AI97" s="45"/>
      <c r="AJ97" s="45"/>
      <c r="AK97" s="45"/>
      <c r="AL97" s="45"/>
      <c r="AM97" s="45"/>
      <c r="AN97" s="45"/>
      <c r="AO97" s="45"/>
      <c r="AP97" s="45"/>
      <c r="AQ97" s="45"/>
      <c r="AR97" s="45"/>
      <c r="AS97" s="45"/>
      <c r="AT97" s="45"/>
      <c r="AU97" s="45"/>
      <c r="AV97" s="47"/>
      <c r="AW97" s="48" t="s">
        <v>67</v>
      </c>
      <c r="AX97" s="49" t="s">
        <v>68</v>
      </c>
      <c r="AY97" s="50">
        <f t="shared" si="3"/>
        <v>165.6198</v>
      </c>
      <c r="AZ97" s="50">
        <f t="shared" si="4"/>
        <v>149.2218</v>
      </c>
      <c r="BA97" s="51">
        <f t="shared" si="5"/>
        <v>84.449700000000007</v>
      </c>
    </row>
    <row r="98" spans="1:53" ht="22.5" customHeight="1">
      <c r="A98" s="41" t="s">
        <v>63</v>
      </c>
      <c r="B98" s="42" t="s">
        <v>64</v>
      </c>
      <c r="C98" s="43">
        <v>4017506</v>
      </c>
      <c r="D98" s="44" t="s">
        <v>177</v>
      </c>
      <c r="E98" s="44" t="s">
        <v>179</v>
      </c>
      <c r="F98" s="45">
        <v>9499</v>
      </c>
      <c r="G98" s="45">
        <v>7699</v>
      </c>
      <c r="H98" s="46">
        <v>8199</v>
      </c>
      <c r="I98" s="46">
        <v>8199</v>
      </c>
      <c r="J98" s="45">
        <v>8099</v>
      </c>
      <c r="K98" s="45">
        <v>8099</v>
      </c>
      <c r="L98" s="45">
        <v>8099</v>
      </c>
      <c r="M98" s="45">
        <v>8099</v>
      </c>
      <c r="N98" s="45">
        <v>8099</v>
      </c>
      <c r="O98" s="45">
        <v>7999</v>
      </c>
      <c r="P98" s="46">
        <v>7899</v>
      </c>
      <c r="Q98" s="46">
        <v>7799</v>
      </c>
      <c r="R98" s="45">
        <v>7999</v>
      </c>
      <c r="S98" s="45">
        <v>7899</v>
      </c>
      <c r="T98" s="46">
        <v>7799</v>
      </c>
      <c r="U98" s="46">
        <v>7799</v>
      </c>
      <c r="V98" s="46">
        <v>7799</v>
      </c>
      <c r="W98" s="46">
        <v>7799</v>
      </c>
      <c r="X98" s="46">
        <v>7699</v>
      </c>
      <c r="Y98" s="46">
        <v>7499</v>
      </c>
      <c r="Z98" s="46">
        <v>7499</v>
      </c>
      <c r="AA98" s="46">
        <v>7499</v>
      </c>
      <c r="AB98" s="45"/>
      <c r="AC98" s="45"/>
      <c r="AD98" s="45"/>
      <c r="AE98" s="45"/>
      <c r="AF98" s="45"/>
      <c r="AG98" s="45"/>
      <c r="AH98" s="45"/>
      <c r="AI98" s="45"/>
      <c r="AJ98" s="45"/>
      <c r="AK98" s="45"/>
      <c r="AL98" s="45"/>
      <c r="AM98" s="45"/>
      <c r="AN98" s="45"/>
      <c r="AO98" s="45"/>
      <c r="AP98" s="45"/>
      <c r="AQ98" s="45"/>
      <c r="AR98" s="45"/>
      <c r="AS98" s="45"/>
      <c r="AT98" s="45"/>
      <c r="AU98" s="45"/>
      <c r="AV98" s="47"/>
      <c r="AW98" s="48" t="s">
        <v>67</v>
      </c>
      <c r="AX98" s="49" t="s">
        <v>68</v>
      </c>
      <c r="AY98" s="50">
        <f t="shared" si="3"/>
        <v>165.6198</v>
      </c>
      <c r="AZ98" s="50">
        <f t="shared" si="4"/>
        <v>149.2218</v>
      </c>
      <c r="BA98" s="51">
        <f t="shared" si="5"/>
        <v>84.449700000000007</v>
      </c>
    </row>
    <row r="99" spans="1:53" ht="22.5" customHeight="1">
      <c r="A99" s="41" t="s">
        <v>63</v>
      </c>
      <c r="B99" s="42" t="s">
        <v>64</v>
      </c>
      <c r="C99" s="43">
        <v>4017497</v>
      </c>
      <c r="D99" s="44" t="s">
        <v>180</v>
      </c>
      <c r="E99" s="44" t="s">
        <v>181</v>
      </c>
      <c r="F99" s="45">
        <v>10499</v>
      </c>
      <c r="G99" s="45">
        <v>7299</v>
      </c>
      <c r="H99" s="46">
        <v>7799</v>
      </c>
      <c r="I99" s="46">
        <v>7799</v>
      </c>
      <c r="J99" s="45">
        <v>7699</v>
      </c>
      <c r="K99" s="45">
        <v>7699</v>
      </c>
      <c r="L99" s="45">
        <v>7699</v>
      </c>
      <c r="M99" s="45">
        <v>7699</v>
      </c>
      <c r="N99" s="45">
        <v>7699</v>
      </c>
      <c r="O99" s="45">
        <v>7599</v>
      </c>
      <c r="P99" s="46">
        <v>7499</v>
      </c>
      <c r="Q99" s="46">
        <v>7399</v>
      </c>
      <c r="R99" s="45">
        <v>7599</v>
      </c>
      <c r="S99" s="45">
        <v>7499</v>
      </c>
      <c r="T99" s="46">
        <v>7399</v>
      </c>
      <c r="U99" s="46">
        <v>7399</v>
      </c>
      <c r="V99" s="46">
        <v>7399</v>
      </c>
      <c r="W99" s="46">
        <v>7399</v>
      </c>
      <c r="X99" s="46">
        <v>7299</v>
      </c>
      <c r="Y99" s="46">
        <v>6499</v>
      </c>
      <c r="Z99" s="46">
        <v>6499</v>
      </c>
      <c r="AA99" s="46">
        <v>5499</v>
      </c>
      <c r="AB99" s="45"/>
      <c r="AC99" s="45"/>
      <c r="AD99" s="45"/>
      <c r="AE99" s="45"/>
      <c r="AF99" s="45"/>
      <c r="AG99" s="45"/>
      <c r="AH99" s="45"/>
      <c r="AI99" s="45"/>
      <c r="AJ99" s="45"/>
      <c r="AK99" s="45"/>
      <c r="AL99" s="45"/>
      <c r="AM99" s="45"/>
      <c r="AN99" s="45"/>
      <c r="AO99" s="45"/>
      <c r="AP99" s="45"/>
      <c r="AQ99" s="45"/>
      <c r="AR99" s="45"/>
      <c r="AS99" s="45"/>
      <c r="AT99" s="45"/>
      <c r="AU99" s="45"/>
      <c r="AV99" s="47"/>
      <c r="AW99" s="48" t="s">
        <v>67</v>
      </c>
      <c r="AX99" s="49" t="s">
        <v>68</v>
      </c>
      <c r="AY99" s="50">
        <f t="shared" si="3"/>
        <v>157.53979999999999</v>
      </c>
      <c r="AZ99" s="50">
        <f t="shared" si="4"/>
        <v>141.9418</v>
      </c>
      <c r="BA99" s="51">
        <f t="shared" si="5"/>
        <v>80.329700000000003</v>
      </c>
    </row>
    <row r="100" spans="1:53" ht="22.5" customHeight="1">
      <c r="A100" s="41" t="s">
        <v>63</v>
      </c>
      <c r="B100" s="42" t="s">
        <v>64</v>
      </c>
      <c r="C100" s="43">
        <v>4017498</v>
      </c>
      <c r="D100" s="44" t="s">
        <v>180</v>
      </c>
      <c r="E100" s="44" t="s">
        <v>182</v>
      </c>
      <c r="F100" s="45">
        <v>10499</v>
      </c>
      <c r="G100" s="45">
        <v>7299</v>
      </c>
      <c r="H100" s="46">
        <v>7799</v>
      </c>
      <c r="I100" s="46">
        <v>7799</v>
      </c>
      <c r="J100" s="45">
        <v>7699</v>
      </c>
      <c r="K100" s="45">
        <v>7699</v>
      </c>
      <c r="L100" s="45">
        <v>7699</v>
      </c>
      <c r="M100" s="45">
        <v>7699</v>
      </c>
      <c r="N100" s="45">
        <v>7699</v>
      </c>
      <c r="O100" s="45">
        <v>7599</v>
      </c>
      <c r="P100" s="46">
        <v>7499</v>
      </c>
      <c r="Q100" s="46">
        <v>7399</v>
      </c>
      <c r="R100" s="45">
        <v>7599</v>
      </c>
      <c r="S100" s="45">
        <v>7499</v>
      </c>
      <c r="T100" s="46">
        <v>7399</v>
      </c>
      <c r="U100" s="46">
        <v>7399</v>
      </c>
      <c r="V100" s="46">
        <v>7399</v>
      </c>
      <c r="W100" s="46">
        <v>7399</v>
      </c>
      <c r="X100" s="46">
        <v>7299</v>
      </c>
      <c r="Y100" s="46">
        <v>6499</v>
      </c>
      <c r="Z100" s="46">
        <v>6499</v>
      </c>
      <c r="AA100" s="46">
        <v>5499</v>
      </c>
      <c r="AB100" s="45"/>
      <c r="AC100" s="45"/>
      <c r="AD100" s="45"/>
      <c r="AE100" s="45"/>
      <c r="AF100" s="45"/>
      <c r="AG100" s="45"/>
      <c r="AH100" s="45"/>
      <c r="AI100" s="45"/>
      <c r="AJ100" s="45"/>
      <c r="AK100" s="45"/>
      <c r="AL100" s="45"/>
      <c r="AM100" s="45"/>
      <c r="AN100" s="45"/>
      <c r="AO100" s="45"/>
      <c r="AP100" s="45"/>
      <c r="AQ100" s="45"/>
      <c r="AR100" s="45"/>
      <c r="AS100" s="45"/>
      <c r="AT100" s="45"/>
      <c r="AU100" s="45"/>
      <c r="AV100" s="47"/>
      <c r="AW100" s="48" t="s">
        <v>67</v>
      </c>
      <c r="AX100" s="49" t="s">
        <v>68</v>
      </c>
      <c r="AY100" s="50">
        <f t="shared" si="3"/>
        <v>157.53979999999999</v>
      </c>
      <c r="AZ100" s="50">
        <f t="shared" si="4"/>
        <v>141.9418</v>
      </c>
      <c r="BA100" s="51">
        <f t="shared" si="5"/>
        <v>80.329700000000003</v>
      </c>
    </row>
    <row r="101" spans="1:53" ht="22.5" customHeight="1">
      <c r="A101" s="41" t="s">
        <v>63</v>
      </c>
      <c r="B101" s="42" t="s">
        <v>64</v>
      </c>
      <c r="C101" s="43">
        <v>4017499</v>
      </c>
      <c r="D101" s="44" t="s">
        <v>180</v>
      </c>
      <c r="E101" s="44" t="s">
        <v>183</v>
      </c>
      <c r="F101" s="45">
        <v>10499</v>
      </c>
      <c r="G101" s="45">
        <v>7299</v>
      </c>
      <c r="H101" s="46">
        <v>7799</v>
      </c>
      <c r="I101" s="46">
        <v>7799</v>
      </c>
      <c r="J101" s="45">
        <v>7699</v>
      </c>
      <c r="K101" s="45">
        <v>7699</v>
      </c>
      <c r="L101" s="45">
        <v>7699</v>
      </c>
      <c r="M101" s="45">
        <v>7699</v>
      </c>
      <c r="N101" s="45">
        <v>7699</v>
      </c>
      <c r="O101" s="45">
        <v>7599</v>
      </c>
      <c r="P101" s="46">
        <v>7499</v>
      </c>
      <c r="Q101" s="46">
        <v>7399</v>
      </c>
      <c r="R101" s="45">
        <v>7599</v>
      </c>
      <c r="S101" s="45">
        <v>7499</v>
      </c>
      <c r="T101" s="46">
        <v>7399</v>
      </c>
      <c r="U101" s="46">
        <v>7399</v>
      </c>
      <c r="V101" s="46">
        <v>7399</v>
      </c>
      <c r="W101" s="46">
        <v>7399</v>
      </c>
      <c r="X101" s="46">
        <v>7299</v>
      </c>
      <c r="Y101" s="46">
        <v>6499</v>
      </c>
      <c r="Z101" s="46">
        <v>6499</v>
      </c>
      <c r="AA101" s="46">
        <v>5499</v>
      </c>
      <c r="AB101" s="45"/>
      <c r="AC101" s="45"/>
      <c r="AD101" s="45"/>
      <c r="AE101" s="45"/>
      <c r="AF101" s="45"/>
      <c r="AG101" s="45"/>
      <c r="AH101" s="45"/>
      <c r="AI101" s="45"/>
      <c r="AJ101" s="45"/>
      <c r="AK101" s="45"/>
      <c r="AL101" s="45"/>
      <c r="AM101" s="45"/>
      <c r="AN101" s="45"/>
      <c r="AO101" s="45"/>
      <c r="AP101" s="45"/>
      <c r="AQ101" s="45"/>
      <c r="AR101" s="45"/>
      <c r="AS101" s="45"/>
      <c r="AT101" s="45"/>
      <c r="AU101" s="45"/>
      <c r="AV101" s="47"/>
      <c r="AW101" s="48" t="s">
        <v>67</v>
      </c>
      <c r="AX101" s="49" t="s">
        <v>68</v>
      </c>
      <c r="AY101" s="50">
        <f t="shared" si="3"/>
        <v>157.53979999999999</v>
      </c>
      <c r="AZ101" s="50">
        <f t="shared" si="4"/>
        <v>141.9418</v>
      </c>
      <c r="BA101" s="51">
        <f t="shared" si="5"/>
        <v>80.329700000000003</v>
      </c>
    </row>
    <row r="102" spans="1:53" ht="22.5" customHeight="1">
      <c r="A102" s="41" t="s">
        <v>63</v>
      </c>
      <c r="B102" s="42" t="s">
        <v>64</v>
      </c>
      <c r="C102" s="43">
        <v>4017521</v>
      </c>
      <c r="D102" s="44" t="s">
        <v>180</v>
      </c>
      <c r="E102" s="44" t="s">
        <v>184</v>
      </c>
      <c r="F102" s="45">
        <v>10499</v>
      </c>
      <c r="G102" s="45">
        <v>7299</v>
      </c>
      <c r="H102" s="46">
        <v>7799</v>
      </c>
      <c r="I102" s="46">
        <v>7799</v>
      </c>
      <c r="J102" s="45">
        <v>7699</v>
      </c>
      <c r="K102" s="45">
        <v>7699</v>
      </c>
      <c r="L102" s="45">
        <v>7699</v>
      </c>
      <c r="M102" s="45">
        <v>7699</v>
      </c>
      <c r="N102" s="45">
        <v>7699</v>
      </c>
      <c r="O102" s="45">
        <v>7599</v>
      </c>
      <c r="P102" s="46">
        <v>7499</v>
      </c>
      <c r="Q102" s="46">
        <v>7399</v>
      </c>
      <c r="R102" s="45">
        <v>7599</v>
      </c>
      <c r="S102" s="45">
        <v>7499</v>
      </c>
      <c r="T102" s="46">
        <v>7399</v>
      </c>
      <c r="U102" s="46">
        <v>7399</v>
      </c>
      <c r="V102" s="46">
        <v>7399</v>
      </c>
      <c r="W102" s="46">
        <v>7399</v>
      </c>
      <c r="X102" s="46">
        <v>7299</v>
      </c>
      <c r="Y102" s="46">
        <v>6499</v>
      </c>
      <c r="Z102" s="46">
        <v>6499</v>
      </c>
      <c r="AA102" s="46">
        <v>5499</v>
      </c>
      <c r="AB102" s="45"/>
      <c r="AC102" s="45"/>
      <c r="AD102" s="45"/>
      <c r="AE102" s="45"/>
      <c r="AF102" s="45"/>
      <c r="AG102" s="45"/>
      <c r="AH102" s="45"/>
      <c r="AI102" s="45"/>
      <c r="AJ102" s="45"/>
      <c r="AK102" s="45"/>
      <c r="AL102" s="45"/>
      <c r="AM102" s="45"/>
      <c r="AN102" s="45"/>
      <c r="AO102" s="45"/>
      <c r="AP102" s="45"/>
      <c r="AQ102" s="45"/>
      <c r="AR102" s="45"/>
      <c r="AS102" s="45"/>
      <c r="AT102" s="45"/>
      <c r="AU102" s="45"/>
      <c r="AV102" s="47"/>
      <c r="AW102" s="48" t="s">
        <v>67</v>
      </c>
      <c r="AX102" s="49" t="s">
        <v>68</v>
      </c>
      <c r="AY102" s="50">
        <f t="shared" si="3"/>
        <v>157.53979999999999</v>
      </c>
      <c r="AZ102" s="50">
        <f t="shared" si="4"/>
        <v>141.9418</v>
      </c>
      <c r="BA102" s="51">
        <f t="shared" si="5"/>
        <v>80.329700000000003</v>
      </c>
    </row>
    <row r="103" spans="1:53" ht="22.5" customHeight="1">
      <c r="A103" s="41" t="s">
        <v>63</v>
      </c>
      <c r="B103" s="42" t="s">
        <v>64</v>
      </c>
      <c r="C103" s="43">
        <v>4017496</v>
      </c>
      <c r="D103" s="44" t="s">
        <v>185</v>
      </c>
      <c r="E103" s="44" t="s">
        <v>186</v>
      </c>
      <c r="F103" s="46">
        <v>11999</v>
      </c>
      <c r="G103" s="46">
        <v>8399</v>
      </c>
      <c r="H103" s="46">
        <v>9099</v>
      </c>
      <c r="I103" s="46">
        <v>9099</v>
      </c>
      <c r="J103" s="46">
        <v>8999</v>
      </c>
      <c r="K103" s="46">
        <v>8999</v>
      </c>
      <c r="L103" s="46">
        <v>8999</v>
      </c>
      <c r="M103" s="46">
        <v>8999</v>
      </c>
      <c r="N103" s="46">
        <v>8999</v>
      </c>
      <c r="O103" s="46">
        <v>8899</v>
      </c>
      <c r="P103" s="46">
        <v>8799</v>
      </c>
      <c r="Q103" s="46">
        <v>8499</v>
      </c>
      <c r="R103" s="46">
        <v>8899</v>
      </c>
      <c r="S103" s="46">
        <v>8799</v>
      </c>
      <c r="T103" s="46">
        <v>8499</v>
      </c>
      <c r="U103" s="46">
        <v>8499</v>
      </c>
      <c r="V103" s="46">
        <v>8499</v>
      </c>
      <c r="W103" s="46">
        <v>8499</v>
      </c>
      <c r="X103" s="46">
        <v>8399</v>
      </c>
      <c r="Y103" s="46">
        <v>7799</v>
      </c>
      <c r="Z103" s="46">
        <v>7799</v>
      </c>
      <c r="AA103" s="46">
        <v>6799</v>
      </c>
      <c r="AB103" s="45"/>
      <c r="AC103" s="45"/>
      <c r="AD103" s="45"/>
      <c r="AE103" s="45"/>
      <c r="AF103" s="45"/>
      <c r="AG103" s="45"/>
      <c r="AH103" s="45"/>
      <c r="AI103" s="45"/>
      <c r="AJ103" s="45"/>
      <c r="AK103" s="45"/>
      <c r="AL103" s="45"/>
      <c r="AM103" s="45"/>
      <c r="AN103" s="45"/>
      <c r="AO103" s="45"/>
      <c r="AP103" s="45"/>
      <c r="AQ103" s="45"/>
      <c r="AR103" s="45"/>
      <c r="AS103" s="45"/>
      <c r="AT103" s="45"/>
      <c r="AU103" s="45"/>
      <c r="AV103" s="47"/>
      <c r="AW103" s="48" t="s">
        <v>67</v>
      </c>
      <c r="AX103" s="49" t="s">
        <v>68</v>
      </c>
      <c r="AY103" s="50">
        <f t="shared" si="3"/>
        <v>183.7998</v>
      </c>
      <c r="AZ103" s="50">
        <f t="shared" si="4"/>
        <v>165.6018</v>
      </c>
      <c r="BA103" s="51">
        <f t="shared" si="5"/>
        <v>93.719700000000003</v>
      </c>
    </row>
    <row r="104" spans="1:53" ht="22.5" customHeight="1">
      <c r="A104" s="41" t="s">
        <v>63</v>
      </c>
      <c r="B104" s="42" t="s">
        <v>64</v>
      </c>
      <c r="C104" s="43">
        <v>4017519</v>
      </c>
      <c r="D104" s="44" t="s">
        <v>185</v>
      </c>
      <c r="E104" s="44" t="s">
        <v>187</v>
      </c>
      <c r="F104" s="46">
        <v>11999</v>
      </c>
      <c r="G104" s="46">
        <v>8399</v>
      </c>
      <c r="H104" s="46">
        <v>9099</v>
      </c>
      <c r="I104" s="46">
        <v>9099</v>
      </c>
      <c r="J104" s="46">
        <v>8999</v>
      </c>
      <c r="K104" s="46">
        <v>8999</v>
      </c>
      <c r="L104" s="46">
        <v>8999</v>
      </c>
      <c r="M104" s="46">
        <v>8999</v>
      </c>
      <c r="N104" s="46">
        <v>8999</v>
      </c>
      <c r="O104" s="46">
        <v>8899</v>
      </c>
      <c r="P104" s="46">
        <v>8799</v>
      </c>
      <c r="Q104" s="46">
        <v>8499</v>
      </c>
      <c r="R104" s="46">
        <v>8899</v>
      </c>
      <c r="S104" s="46">
        <v>8799</v>
      </c>
      <c r="T104" s="46">
        <v>8499</v>
      </c>
      <c r="U104" s="46">
        <v>8499</v>
      </c>
      <c r="V104" s="46">
        <v>8499</v>
      </c>
      <c r="W104" s="46">
        <v>8499</v>
      </c>
      <c r="X104" s="46">
        <v>8399</v>
      </c>
      <c r="Y104" s="46">
        <v>7799</v>
      </c>
      <c r="Z104" s="46">
        <v>7799</v>
      </c>
      <c r="AA104" s="46">
        <v>6799</v>
      </c>
      <c r="AB104" s="45"/>
      <c r="AC104" s="45"/>
      <c r="AD104" s="45"/>
      <c r="AE104" s="45"/>
      <c r="AF104" s="45"/>
      <c r="AG104" s="45"/>
      <c r="AH104" s="45"/>
      <c r="AI104" s="45"/>
      <c r="AJ104" s="45"/>
      <c r="AK104" s="45"/>
      <c r="AL104" s="45"/>
      <c r="AM104" s="45"/>
      <c r="AN104" s="45"/>
      <c r="AO104" s="45"/>
      <c r="AP104" s="45"/>
      <c r="AQ104" s="45"/>
      <c r="AR104" s="45"/>
      <c r="AS104" s="45"/>
      <c r="AT104" s="45"/>
      <c r="AU104" s="45"/>
      <c r="AV104" s="47"/>
      <c r="AW104" s="48" t="s">
        <v>67</v>
      </c>
      <c r="AX104" s="49" t="s">
        <v>68</v>
      </c>
      <c r="AY104" s="50">
        <f t="shared" si="3"/>
        <v>183.7998</v>
      </c>
      <c r="AZ104" s="50">
        <f t="shared" si="4"/>
        <v>165.6018</v>
      </c>
      <c r="BA104" s="51">
        <f t="shared" si="5"/>
        <v>93.719700000000003</v>
      </c>
    </row>
    <row r="105" spans="1:53" ht="22.5" customHeight="1">
      <c r="A105" s="41" t="s">
        <v>63</v>
      </c>
      <c r="B105" s="42" t="s">
        <v>64</v>
      </c>
      <c r="C105" s="43">
        <v>4017525</v>
      </c>
      <c r="D105" s="44" t="s">
        <v>185</v>
      </c>
      <c r="E105" s="44" t="s">
        <v>188</v>
      </c>
      <c r="F105" s="46">
        <v>11999</v>
      </c>
      <c r="G105" s="46">
        <v>8399</v>
      </c>
      <c r="H105" s="46">
        <v>9099</v>
      </c>
      <c r="I105" s="46">
        <v>9099</v>
      </c>
      <c r="J105" s="46">
        <v>8999</v>
      </c>
      <c r="K105" s="46">
        <v>8999</v>
      </c>
      <c r="L105" s="46">
        <v>8999</v>
      </c>
      <c r="M105" s="46">
        <v>8999</v>
      </c>
      <c r="N105" s="46">
        <v>8999</v>
      </c>
      <c r="O105" s="46">
        <v>8899</v>
      </c>
      <c r="P105" s="46">
        <v>8799</v>
      </c>
      <c r="Q105" s="46">
        <v>8499</v>
      </c>
      <c r="R105" s="46">
        <v>8899</v>
      </c>
      <c r="S105" s="46">
        <v>8799</v>
      </c>
      <c r="T105" s="46">
        <v>8499</v>
      </c>
      <c r="U105" s="46">
        <v>8499</v>
      </c>
      <c r="V105" s="46">
        <v>8499</v>
      </c>
      <c r="W105" s="46">
        <v>8499</v>
      </c>
      <c r="X105" s="46">
        <v>8399</v>
      </c>
      <c r="Y105" s="46">
        <v>7799</v>
      </c>
      <c r="Z105" s="46">
        <v>7799</v>
      </c>
      <c r="AA105" s="46">
        <v>6799</v>
      </c>
      <c r="AB105" s="45"/>
      <c r="AC105" s="45"/>
      <c r="AD105" s="45"/>
      <c r="AE105" s="45"/>
      <c r="AF105" s="45"/>
      <c r="AG105" s="45"/>
      <c r="AH105" s="45"/>
      <c r="AI105" s="45"/>
      <c r="AJ105" s="45"/>
      <c r="AK105" s="45"/>
      <c r="AL105" s="45"/>
      <c r="AM105" s="45"/>
      <c r="AN105" s="45"/>
      <c r="AO105" s="45"/>
      <c r="AP105" s="45"/>
      <c r="AQ105" s="45"/>
      <c r="AR105" s="45"/>
      <c r="AS105" s="45"/>
      <c r="AT105" s="45"/>
      <c r="AU105" s="45"/>
      <c r="AV105" s="47"/>
      <c r="AW105" s="48" t="s">
        <v>67</v>
      </c>
      <c r="AX105" s="49" t="s">
        <v>68</v>
      </c>
      <c r="AY105" s="50">
        <f t="shared" si="3"/>
        <v>183.7998</v>
      </c>
      <c r="AZ105" s="50">
        <f t="shared" si="4"/>
        <v>165.6018</v>
      </c>
      <c r="BA105" s="51">
        <f t="shared" si="5"/>
        <v>93.719700000000003</v>
      </c>
    </row>
    <row r="106" spans="1:53" ht="22.5" customHeight="1">
      <c r="A106" s="41" t="s">
        <v>63</v>
      </c>
      <c r="B106" s="42" t="s">
        <v>64</v>
      </c>
      <c r="C106" s="43">
        <v>4017518</v>
      </c>
      <c r="D106" s="44" t="s">
        <v>185</v>
      </c>
      <c r="E106" s="44" t="s">
        <v>189</v>
      </c>
      <c r="F106" s="46">
        <v>11999</v>
      </c>
      <c r="G106" s="46">
        <v>8399</v>
      </c>
      <c r="H106" s="46">
        <v>9099</v>
      </c>
      <c r="I106" s="46">
        <v>9099</v>
      </c>
      <c r="J106" s="46">
        <v>8999</v>
      </c>
      <c r="K106" s="46">
        <v>8999</v>
      </c>
      <c r="L106" s="46">
        <v>8999</v>
      </c>
      <c r="M106" s="46">
        <v>8999</v>
      </c>
      <c r="N106" s="46">
        <v>8999</v>
      </c>
      <c r="O106" s="46">
        <v>8899</v>
      </c>
      <c r="P106" s="46">
        <v>8799</v>
      </c>
      <c r="Q106" s="46">
        <v>8499</v>
      </c>
      <c r="R106" s="46">
        <v>8899</v>
      </c>
      <c r="S106" s="46">
        <v>8799</v>
      </c>
      <c r="T106" s="46">
        <v>8499</v>
      </c>
      <c r="U106" s="46">
        <v>8499</v>
      </c>
      <c r="V106" s="46">
        <v>8499</v>
      </c>
      <c r="W106" s="46">
        <v>8499</v>
      </c>
      <c r="X106" s="46">
        <v>8399</v>
      </c>
      <c r="Y106" s="46">
        <v>7799</v>
      </c>
      <c r="Z106" s="46">
        <v>7799</v>
      </c>
      <c r="AA106" s="46">
        <v>6799</v>
      </c>
      <c r="AB106" s="45"/>
      <c r="AC106" s="45"/>
      <c r="AD106" s="45"/>
      <c r="AE106" s="45"/>
      <c r="AF106" s="45"/>
      <c r="AG106" s="45"/>
      <c r="AH106" s="45"/>
      <c r="AI106" s="45"/>
      <c r="AJ106" s="45"/>
      <c r="AK106" s="45"/>
      <c r="AL106" s="45"/>
      <c r="AM106" s="45"/>
      <c r="AN106" s="45"/>
      <c r="AO106" s="45"/>
      <c r="AP106" s="45"/>
      <c r="AQ106" s="45"/>
      <c r="AR106" s="45"/>
      <c r="AS106" s="45"/>
      <c r="AT106" s="45"/>
      <c r="AU106" s="45"/>
      <c r="AV106" s="47"/>
      <c r="AW106" s="48" t="s">
        <v>67</v>
      </c>
      <c r="AX106" s="49" t="s">
        <v>68</v>
      </c>
      <c r="AY106" s="50">
        <f t="shared" si="3"/>
        <v>183.7998</v>
      </c>
      <c r="AZ106" s="50">
        <f t="shared" si="4"/>
        <v>165.6018</v>
      </c>
      <c r="BA106" s="51">
        <f t="shared" si="5"/>
        <v>93.719700000000003</v>
      </c>
    </row>
    <row r="107" spans="1:53" ht="22.5" customHeight="1">
      <c r="A107" s="41" t="s">
        <v>63</v>
      </c>
      <c r="B107" s="42" t="s">
        <v>64</v>
      </c>
      <c r="C107" s="43">
        <v>4017487</v>
      </c>
      <c r="D107" s="44" t="s">
        <v>190</v>
      </c>
      <c r="E107" s="44" t="s">
        <v>191</v>
      </c>
      <c r="F107" s="45">
        <v>11499</v>
      </c>
      <c r="G107" s="45">
        <v>8799</v>
      </c>
      <c r="H107" s="46">
        <v>10799</v>
      </c>
      <c r="I107" s="46">
        <v>10799</v>
      </c>
      <c r="J107" s="45">
        <v>10799</v>
      </c>
      <c r="K107" s="45">
        <v>10799</v>
      </c>
      <c r="L107" s="45">
        <v>10799</v>
      </c>
      <c r="M107" s="45">
        <v>10799</v>
      </c>
      <c r="N107" s="45">
        <v>10799</v>
      </c>
      <c r="O107" s="45">
        <v>10699</v>
      </c>
      <c r="P107" s="46">
        <v>10599</v>
      </c>
      <c r="Q107" s="46">
        <v>9799</v>
      </c>
      <c r="R107" s="45">
        <v>10699</v>
      </c>
      <c r="S107" s="45">
        <v>10599</v>
      </c>
      <c r="T107" s="46">
        <v>9799</v>
      </c>
      <c r="U107" s="46">
        <v>9799</v>
      </c>
      <c r="V107" s="46">
        <v>9799</v>
      </c>
      <c r="W107" s="46">
        <v>9699</v>
      </c>
      <c r="X107" s="46">
        <v>9699</v>
      </c>
      <c r="Y107" s="46">
        <v>8799</v>
      </c>
      <c r="Z107" s="46">
        <v>8799</v>
      </c>
      <c r="AA107" s="46">
        <v>8799</v>
      </c>
      <c r="AB107" s="45"/>
      <c r="AC107" s="45"/>
      <c r="AD107" s="45"/>
      <c r="AE107" s="45"/>
      <c r="AF107" s="45"/>
      <c r="AG107" s="45"/>
      <c r="AH107" s="45"/>
      <c r="AI107" s="45"/>
      <c r="AJ107" s="45"/>
      <c r="AK107" s="45"/>
      <c r="AL107" s="45"/>
      <c r="AM107" s="45"/>
      <c r="AN107" s="45"/>
      <c r="AO107" s="45"/>
      <c r="AP107" s="45"/>
      <c r="AQ107" s="45"/>
      <c r="AR107" s="45"/>
      <c r="AS107" s="45"/>
      <c r="AT107" s="45"/>
      <c r="AU107" s="45"/>
      <c r="AV107" s="47"/>
      <c r="AW107" s="48" t="s">
        <v>67</v>
      </c>
      <c r="AX107" s="49" t="s">
        <v>68</v>
      </c>
      <c r="AY107" s="50">
        <f t="shared" si="3"/>
        <v>218.13979999999998</v>
      </c>
      <c r="AZ107" s="50">
        <f t="shared" si="4"/>
        <v>196.54180000000002</v>
      </c>
      <c r="BA107" s="51">
        <f t="shared" si="5"/>
        <v>111.22970000000001</v>
      </c>
    </row>
    <row r="108" spans="1:53" ht="22.5" customHeight="1">
      <c r="A108" s="41" t="s">
        <v>63</v>
      </c>
      <c r="B108" s="42" t="s">
        <v>64</v>
      </c>
      <c r="C108" s="43">
        <v>4017510</v>
      </c>
      <c r="D108" s="44" t="s">
        <v>190</v>
      </c>
      <c r="E108" s="44" t="s">
        <v>192</v>
      </c>
      <c r="F108" s="45">
        <v>11499</v>
      </c>
      <c r="G108" s="45">
        <v>8799</v>
      </c>
      <c r="H108" s="46">
        <v>10799</v>
      </c>
      <c r="I108" s="46">
        <v>10799</v>
      </c>
      <c r="J108" s="45">
        <v>10799</v>
      </c>
      <c r="K108" s="45">
        <v>10799</v>
      </c>
      <c r="L108" s="45">
        <v>10799</v>
      </c>
      <c r="M108" s="45">
        <v>10799</v>
      </c>
      <c r="N108" s="45">
        <v>10799</v>
      </c>
      <c r="O108" s="45">
        <v>10699</v>
      </c>
      <c r="P108" s="46">
        <v>10599</v>
      </c>
      <c r="Q108" s="46">
        <v>9799</v>
      </c>
      <c r="R108" s="45">
        <v>10699</v>
      </c>
      <c r="S108" s="45">
        <v>10599</v>
      </c>
      <c r="T108" s="46">
        <v>9799</v>
      </c>
      <c r="U108" s="46">
        <v>9799</v>
      </c>
      <c r="V108" s="46">
        <v>9799</v>
      </c>
      <c r="W108" s="46">
        <v>9699</v>
      </c>
      <c r="X108" s="46">
        <v>9699</v>
      </c>
      <c r="Y108" s="46">
        <v>8799</v>
      </c>
      <c r="Z108" s="46">
        <v>8799</v>
      </c>
      <c r="AA108" s="46">
        <v>8799</v>
      </c>
      <c r="AB108" s="45"/>
      <c r="AC108" s="45"/>
      <c r="AD108" s="45"/>
      <c r="AE108" s="45"/>
      <c r="AF108" s="45"/>
      <c r="AG108" s="45"/>
      <c r="AH108" s="45"/>
      <c r="AI108" s="45"/>
      <c r="AJ108" s="45"/>
      <c r="AK108" s="45"/>
      <c r="AL108" s="45"/>
      <c r="AM108" s="45"/>
      <c r="AN108" s="45"/>
      <c r="AO108" s="45"/>
      <c r="AP108" s="45"/>
      <c r="AQ108" s="45"/>
      <c r="AR108" s="45"/>
      <c r="AS108" s="45"/>
      <c r="AT108" s="45"/>
      <c r="AU108" s="45"/>
      <c r="AV108" s="47"/>
      <c r="AW108" s="48" t="s">
        <v>67</v>
      </c>
      <c r="AX108" s="49" t="s">
        <v>68</v>
      </c>
      <c r="AY108" s="50">
        <f t="shared" si="3"/>
        <v>218.13979999999998</v>
      </c>
      <c r="AZ108" s="50">
        <f t="shared" si="4"/>
        <v>196.54180000000002</v>
      </c>
      <c r="BA108" s="51">
        <f t="shared" si="5"/>
        <v>111.22970000000001</v>
      </c>
    </row>
    <row r="109" spans="1:53" ht="22.5" customHeight="1">
      <c r="A109" s="41" t="s">
        <v>63</v>
      </c>
      <c r="B109" s="42" t="s">
        <v>64</v>
      </c>
      <c r="C109" s="43">
        <v>4017513</v>
      </c>
      <c r="D109" s="44" t="s">
        <v>190</v>
      </c>
      <c r="E109" s="44" t="s">
        <v>193</v>
      </c>
      <c r="F109" s="45">
        <v>11499</v>
      </c>
      <c r="G109" s="45">
        <v>8799</v>
      </c>
      <c r="H109" s="46">
        <v>10799</v>
      </c>
      <c r="I109" s="46">
        <v>10799</v>
      </c>
      <c r="J109" s="45">
        <v>10799</v>
      </c>
      <c r="K109" s="45">
        <v>10799</v>
      </c>
      <c r="L109" s="45">
        <v>10799</v>
      </c>
      <c r="M109" s="45">
        <v>10799</v>
      </c>
      <c r="N109" s="45">
        <v>10799</v>
      </c>
      <c r="O109" s="45">
        <v>10699</v>
      </c>
      <c r="P109" s="46">
        <v>10599</v>
      </c>
      <c r="Q109" s="46">
        <v>9799</v>
      </c>
      <c r="R109" s="45">
        <v>10699</v>
      </c>
      <c r="S109" s="45">
        <v>10599</v>
      </c>
      <c r="T109" s="46">
        <v>9799</v>
      </c>
      <c r="U109" s="46">
        <v>9799</v>
      </c>
      <c r="V109" s="46">
        <v>9799</v>
      </c>
      <c r="W109" s="46">
        <v>9699</v>
      </c>
      <c r="X109" s="46">
        <v>9699</v>
      </c>
      <c r="Y109" s="46">
        <v>8799</v>
      </c>
      <c r="Z109" s="46">
        <v>8799</v>
      </c>
      <c r="AA109" s="46">
        <v>8799</v>
      </c>
      <c r="AB109" s="45"/>
      <c r="AC109" s="45"/>
      <c r="AD109" s="45"/>
      <c r="AE109" s="45"/>
      <c r="AF109" s="45"/>
      <c r="AG109" s="45"/>
      <c r="AH109" s="45"/>
      <c r="AI109" s="45"/>
      <c r="AJ109" s="45"/>
      <c r="AK109" s="45"/>
      <c r="AL109" s="45"/>
      <c r="AM109" s="45"/>
      <c r="AN109" s="45"/>
      <c r="AO109" s="45"/>
      <c r="AP109" s="45"/>
      <c r="AQ109" s="45"/>
      <c r="AR109" s="45"/>
      <c r="AS109" s="45"/>
      <c r="AT109" s="45"/>
      <c r="AU109" s="45"/>
      <c r="AV109" s="47"/>
      <c r="AW109" s="48" t="s">
        <v>67</v>
      </c>
      <c r="AX109" s="49" t="s">
        <v>68</v>
      </c>
      <c r="AY109" s="50">
        <f t="shared" si="3"/>
        <v>218.13979999999998</v>
      </c>
      <c r="AZ109" s="50">
        <f t="shared" si="4"/>
        <v>196.54180000000002</v>
      </c>
      <c r="BA109" s="51">
        <f t="shared" si="5"/>
        <v>111.22970000000001</v>
      </c>
    </row>
    <row r="110" spans="1:53" ht="22.5" customHeight="1">
      <c r="A110" s="41" t="s">
        <v>63</v>
      </c>
      <c r="B110" s="42" t="s">
        <v>64</v>
      </c>
      <c r="C110" s="43">
        <v>4017488</v>
      </c>
      <c r="D110" s="44" t="s">
        <v>194</v>
      </c>
      <c r="E110" s="44" t="s">
        <v>195</v>
      </c>
      <c r="F110" s="45">
        <v>12999</v>
      </c>
      <c r="G110" s="45">
        <v>9999</v>
      </c>
      <c r="H110" s="46">
        <v>12199</v>
      </c>
      <c r="I110" s="46">
        <v>12199</v>
      </c>
      <c r="J110" s="45">
        <v>12199</v>
      </c>
      <c r="K110" s="45">
        <v>12199</v>
      </c>
      <c r="L110" s="45">
        <v>12199</v>
      </c>
      <c r="M110" s="45">
        <v>12199</v>
      </c>
      <c r="N110" s="45">
        <v>12199</v>
      </c>
      <c r="O110" s="45">
        <v>12099</v>
      </c>
      <c r="P110" s="46">
        <v>11999</v>
      </c>
      <c r="Q110" s="46">
        <v>11199</v>
      </c>
      <c r="R110" s="45">
        <v>12099</v>
      </c>
      <c r="S110" s="45">
        <v>11999</v>
      </c>
      <c r="T110" s="46">
        <v>11199</v>
      </c>
      <c r="U110" s="46">
        <v>11199</v>
      </c>
      <c r="V110" s="46">
        <v>11199</v>
      </c>
      <c r="W110" s="46">
        <v>11099</v>
      </c>
      <c r="X110" s="46">
        <v>11099</v>
      </c>
      <c r="Y110" s="46">
        <v>9999</v>
      </c>
      <c r="Z110" s="46">
        <v>9999</v>
      </c>
      <c r="AA110" s="46">
        <v>9899</v>
      </c>
      <c r="AB110" s="45"/>
      <c r="AC110" s="45"/>
      <c r="AD110" s="45"/>
      <c r="AE110" s="45"/>
      <c r="AF110" s="45"/>
      <c r="AG110" s="45"/>
      <c r="AH110" s="45"/>
      <c r="AI110" s="45"/>
      <c r="AJ110" s="45"/>
      <c r="AK110" s="45"/>
      <c r="AL110" s="45"/>
      <c r="AM110" s="45"/>
      <c r="AN110" s="45"/>
      <c r="AO110" s="45"/>
      <c r="AP110" s="45"/>
      <c r="AQ110" s="45"/>
      <c r="AR110" s="45"/>
      <c r="AS110" s="45"/>
      <c r="AT110" s="45"/>
      <c r="AU110" s="45"/>
      <c r="AV110" s="47"/>
      <c r="AW110" s="48" t="s">
        <v>67</v>
      </c>
      <c r="AX110" s="49" t="s">
        <v>68</v>
      </c>
      <c r="AY110" s="50">
        <f t="shared" si="3"/>
        <v>246.41979999999998</v>
      </c>
      <c r="AZ110" s="50">
        <f t="shared" si="4"/>
        <v>222.02180000000001</v>
      </c>
      <c r="BA110" s="51">
        <f t="shared" si="5"/>
        <v>125.6497</v>
      </c>
    </row>
    <row r="111" spans="1:53" ht="22.5" customHeight="1">
      <c r="A111" s="41" t="s">
        <v>63</v>
      </c>
      <c r="B111" s="42" t="s">
        <v>64</v>
      </c>
      <c r="C111" s="43">
        <v>4017508</v>
      </c>
      <c r="D111" s="44" t="s">
        <v>194</v>
      </c>
      <c r="E111" s="44" t="s">
        <v>196</v>
      </c>
      <c r="F111" s="45">
        <v>12999</v>
      </c>
      <c r="G111" s="45">
        <v>9999</v>
      </c>
      <c r="H111" s="46">
        <v>12199</v>
      </c>
      <c r="I111" s="46">
        <v>12199</v>
      </c>
      <c r="J111" s="45">
        <v>12199</v>
      </c>
      <c r="K111" s="45">
        <v>12199</v>
      </c>
      <c r="L111" s="45">
        <v>12199</v>
      </c>
      <c r="M111" s="45">
        <v>12199</v>
      </c>
      <c r="N111" s="45">
        <v>12199</v>
      </c>
      <c r="O111" s="45">
        <v>12099</v>
      </c>
      <c r="P111" s="46">
        <v>11999</v>
      </c>
      <c r="Q111" s="46">
        <v>11199</v>
      </c>
      <c r="R111" s="45">
        <v>12099</v>
      </c>
      <c r="S111" s="45">
        <v>11999</v>
      </c>
      <c r="T111" s="46">
        <v>11199</v>
      </c>
      <c r="U111" s="46">
        <v>11199</v>
      </c>
      <c r="V111" s="46">
        <v>11199</v>
      </c>
      <c r="W111" s="46">
        <v>11099</v>
      </c>
      <c r="X111" s="46">
        <v>11099</v>
      </c>
      <c r="Y111" s="46">
        <v>9999</v>
      </c>
      <c r="Z111" s="46">
        <v>9999</v>
      </c>
      <c r="AA111" s="46">
        <v>9899</v>
      </c>
      <c r="AB111" s="45"/>
      <c r="AC111" s="45"/>
      <c r="AD111" s="45"/>
      <c r="AE111" s="45"/>
      <c r="AF111" s="45"/>
      <c r="AG111" s="45"/>
      <c r="AH111" s="45"/>
      <c r="AI111" s="45"/>
      <c r="AJ111" s="45"/>
      <c r="AK111" s="45"/>
      <c r="AL111" s="45"/>
      <c r="AM111" s="45"/>
      <c r="AN111" s="45"/>
      <c r="AO111" s="45"/>
      <c r="AP111" s="45"/>
      <c r="AQ111" s="45"/>
      <c r="AR111" s="45"/>
      <c r="AS111" s="45"/>
      <c r="AT111" s="45"/>
      <c r="AU111" s="45"/>
      <c r="AV111" s="47"/>
      <c r="AW111" s="48" t="s">
        <v>67</v>
      </c>
      <c r="AX111" s="49" t="s">
        <v>68</v>
      </c>
      <c r="AY111" s="50">
        <f t="shared" si="3"/>
        <v>246.41979999999998</v>
      </c>
      <c r="AZ111" s="50">
        <f t="shared" si="4"/>
        <v>222.02180000000001</v>
      </c>
      <c r="BA111" s="51">
        <f t="shared" si="5"/>
        <v>125.6497</v>
      </c>
    </row>
    <row r="112" spans="1:53" ht="22.5" customHeight="1">
      <c r="A112" s="41" t="s">
        <v>63</v>
      </c>
      <c r="B112" s="42" t="s">
        <v>64</v>
      </c>
      <c r="C112" s="43">
        <v>4017489</v>
      </c>
      <c r="D112" s="44" t="s">
        <v>194</v>
      </c>
      <c r="E112" s="44" t="s">
        <v>197</v>
      </c>
      <c r="F112" s="45">
        <v>12999</v>
      </c>
      <c r="G112" s="45">
        <v>9999</v>
      </c>
      <c r="H112" s="46">
        <v>12199</v>
      </c>
      <c r="I112" s="46">
        <v>12199</v>
      </c>
      <c r="J112" s="45">
        <v>12199</v>
      </c>
      <c r="K112" s="45">
        <v>12199</v>
      </c>
      <c r="L112" s="45">
        <v>12199</v>
      </c>
      <c r="M112" s="45">
        <v>12199</v>
      </c>
      <c r="N112" s="45">
        <v>12199</v>
      </c>
      <c r="O112" s="45">
        <v>12099</v>
      </c>
      <c r="P112" s="46">
        <v>11999</v>
      </c>
      <c r="Q112" s="46">
        <v>11199</v>
      </c>
      <c r="R112" s="45">
        <v>12099</v>
      </c>
      <c r="S112" s="45">
        <v>11999</v>
      </c>
      <c r="T112" s="46">
        <v>11199</v>
      </c>
      <c r="U112" s="46">
        <v>11199</v>
      </c>
      <c r="V112" s="46">
        <v>11199</v>
      </c>
      <c r="W112" s="46">
        <v>11099</v>
      </c>
      <c r="X112" s="46">
        <v>11099</v>
      </c>
      <c r="Y112" s="46">
        <v>9999</v>
      </c>
      <c r="Z112" s="46">
        <v>9999</v>
      </c>
      <c r="AA112" s="46">
        <v>9899</v>
      </c>
      <c r="AB112" s="45"/>
      <c r="AC112" s="45"/>
      <c r="AD112" s="45"/>
      <c r="AE112" s="45"/>
      <c r="AF112" s="45"/>
      <c r="AG112" s="45"/>
      <c r="AH112" s="45"/>
      <c r="AI112" s="45"/>
      <c r="AJ112" s="45"/>
      <c r="AK112" s="45"/>
      <c r="AL112" s="45"/>
      <c r="AM112" s="45"/>
      <c r="AN112" s="45"/>
      <c r="AO112" s="45"/>
      <c r="AP112" s="45"/>
      <c r="AQ112" s="45"/>
      <c r="AR112" s="45"/>
      <c r="AS112" s="45"/>
      <c r="AT112" s="45"/>
      <c r="AU112" s="45"/>
      <c r="AV112" s="47"/>
      <c r="AW112" s="48" t="s">
        <v>67</v>
      </c>
      <c r="AX112" s="49" t="s">
        <v>68</v>
      </c>
      <c r="AY112" s="50">
        <f t="shared" si="3"/>
        <v>246.41979999999998</v>
      </c>
      <c r="AZ112" s="50">
        <f t="shared" si="4"/>
        <v>222.02180000000001</v>
      </c>
      <c r="BA112" s="51">
        <f t="shared" si="5"/>
        <v>125.6497</v>
      </c>
    </row>
    <row r="113" spans="1:53" ht="22.5" customHeight="1">
      <c r="A113" s="41" t="s">
        <v>63</v>
      </c>
      <c r="B113" s="42" t="s">
        <v>64</v>
      </c>
      <c r="C113" s="43">
        <v>4017493</v>
      </c>
      <c r="D113" s="44" t="s">
        <v>198</v>
      </c>
      <c r="E113" s="44" t="s">
        <v>199</v>
      </c>
      <c r="F113" s="45">
        <v>12499</v>
      </c>
      <c r="G113" s="45">
        <v>9799</v>
      </c>
      <c r="H113" s="46">
        <v>11699</v>
      </c>
      <c r="I113" s="46">
        <v>11699</v>
      </c>
      <c r="J113" s="45">
        <v>11699</v>
      </c>
      <c r="K113" s="45">
        <v>11699</v>
      </c>
      <c r="L113" s="45">
        <v>11699</v>
      </c>
      <c r="M113" s="45">
        <v>11699</v>
      </c>
      <c r="N113" s="45">
        <v>11699</v>
      </c>
      <c r="O113" s="45">
        <v>11599</v>
      </c>
      <c r="P113" s="46">
        <v>11499</v>
      </c>
      <c r="Q113" s="46">
        <v>10699</v>
      </c>
      <c r="R113" s="45">
        <v>11599</v>
      </c>
      <c r="S113" s="45">
        <v>11499</v>
      </c>
      <c r="T113" s="46">
        <v>10699</v>
      </c>
      <c r="U113" s="46">
        <v>10699</v>
      </c>
      <c r="V113" s="46">
        <v>10699</v>
      </c>
      <c r="W113" s="46">
        <v>10599</v>
      </c>
      <c r="X113" s="46">
        <v>10599</v>
      </c>
      <c r="Y113" s="46">
        <v>9799</v>
      </c>
      <c r="Z113" s="46">
        <v>9799</v>
      </c>
      <c r="AA113" s="46">
        <v>9799</v>
      </c>
      <c r="AB113" s="45"/>
      <c r="AC113" s="45"/>
      <c r="AD113" s="45"/>
      <c r="AE113" s="45"/>
      <c r="AF113" s="45"/>
      <c r="AG113" s="45"/>
      <c r="AH113" s="45"/>
      <c r="AI113" s="45"/>
      <c r="AJ113" s="45"/>
      <c r="AK113" s="45"/>
      <c r="AL113" s="45"/>
      <c r="AM113" s="45"/>
      <c r="AN113" s="45"/>
      <c r="AO113" s="45"/>
      <c r="AP113" s="45"/>
      <c r="AQ113" s="45"/>
      <c r="AR113" s="45"/>
      <c r="AS113" s="45"/>
      <c r="AT113" s="45"/>
      <c r="AU113" s="45"/>
      <c r="AV113" s="47"/>
      <c r="AW113" s="48" t="s">
        <v>67</v>
      </c>
      <c r="AX113" s="49" t="s">
        <v>68</v>
      </c>
      <c r="AY113" s="50">
        <f t="shared" si="3"/>
        <v>236.31979999999999</v>
      </c>
      <c r="AZ113" s="50">
        <f t="shared" si="4"/>
        <v>212.92180000000002</v>
      </c>
      <c r="BA113" s="51">
        <f t="shared" si="5"/>
        <v>120.4997</v>
      </c>
    </row>
    <row r="114" spans="1:53" ht="22.5" customHeight="1">
      <c r="A114" s="41" t="s">
        <v>63</v>
      </c>
      <c r="B114" s="42" t="s">
        <v>64</v>
      </c>
      <c r="C114" s="43">
        <v>4017494</v>
      </c>
      <c r="D114" s="44" t="s">
        <v>198</v>
      </c>
      <c r="E114" s="44" t="s">
        <v>200</v>
      </c>
      <c r="F114" s="45">
        <v>12499</v>
      </c>
      <c r="G114" s="45">
        <v>9799</v>
      </c>
      <c r="H114" s="46">
        <v>11699</v>
      </c>
      <c r="I114" s="46">
        <v>11699</v>
      </c>
      <c r="J114" s="45">
        <v>11699</v>
      </c>
      <c r="K114" s="45">
        <v>11699</v>
      </c>
      <c r="L114" s="45">
        <v>11699</v>
      </c>
      <c r="M114" s="45">
        <v>11699</v>
      </c>
      <c r="N114" s="45">
        <v>11699</v>
      </c>
      <c r="O114" s="45">
        <v>11599</v>
      </c>
      <c r="P114" s="46">
        <v>11499</v>
      </c>
      <c r="Q114" s="46">
        <v>10699</v>
      </c>
      <c r="R114" s="45">
        <v>11599</v>
      </c>
      <c r="S114" s="45">
        <v>11499</v>
      </c>
      <c r="T114" s="46">
        <v>10699</v>
      </c>
      <c r="U114" s="46">
        <v>10699</v>
      </c>
      <c r="V114" s="46">
        <v>10699</v>
      </c>
      <c r="W114" s="46">
        <v>10599</v>
      </c>
      <c r="X114" s="46">
        <v>10599</v>
      </c>
      <c r="Y114" s="46">
        <v>9799</v>
      </c>
      <c r="Z114" s="46">
        <v>9799</v>
      </c>
      <c r="AA114" s="46">
        <v>9799</v>
      </c>
      <c r="AB114" s="45"/>
      <c r="AC114" s="45"/>
      <c r="AD114" s="45"/>
      <c r="AE114" s="45"/>
      <c r="AF114" s="45"/>
      <c r="AG114" s="45"/>
      <c r="AH114" s="45"/>
      <c r="AI114" s="45"/>
      <c r="AJ114" s="45"/>
      <c r="AK114" s="45"/>
      <c r="AL114" s="45"/>
      <c r="AM114" s="45"/>
      <c r="AN114" s="45"/>
      <c r="AO114" s="45"/>
      <c r="AP114" s="45"/>
      <c r="AQ114" s="45"/>
      <c r="AR114" s="45"/>
      <c r="AS114" s="45"/>
      <c r="AT114" s="45"/>
      <c r="AU114" s="45"/>
      <c r="AV114" s="47"/>
      <c r="AW114" s="48" t="s">
        <v>67</v>
      </c>
      <c r="AX114" s="49" t="s">
        <v>68</v>
      </c>
      <c r="AY114" s="50">
        <f t="shared" si="3"/>
        <v>236.31979999999999</v>
      </c>
      <c r="AZ114" s="50">
        <f t="shared" si="4"/>
        <v>212.92180000000002</v>
      </c>
      <c r="BA114" s="51">
        <f t="shared" si="5"/>
        <v>120.4997</v>
      </c>
    </row>
    <row r="115" spans="1:53" ht="22.5" customHeight="1">
      <c r="A115" s="41" t="s">
        <v>63</v>
      </c>
      <c r="B115" s="42" t="s">
        <v>64</v>
      </c>
      <c r="C115" s="43">
        <v>4017514</v>
      </c>
      <c r="D115" s="44" t="s">
        <v>198</v>
      </c>
      <c r="E115" s="44" t="s">
        <v>201</v>
      </c>
      <c r="F115" s="45">
        <v>12499</v>
      </c>
      <c r="G115" s="45">
        <v>9799</v>
      </c>
      <c r="H115" s="46">
        <v>11699</v>
      </c>
      <c r="I115" s="46">
        <v>11699</v>
      </c>
      <c r="J115" s="45">
        <v>11699</v>
      </c>
      <c r="K115" s="45">
        <v>11699</v>
      </c>
      <c r="L115" s="45">
        <v>11699</v>
      </c>
      <c r="M115" s="45">
        <v>11699</v>
      </c>
      <c r="N115" s="45">
        <v>11699</v>
      </c>
      <c r="O115" s="45">
        <v>11599</v>
      </c>
      <c r="P115" s="46">
        <v>11499</v>
      </c>
      <c r="Q115" s="46">
        <v>10699</v>
      </c>
      <c r="R115" s="45">
        <v>11599</v>
      </c>
      <c r="S115" s="45">
        <v>11499</v>
      </c>
      <c r="T115" s="46">
        <v>10699</v>
      </c>
      <c r="U115" s="46">
        <v>10699</v>
      </c>
      <c r="V115" s="46">
        <v>10699</v>
      </c>
      <c r="W115" s="46">
        <v>10599</v>
      </c>
      <c r="X115" s="46">
        <v>10599</v>
      </c>
      <c r="Y115" s="46">
        <v>9799</v>
      </c>
      <c r="Z115" s="46">
        <v>9799</v>
      </c>
      <c r="AA115" s="46">
        <v>9799</v>
      </c>
      <c r="AB115" s="45"/>
      <c r="AC115" s="45"/>
      <c r="AD115" s="45"/>
      <c r="AE115" s="45"/>
      <c r="AF115" s="45"/>
      <c r="AG115" s="45"/>
      <c r="AH115" s="45"/>
      <c r="AI115" s="45"/>
      <c r="AJ115" s="45"/>
      <c r="AK115" s="45"/>
      <c r="AL115" s="45"/>
      <c r="AM115" s="45"/>
      <c r="AN115" s="45"/>
      <c r="AO115" s="45"/>
      <c r="AP115" s="45"/>
      <c r="AQ115" s="45"/>
      <c r="AR115" s="45"/>
      <c r="AS115" s="45"/>
      <c r="AT115" s="45"/>
      <c r="AU115" s="45"/>
      <c r="AV115" s="47"/>
      <c r="AW115" s="48" t="s">
        <v>67</v>
      </c>
      <c r="AX115" s="49" t="s">
        <v>68</v>
      </c>
      <c r="AY115" s="50">
        <f t="shared" si="3"/>
        <v>236.31979999999999</v>
      </c>
      <c r="AZ115" s="50">
        <f t="shared" si="4"/>
        <v>212.92180000000002</v>
      </c>
      <c r="BA115" s="51">
        <f t="shared" si="5"/>
        <v>120.4997</v>
      </c>
    </row>
    <row r="116" spans="1:53" ht="22.5" customHeight="1">
      <c r="A116" s="41" t="s">
        <v>63</v>
      </c>
      <c r="B116" s="42" t="s">
        <v>64</v>
      </c>
      <c r="C116" s="43">
        <v>4017503</v>
      </c>
      <c r="D116" s="44" t="s">
        <v>202</v>
      </c>
      <c r="E116" s="44" t="s">
        <v>203</v>
      </c>
      <c r="F116" s="45">
        <v>13999</v>
      </c>
      <c r="G116" s="45">
        <v>10999</v>
      </c>
      <c r="H116" s="46">
        <v>13099</v>
      </c>
      <c r="I116" s="46">
        <v>13099</v>
      </c>
      <c r="J116" s="45">
        <v>13099</v>
      </c>
      <c r="K116" s="45">
        <v>13099</v>
      </c>
      <c r="L116" s="45">
        <v>13099</v>
      </c>
      <c r="M116" s="45">
        <v>13099</v>
      </c>
      <c r="N116" s="45">
        <v>13099</v>
      </c>
      <c r="O116" s="45">
        <v>12999</v>
      </c>
      <c r="P116" s="46">
        <v>12899</v>
      </c>
      <c r="Q116" s="46">
        <v>12099</v>
      </c>
      <c r="R116" s="45">
        <v>12999</v>
      </c>
      <c r="S116" s="45">
        <v>12899</v>
      </c>
      <c r="T116" s="46">
        <v>12099</v>
      </c>
      <c r="U116" s="46">
        <v>12099</v>
      </c>
      <c r="V116" s="46">
        <v>12099</v>
      </c>
      <c r="W116" s="46">
        <v>11999</v>
      </c>
      <c r="X116" s="46">
        <v>11999</v>
      </c>
      <c r="Y116" s="46">
        <v>10999</v>
      </c>
      <c r="Z116" s="46">
        <v>10999</v>
      </c>
      <c r="AA116" s="46">
        <v>10899</v>
      </c>
      <c r="AB116" s="45"/>
      <c r="AC116" s="45"/>
      <c r="AD116" s="45"/>
      <c r="AE116" s="45"/>
      <c r="AF116" s="45"/>
      <c r="AG116" s="45"/>
      <c r="AH116" s="45"/>
      <c r="AI116" s="45"/>
      <c r="AJ116" s="45"/>
      <c r="AK116" s="45"/>
      <c r="AL116" s="45"/>
      <c r="AM116" s="45"/>
      <c r="AN116" s="45"/>
      <c r="AO116" s="45"/>
      <c r="AP116" s="45"/>
      <c r="AQ116" s="45"/>
      <c r="AR116" s="45"/>
      <c r="AS116" s="45"/>
      <c r="AT116" s="45"/>
      <c r="AU116" s="45"/>
      <c r="AV116" s="47"/>
      <c r="AW116" s="48" t="s">
        <v>67</v>
      </c>
      <c r="AX116" s="49" t="s">
        <v>68</v>
      </c>
      <c r="AY116" s="50">
        <f t="shared" si="3"/>
        <v>264.59980000000002</v>
      </c>
      <c r="AZ116" s="50">
        <f t="shared" si="4"/>
        <v>238.40180000000001</v>
      </c>
      <c r="BA116" s="51">
        <f t="shared" si="5"/>
        <v>134.91970000000001</v>
      </c>
    </row>
    <row r="117" spans="1:53" ht="22.5" customHeight="1">
      <c r="A117" s="41" t="s">
        <v>63</v>
      </c>
      <c r="B117" s="42" t="s">
        <v>64</v>
      </c>
      <c r="C117" s="43">
        <v>4017520</v>
      </c>
      <c r="D117" s="44" t="s">
        <v>202</v>
      </c>
      <c r="E117" s="44" t="s">
        <v>204</v>
      </c>
      <c r="F117" s="45">
        <v>13999</v>
      </c>
      <c r="G117" s="45">
        <v>10999</v>
      </c>
      <c r="H117" s="46">
        <v>13099</v>
      </c>
      <c r="I117" s="46">
        <v>13099</v>
      </c>
      <c r="J117" s="45">
        <v>13099</v>
      </c>
      <c r="K117" s="45">
        <v>13099</v>
      </c>
      <c r="L117" s="45">
        <v>13099</v>
      </c>
      <c r="M117" s="45">
        <v>13099</v>
      </c>
      <c r="N117" s="45">
        <v>13099</v>
      </c>
      <c r="O117" s="45">
        <v>12999</v>
      </c>
      <c r="P117" s="46">
        <v>12899</v>
      </c>
      <c r="Q117" s="46">
        <v>12099</v>
      </c>
      <c r="R117" s="45">
        <v>12999</v>
      </c>
      <c r="S117" s="45">
        <v>12899</v>
      </c>
      <c r="T117" s="46">
        <v>12099</v>
      </c>
      <c r="U117" s="46">
        <v>12099</v>
      </c>
      <c r="V117" s="46">
        <v>12099</v>
      </c>
      <c r="W117" s="46">
        <v>11999</v>
      </c>
      <c r="X117" s="46">
        <v>11999</v>
      </c>
      <c r="Y117" s="46">
        <v>10999</v>
      </c>
      <c r="Z117" s="46">
        <v>10999</v>
      </c>
      <c r="AA117" s="46">
        <v>10899</v>
      </c>
      <c r="AB117" s="45"/>
      <c r="AC117" s="45"/>
      <c r="AD117" s="45"/>
      <c r="AE117" s="45"/>
      <c r="AF117" s="45"/>
      <c r="AG117" s="45"/>
      <c r="AH117" s="45"/>
      <c r="AI117" s="45"/>
      <c r="AJ117" s="45"/>
      <c r="AK117" s="45"/>
      <c r="AL117" s="45"/>
      <c r="AM117" s="45"/>
      <c r="AN117" s="45"/>
      <c r="AO117" s="45"/>
      <c r="AP117" s="45"/>
      <c r="AQ117" s="45"/>
      <c r="AR117" s="45"/>
      <c r="AS117" s="45"/>
      <c r="AT117" s="45"/>
      <c r="AU117" s="45"/>
      <c r="AV117" s="47"/>
      <c r="AW117" s="48" t="s">
        <v>67</v>
      </c>
      <c r="AX117" s="49" t="s">
        <v>68</v>
      </c>
      <c r="AY117" s="50">
        <f t="shared" si="3"/>
        <v>264.59980000000002</v>
      </c>
      <c r="AZ117" s="50">
        <f t="shared" si="4"/>
        <v>238.40180000000001</v>
      </c>
      <c r="BA117" s="51">
        <f t="shared" si="5"/>
        <v>134.91970000000001</v>
      </c>
    </row>
    <row r="118" spans="1:53" ht="22.5" customHeight="1">
      <c r="A118" s="41" t="s">
        <v>63</v>
      </c>
      <c r="B118" s="42" t="s">
        <v>64</v>
      </c>
      <c r="C118" s="43">
        <v>4017522</v>
      </c>
      <c r="D118" s="44" t="s">
        <v>202</v>
      </c>
      <c r="E118" s="44" t="s">
        <v>205</v>
      </c>
      <c r="F118" s="45">
        <v>13999</v>
      </c>
      <c r="G118" s="45">
        <v>10999</v>
      </c>
      <c r="H118" s="46">
        <v>13099</v>
      </c>
      <c r="I118" s="46">
        <v>13099</v>
      </c>
      <c r="J118" s="45">
        <v>13099</v>
      </c>
      <c r="K118" s="45">
        <v>13099</v>
      </c>
      <c r="L118" s="45">
        <v>13099</v>
      </c>
      <c r="M118" s="45">
        <v>13099</v>
      </c>
      <c r="N118" s="45">
        <v>13099</v>
      </c>
      <c r="O118" s="45">
        <v>12999</v>
      </c>
      <c r="P118" s="46">
        <v>12899</v>
      </c>
      <c r="Q118" s="46">
        <v>12099</v>
      </c>
      <c r="R118" s="45">
        <v>12999</v>
      </c>
      <c r="S118" s="45">
        <v>12899</v>
      </c>
      <c r="T118" s="46">
        <v>12099</v>
      </c>
      <c r="U118" s="46">
        <v>12099</v>
      </c>
      <c r="V118" s="46">
        <v>12099</v>
      </c>
      <c r="W118" s="46">
        <v>11999</v>
      </c>
      <c r="X118" s="46">
        <v>11999</v>
      </c>
      <c r="Y118" s="46">
        <v>10999</v>
      </c>
      <c r="Z118" s="46">
        <v>10999</v>
      </c>
      <c r="AA118" s="46">
        <v>10899</v>
      </c>
      <c r="AB118" s="45"/>
      <c r="AC118" s="45"/>
      <c r="AD118" s="45"/>
      <c r="AE118" s="45"/>
      <c r="AF118" s="45"/>
      <c r="AG118" s="45"/>
      <c r="AH118" s="45"/>
      <c r="AI118" s="45"/>
      <c r="AJ118" s="45"/>
      <c r="AK118" s="45"/>
      <c r="AL118" s="45"/>
      <c r="AM118" s="45"/>
      <c r="AN118" s="45"/>
      <c r="AO118" s="45"/>
      <c r="AP118" s="45"/>
      <c r="AQ118" s="45"/>
      <c r="AR118" s="45"/>
      <c r="AS118" s="45"/>
      <c r="AT118" s="45"/>
      <c r="AU118" s="45"/>
      <c r="AV118" s="47"/>
      <c r="AW118" s="48" t="s">
        <v>67</v>
      </c>
      <c r="AX118" s="49" t="s">
        <v>68</v>
      </c>
      <c r="AY118" s="50">
        <f t="shared" si="3"/>
        <v>264.59980000000002</v>
      </c>
      <c r="AZ118" s="50">
        <f t="shared" si="4"/>
        <v>238.40180000000001</v>
      </c>
      <c r="BA118" s="51">
        <f t="shared" si="5"/>
        <v>134.91970000000001</v>
      </c>
    </row>
    <row r="119" spans="1:53" ht="22.5" customHeight="1">
      <c r="A119" s="41" t="s">
        <v>63</v>
      </c>
      <c r="B119" s="42" t="s">
        <v>64</v>
      </c>
      <c r="C119" s="43">
        <v>4017845</v>
      </c>
      <c r="D119" s="44" t="s">
        <v>206</v>
      </c>
      <c r="E119" s="44" t="s">
        <v>207</v>
      </c>
      <c r="F119" s="45">
        <v>5799</v>
      </c>
      <c r="G119" s="45">
        <v>4399</v>
      </c>
      <c r="H119" s="46">
        <v>5199</v>
      </c>
      <c r="I119" s="46">
        <v>5199</v>
      </c>
      <c r="J119" s="45">
        <v>5099</v>
      </c>
      <c r="K119" s="45">
        <v>5099</v>
      </c>
      <c r="L119" s="45">
        <v>5099</v>
      </c>
      <c r="M119" s="45">
        <v>5099</v>
      </c>
      <c r="N119" s="45">
        <v>5099</v>
      </c>
      <c r="O119" s="45">
        <v>4999</v>
      </c>
      <c r="P119" s="46">
        <v>4899</v>
      </c>
      <c r="Q119" s="46">
        <v>4499</v>
      </c>
      <c r="R119" s="45">
        <v>4999</v>
      </c>
      <c r="S119" s="45">
        <v>4899</v>
      </c>
      <c r="T119" s="46">
        <v>4499</v>
      </c>
      <c r="U119" s="46">
        <v>4499</v>
      </c>
      <c r="V119" s="46">
        <v>4499</v>
      </c>
      <c r="W119" s="46">
        <v>4499</v>
      </c>
      <c r="X119" s="46">
        <v>4399</v>
      </c>
      <c r="Y119" s="46">
        <v>3799</v>
      </c>
      <c r="Z119" s="46">
        <v>3799</v>
      </c>
      <c r="AA119" s="46">
        <v>3749</v>
      </c>
      <c r="AB119" s="45">
        <v>5099</v>
      </c>
      <c r="AC119" s="45">
        <v>5099</v>
      </c>
      <c r="AD119" s="45">
        <v>5099</v>
      </c>
      <c r="AE119" s="45">
        <v>4999</v>
      </c>
      <c r="AF119" s="45">
        <v>4899</v>
      </c>
      <c r="AG119" s="45">
        <v>4899</v>
      </c>
      <c r="AH119" s="45">
        <v>4499</v>
      </c>
      <c r="AI119" s="45">
        <v>4499</v>
      </c>
      <c r="AJ119" s="45">
        <v>4499</v>
      </c>
      <c r="AK119" s="45">
        <v>4499</v>
      </c>
      <c r="AL119" s="45">
        <v>3799</v>
      </c>
      <c r="AM119" s="45"/>
      <c r="AN119" s="45"/>
      <c r="AO119" s="45"/>
      <c r="AP119" s="45"/>
      <c r="AQ119" s="45"/>
      <c r="AR119" s="45"/>
      <c r="AS119" s="45"/>
      <c r="AT119" s="45"/>
      <c r="AU119" s="45"/>
      <c r="AV119" s="47"/>
      <c r="AW119" s="48" t="s">
        <v>67</v>
      </c>
      <c r="AX119" s="49" t="s">
        <v>68</v>
      </c>
      <c r="AY119" s="50">
        <f t="shared" si="3"/>
        <v>105.01979999999999</v>
      </c>
      <c r="AZ119" s="50">
        <f t="shared" si="4"/>
        <v>94.621800000000007</v>
      </c>
      <c r="BA119" s="51">
        <f t="shared" si="5"/>
        <v>53.549700000000001</v>
      </c>
    </row>
    <row r="120" spans="1:53" ht="22.5" customHeight="1">
      <c r="A120" s="41" t="s">
        <v>63</v>
      </c>
      <c r="B120" s="42" t="s">
        <v>64</v>
      </c>
      <c r="C120" s="43">
        <v>4017841</v>
      </c>
      <c r="D120" s="44" t="s">
        <v>206</v>
      </c>
      <c r="E120" s="44" t="s">
        <v>208</v>
      </c>
      <c r="F120" s="45">
        <v>5799</v>
      </c>
      <c r="G120" s="45">
        <v>4399</v>
      </c>
      <c r="H120" s="46">
        <v>5199</v>
      </c>
      <c r="I120" s="46">
        <v>5199</v>
      </c>
      <c r="J120" s="45">
        <v>5099</v>
      </c>
      <c r="K120" s="45">
        <v>5099</v>
      </c>
      <c r="L120" s="45">
        <v>5099</v>
      </c>
      <c r="M120" s="45">
        <v>5099</v>
      </c>
      <c r="N120" s="45">
        <v>5099</v>
      </c>
      <c r="O120" s="45">
        <v>4999</v>
      </c>
      <c r="P120" s="46">
        <v>4899</v>
      </c>
      <c r="Q120" s="46">
        <v>4499</v>
      </c>
      <c r="R120" s="45">
        <v>4999</v>
      </c>
      <c r="S120" s="45">
        <v>4899</v>
      </c>
      <c r="T120" s="46">
        <v>4499</v>
      </c>
      <c r="U120" s="46">
        <v>4499</v>
      </c>
      <c r="V120" s="46">
        <v>4499</v>
      </c>
      <c r="W120" s="46">
        <v>4499</v>
      </c>
      <c r="X120" s="46">
        <v>4399</v>
      </c>
      <c r="Y120" s="46">
        <v>3799</v>
      </c>
      <c r="Z120" s="46">
        <v>3799</v>
      </c>
      <c r="AA120" s="46">
        <v>3749</v>
      </c>
      <c r="AB120" s="45">
        <v>5099</v>
      </c>
      <c r="AC120" s="45">
        <v>5099</v>
      </c>
      <c r="AD120" s="45">
        <v>5099</v>
      </c>
      <c r="AE120" s="45">
        <v>4999</v>
      </c>
      <c r="AF120" s="45">
        <v>4899</v>
      </c>
      <c r="AG120" s="45">
        <v>4899</v>
      </c>
      <c r="AH120" s="45">
        <v>4499</v>
      </c>
      <c r="AI120" s="45">
        <v>4499</v>
      </c>
      <c r="AJ120" s="45">
        <v>4499</v>
      </c>
      <c r="AK120" s="45">
        <v>4499</v>
      </c>
      <c r="AL120" s="45">
        <v>3799</v>
      </c>
      <c r="AM120" s="45"/>
      <c r="AN120" s="45"/>
      <c r="AO120" s="45"/>
      <c r="AP120" s="45"/>
      <c r="AQ120" s="45"/>
      <c r="AR120" s="45"/>
      <c r="AS120" s="45"/>
      <c r="AT120" s="45"/>
      <c r="AU120" s="45"/>
      <c r="AV120" s="47"/>
      <c r="AW120" s="48" t="s">
        <v>67</v>
      </c>
      <c r="AX120" s="49" t="s">
        <v>68</v>
      </c>
      <c r="AY120" s="50">
        <f t="shared" si="3"/>
        <v>105.01979999999999</v>
      </c>
      <c r="AZ120" s="50">
        <f t="shared" si="4"/>
        <v>94.621800000000007</v>
      </c>
      <c r="BA120" s="51">
        <f t="shared" si="5"/>
        <v>53.549700000000001</v>
      </c>
    </row>
    <row r="121" spans="1:53" ht="22.5" customHeight="1">
      <c r="A121" s="41" t="s">
        <v>63</v>
      </c>
      <c r="B121" s="42" t="s">
        <v>64</v>
      </c>
      <c r="C121" s="43">
        <v>4017846</v>
      </c>
      <c r="D121" s="44" t="s">
        <v>206</v>
      </c>
      <c r="E121" s="44" t="s">
        <v>209</v>
      </c>
      <c r="F121" s="45">
        <v>5799</v>
      </c>
      <c r="G121" s="45">
        <v>4399</v>
      </c>
      <c r="H121" s="46">
        <v>5199</v>
      </c>
      <c r="I121" s="46">
        <v>5199</v>
      </c>
      <c r="J121" s="45">
        <v>5099</v>
      </c>
      <c r="K121" s="45">
        <v>5099</v>
      </c>
      <c r="L121" s="45">
        <v>5099</v>
      </c>
      <c r="M121" s="45">
        <v>5099</v>
      </c>
      <c r="N121" s="45">
        <v>5099</v>
      </c>
      <c r="O121" s="45">
        <v>4999</v>
      </c>
      <c r="P121" s="46">
        <v>4899</v>
      </c>
      <c r="Q121" s="46">
        <v>4499</v>
      </c>
      <c r="R121" s="45">
        <v>4999</v>
      </c>
      <c r="S121" s="45">
        <v>4899</v>
      </c>
      <c r="T121" s="46">
        <v>4499</v>
      </c>
      <c r="U121" s="46">
        <v>4499</v>
      </c>
      <c r="V121" s="46">
        <v>4499</v>
      </c>
      <c r="W121" s="46">
        <v>4499</v>
      </c>
      <c r="X121" s="46">
        <v>4399</v>
      </c>
      <c r="Y121" s="46">
        <v>3799</v>
      </c>
      <c r="Z121" s="46">
        <v>3799</v>
      </c>
      <c r="AA121" s="46">
        <v>3749</v>
      </c>
      <c r="AB121" s="45">
        <v>5099</v>
      </c>
      <c r="AC121" s="45">
        <v>5099</v>
      </c>
      <c r="AD121" s="45">
        <v>5099</v>
      </c>
      <c r="AE121" s="45">
        <v>4999</v>
      </c>
      <c r="AF121" s="45">
        <v>4899</v>
      </c>
      <c r="AG121" s="45">
        <v>4899</v>
      </c>
      <c r="AH121" s="45">
        <v>4499</v>
      </c>
      <c r="AI121" s="45">
        <v>4499</v>
      </c>
      <c r="AJ121" s="45">
        <v>4499</v>
      </c>
      <c r="AK121" s="45">
        <v>4499</v>
      </c>
      <c r="AL121" s="45">
        <v>3799</v>
      </c>
      <c r="AM121" s="45"/>
      <c r="AN121" s="45"/>
      <c r="AO121" s="45"/>
      <c r="AP121" s="45"/>
      <c r="AQ121" s="45"/>
      <c r="AR121" s="45"/>
      <c r="AS121" s="45"/>
      <c r="AT121" s="45"/>
      <c r="AU121" s="45"/>
      <c r="AV121" s="47"/>
      <c r="AW121" s="48" t="s">
        <v>67</v>
      </c>
      <c r="AX121" s="49" t="s">
        <v>68</v>
      </c>
      <c r="AY121" s="50">
        <f t="shared" si="3"/>
        <v>105.01979999999999</v>
      </c>
      <c r="AZ121" s="50">
        <f t="shared" si="4"/>
        <v>94.621800000000007</v>
      </c>
      <c r="BA121" s="51">
        <f t="shared" si="5"/>
        <v>53.549700000000001</v>
      </c>
    </row>
    <row r="122" spans="1:53" ht="22.5" customHeight="1">
      <c r="A122" s="41" t="s">
        <v>63</v>
      </c>
      <c r="B122" s="42" t="s">
        <v>64</v>
      </c>
      <c r="C122" s="43">
        <v>4017981</v>
      </c>
      <c r="D122" s="44" t="s">
        <v>206</v>
      </c>
      <c r="E122" s="44" t="s">
        <v>210</v>
      </c>
      <c r="F122" s="45">
        <v>5799</v>
      </c>
      <c r="G122" s="45">
        <v>4399</v>
      </c>
      <c r="H122" s="46">
        <v>5199</v>
      </c>
      <c r="I122" s="46">
        <v>5199</v>
      </c>
      <c r="J122" s="45">
        <v>5099</v>
      </c>
      <c r="K122" s="45">
        <v>5099</v>
      </c>
      <c r="L122" s="45">
        <v>5099</v>
      </c>
      <c r="M122" s="45">
        <v>5099</v>
      </c>
      <c r="N122" s="45">
        <v>5099</v>
      </c>
      <c r="O122" s="45">
        <v>4999</v>
      </c>
      <c r="P122" s="46">
        <v>4899</v>
      </c>
      <c r="Q122" s="46">
        <v>4499</v>
      </c>
      <c r="R122" s="45">
        <v>4999</v>
      </c>
      <c r="S122" s="45">
        <v>4899</v>
      </c>
      <c r="T122" s="46">
        <v>4499</v>
      </c>
      <c r="U122" s="46">
        <v>4499</v>
      </c>
      <c r="V122" s="46">
        <v>4499</v>
      </c>
      <c r="W122" s="46">
        <v>4499</v>
      </c>
      <c r="X122" s="46">
        <v>4399</v>
      </c>
      <c r="Y122" s="46">
        <v>3799</v>
      </c>
      <c r="Z122" s="46">
        <v>3799</v>
      </c>
      <c r="AA122" s="46">
        <v>3749</v>
      </c>
      <c r="AB122" s="45">
        <v>5099</v>
      </c>
      <c r="AC122" s="45">
        <v>5099</v>
      </c>
      <c r="AD122" s="45">
        <v>5099</v>
      </c>
      <c r="AE122" s="45">
        <v>4999</v>
      </c>
      <c r="AF122" s="45">
        <v>4899</v>
      </c>
      <c r="AG122" s="45">
        <v>4899</v>
      </c>
      <c r="AH122" s="45">
        <v>4499</v>
      </c>
      <c r="AI122" s="45">
        <v>4499</v>
      </c>
      <c r="AJ122" s="45">
        <v>4499</v>
      </c>
      <c r="AK122" s="45">
        <v>4499</v>
      </c>
      <c r="AL122" s="45">
        <v>3799</v>
      </c>
      <c r="AM122" s="45"/>
      <c r="AN122" s="45"/>
      <c r="AO122" s="45"/>
      <c r="AP122" s="45"/>
      <c r="AQ122" s="45"/>
      <c r="AR122" s="45"/>
      <c r="AS122" s="45"/>
      <c r="AT122" s="45"/>
      <c r="AU122" s="45"/>
      <c r="AV122" s="47"/>
      <c r="AW122" s="48" t="s">
        <v>67</v>
      </c>
      <c r="AX122" s="49" t="s">
        <v>68</v>
      </c>
      <c r="AY122" s="50">
        <f t="shared" si="3"/>
        <v>105.01979999999999</v>
      </c>
      <c r="AZ122" s="50">
        <f t="shared" si="4"/>
        <v>94.621800000000007</v>
      </c>
      <c r="BA122" s="51">
        <f t="shared" si="5"/>
        <v>53.549700000000001</v>
      </c>
    </row>
    <row r="123" spans="1:53" ht="22.5" customHeight="1">
      <c r="A123" s="41" t="s">
        <v>63</v>
      </c>
      <c r="B123" s="42" t="s">
        <v>64</v>
      </c>
      <c r="C123" s="43">
        <v>4017980</v>
      </c>
      <c r="D123" s="44" t="s">
        <v>206</v>
      </c>
      <c r="E123" s="44" t="s">
        <v>211</v>
      </c>
      <c r="F123" s="45">
        <v>5799</v>
      </c>
      <c r="G123" s="45">
        <v>4399</v>
      </c>
      <c r="H123" s="46">
        <v>5199</v>
      </c>
      <c r="I123" s="46">
        <v>5199</v>
      </c>
      <c r="J123" s="45">
        <v>5099</v>
      </c>
      <c r="K123" s="45">
        <v>5099</v>
      </c>
      <c r="L123" s="45">
        <v>5099</v>
      </c>
      <c r="M123" s="45">
        <v>5099</v>
      </c>
      <c r="N123" s="45">
        <v>5099</v>
      </c>
      <c r="O123" s="45">
        <v>4999</v>
      </c>
      <c r="P123" s="46">
        <v>4899</v>
      </c>
      <c r="Q123" s="46">
        <v>4499</v>
      </c>
      <c r="R123" s="45">
        <v>4999</v>
      </c>
      <c r="S123" s="45">
        <v>4899</v>
      </c>
      <c r="T123" s="46">
        <v>4499</v>
      </c>
      <c r="U123" s="46">
        <v>4499</v>
      </c>
      <c r="V123" s="46">
        <v>4499</v>
      </c>
      <c r="W123" s="46">
        <v>4499</v>
      </c>
      <c r="X123" s="46">
        <v>4399</v>
      </c>
      <c r="Y123" s="46">
        <v>3799</v>
      </c>
      <c r="Z123" s="46">
        <v>3799</v>
      </c>
      <c r="AA123" s="46">
        <v>3749</v>
      </c>
      <c r="AB123" s="45">
        <v>5099</v>
      </c>
      <c r="AC123" s="45">
        <v>5099</v>
      </c>
      <c r="AD123" s="45">
        <v>5099</v>
      </c>
      <c r="AE123" s="45">
        <v>4999</v>
      </c>
      <c r="AF123" s="45">
        <v>4899</v>
      </c>
      <c r="AG123" s="45">
        <v>4899</v>
      </c>
      <c r="AH123" s="45">
        <v>4499</v>
      </c>
      <c r="AI123" s="45">
        <v>4499</v>
      </c>
      <c r="AJ123" s="45">
        <v>4499</v>
      </c>
      <c r="AK123" s="45">
        <v>4499</v>
      </c>
      <c r="AL123" s="45">
        <v>3799</v>
      </c>
      <c r="AM123" s="45"/>
      <c r="AN123" s="45"/>
      <c r="AO123" s="45"/>
      <c r="AP123" s="45"/>
      <c r="AQ123" s="45"/>
      <c r="AR123" s="45"/>
      <c r="AS123" s="45"/>
      <c r="AT123" s="45"/>
      <c r="AU123" s="45"/>
      <c r="AV123" s="47"/>
      <c r="AW123" s="48" t="s">
        <v>67</v>
      </c>
      <c r="AX123" s="49" t="s">
        <v>68</v>
      </c>
      <c r="AY123" s="50">
        <f t="shared" si="3"/>
        <v>105.01979999999999</v>
      </c>
      <c r="AZ123" s="50">
        <f t="shared" si="4"/>
        <v>94.621800000000007</v>
      </c>
      <c r="BA123" s="51">
        <f t="shared" si="5"/>
        <v>53.549700000000001</v>
      </c>
    </row>
    <row r="124" spans="1:53" ht="22.5" customHeight="1">
      <c r="A124" s="41" t="s">
        <v>63</v>
      </c>
      <c r="B124" s="42" t="s">
        <v>64</v>
      </c>
      <c r="C124" s="43">
        <v>4017985</v>
      </c>
      <c r="D124" s="44" t="s">
        <v>206</v>
      </c>
      <c r="E124" s="44" t="s">
        <v>212</v>
      </c>
      <c r="F124" s="45">
        <v>5799</v>
      </c>
      <c r="G124" s="45">
        <v>4399</v>
      </c>
      <c r="H124" s="46">
        <v>5199</v>
      </c>
      <c r="I124" s="46">
        <v>5199</v>
      </c>
      <c r="J124" s="45">
        <v>5099</v>
      </c>
      <c r="K124" s="45">
        <v>5099</v>
      </c>
      <c r="L124" s="45">
        <v>5099</v>
      </c>
      <c r="M124" s="45">
        <v>5099</v>
      </c>
      <c r="N124" s="45">
        <v>5099</v>
      </c>
      <c r="O124" s="45">
        <v>4999</v>
      </c>
      <c r="P124" s="46">
        <v>4899</v>
      </c>
      <c r="Q124" s="46">
        <v>4499</v>
      </c>
      <c r="R124" s="45">
        <v>4999</v>
      </c>
      <c r="S124" s="45">
        <v>4899</v>
      </c>
      <c r="T124" s="46">
        <v>4499</v>
      </c>
      <c r="U124" s="46">
        <v>4499</v>
      </c>
      <c r="V124" s="46">
        <v>4499</v>
      </c>
      <c r="W124" s="46">
        <v>4499</v>
      </c>
      <c r="X124" s="46">
        <v>4399</v>
      </c>
      <c r="Y124" s="46">
        <v>3799</v>
      </c>
      <c r="Z124" s="46">
        <v>3799</v>
      </c>
      <c r="AA124" s="46">
        <v>3749</v>
      </c>
      <c r="AB124" s="45">
        <v>5099</v>
      </c>
      <c r="AC124" s="45">
        <v>5099</v>
      </c>
      <c r="AD124" s="45">
        <v>5099</v>
      </c>
      <c r="AE124" s="45">
        <v>4999</v>
      </c>
      <c r="AF124" s="45">
        <v>4899</v>
      </c>
      <c r="AG124" s="45">
        <v>4899</v>
      </c>
      <c r="AH124" s="45">
        <v>4499</v>
      </c>
      <c r="AI124" s="45">
        <v>4499</v>
      </c>
      <c r="AJ124" s="45">
        <v>4499</v>
      </c>
      <c r="AK124" s="45">
        <v>4499</v>
      </c>
      <c r="AL124" s="45">
        <v>3799</v>
      </c>
      <c r="AM124" s="45"/>
      <c r="AN124" s="45"/>
      <c r="AO124" s="45"/>
      <c r="AP124" s="45"/>
      <c r="AQ124" s="45"/>
      <c r="AR124" s="45"/>
      <c r="AS124" s="45"/>
      <c r="AT124" s="45"/>
      <c r="AU124" s="45"/>
      <c r="AV124" s="47"/>
      <c r="AW124" s="48" t="s">
        <v>67</v>
      </c>
      <c r="AX124" s="49" t="s">
        <v>68</v>
      </c>
      <c r="AY124" s="50">
        <f t="shared" si="3"/>
        <v>105.01979999999999</v>
      </c>
      <c r="AZ124" s="50">
        <f t="shared" si="4"/>
        <v>94.621800000000007</v>
      </c>
      <c r="BA124" s="51">
        <f t="shared" si="5"/>
        <v>53.549700000000001</v>
      </c>
    </row>
    <row r="125" spans="1:53" ht="22.5" customHeight="1">
      <c r="A125" s="41" t="s">
        <v>63</v>
      </c>
      <c r="B125" s="42" t="s">
        <v>64</v>
      </c>
      <c r="C125" s="43">
        <v>4017020</v>
      </c>
      <c r="D125" s="52" t="s">
        <v>213</v>
      </c>
      <c r="E125" s="44" t="s">
        <v>214</v>
      </c>
      <c r="F125" s="45">
        <v>4999</v>
      </c>
      <c r="G125" s="45">
        <v>2399</v>
      </c>
      <c r="H125" s="46">
        <v>3399</v>
      </c>
      <c r="I125" s="46">
        <v>3399</v>
      </c>
      <c r="J125" s="53">
        <v>2499</v>
      </c>
      <c r="K125" s="53">
        <v>2299</v>
      </c>
      <c r="L125" s="53">
        <v>2299</v>
      </c>
      <c r="M125" s="53">
        <v>2499</v>
      </c>
      <c r="N125" s="53">
        <v>2299</v>
      </c>
      <c r="O125" s="53">
        <v>2199</v>
      </c>
      <c r="P125" s="53">
        <v>2099</v>
      </c>
      <c r="Q125" s="53">
        <v>1799</v>
      </c>
      <c r="R125" s="53">
        <v>2199</v>
      </c>
      <c r="S125" s="53">
        <v>2099</v>
      </c>
      <c r="T125" s="53">
        <v>1799</v>
      </c>
      <c r="U125" s="53">
        <v>1799</v>
      </c>
      <c r="V125" s="53">
        <v>1799</v>
      </c>
      <c r="W125" s="53">
        <v>1799</v>
      </c>
      <c r="X125" s="53">
        <v>1699</v>
      </c>
      <c r="Y125" s="53">
        <v>1299</v>
      </c>
      <c r="Z125" s="53">
        <v>1299</v>
      </c>
      <c r="AA125" s="53">
        <v>1299</v>
      </c>
      <c r="AB125" s="45"/>
      <c r="AC125" s="45"/>
      <c r="AD125" s="45"/>
      <c r="AE125" s="45"/>
      <c r="AF125" s="45"/>
      <c r="AG125" s="45"/>
      <c r="AH125" s="45"/>
      <c r="AI125" s="45"/>
      <c r="AJ125" s="45"/>
      <c r="AK125" s="45"/>
      <c r="AL125" s="45"/>
      <c r="AM125" s="45"/>
      <c r="AN125" s="45"/>
      <c r="AO125" s="45"/>
      <c r="AP125" s="45"/>
      <c r="AQ125" s="45"/>
      <c r="AR125" s="45"/>
      <c r="AS125" s="45"/>
      <c r="AT125" s="45"/>
      <c r="AU125" s="45"/>
      <c r="AV125" s="47"/>
      <c r="AW125" s="48" t="s">
        <v>67</v>
      </c>
      <c r="AX125" s="49" t="s">
        <v>68</v>
      </c>
      <c r="AY125" s="50">
        <f t="shared" si="3"/>
        <v>68.659800000000004</v>
      </c>
      <c r="AZ125" s="50">
        <f t="shared" si="4"/>
        <v>61.861800000000002</v>
      </c>
      <c r="BA125" s="51">
        <f t="shared" si="5"/>
        <v>35.009700000000002</v>
      </c>
    </row>
    <row r="126" spans="1:53" ht="22.5" customHeight="1">
      <c r="A126" s="41" t="s">
        <v>63</v>
      </c>
      <c r="B126" s="42" t="s">
        <v>64</v>
      </c>
      <c r="C126" s="43">
        <v>4017022</v>
      </c>
      <c r="D126" s="52" t="s">
        <v>213</v>
      </c>
      <c r="E126" s="44" t="s">
        <v>215</v>
      </c>
      <c r="F126" s="45">
        <v>4999</v>
      </c>
      <c r="G126" s="45">
        <v>2399</v>
      </c>
      <c r="H126" s="46">
        <v>3399</v>
      </c>
      <c r="I126" s="46">
        <v>3399</v>
      </c>
      <c r="J126" s="53">
        <v>2499</v>
      </c>
      <c r="K126" s="53">
        <v>2299</v>
      </c>
      <c r="L126" s="53">
        <v>2299</v>
      </c>
      <c r="M126" s="53">
        <v>2499</v>
      </c>
      <c r="N126" s="53">
        <v>2299</v>
      </c>
      <c r="O126" s="53">
        <v>2199</v>
      </c>
      <c r="P126" s="53">
        <v>2099</v>
      </c>
      <c r="Q126" s="53">
        <v>1799</v>
      </c>
      <c r="R126" s="53">
        <v>2199</v>
      </c>
      <c r="S126" s="53">
        <v>2099</v>
      </c>
      <c r="T126" s="53">
        <v>1799</v>
      </c>
      <c r="U126" s="53">
        <v>1799</v>
      </c>
      <c r="V126" s="53">
        <v>1799</v>
      </c>
      <c r="W126" s="53">
        <v>1799</v>
      </c>
      <c r="X126" s="53">
        <v>1699</v>
      </c>
      <c r="Y126" s="53">
        <v>1299</v>
      </c>
      <c r="Z126" s="53">
        <v>1299</v>
      </c>
      <c r="AA126" s="53">
        <v>1299</v>
      </c>
      <c r="AB126" s="45"/>
      <c r="AC126" s="45"/>
      <c r="AD126" s="45"/>
      <c r="AE126" s="45"/>
      <c r="AF126" s="45"/>
      <c r="AG126" s="45"/>
      <c r="AH126" s="45"/>
      <c r="AI126" s="45"/>
      <c r="AJ126" s="45"/>
      <c r="AK126" s="45"/>
      <c r="AL126" s="45"/>
      <c r="AM126" s="45"/>
      <c r="AN126" s="45"/>
      <c r="AO126" s="45"/>
      <c r="AP126" s="45"/>
      <c r="AQ126" s="45"/>
      <c r="AR126" s="45"/>
      <c r="AS126" s="45"/>
      <c r="AT126" s="45"/>
      <c r="AU126" s="45"/>
      <c r="AV126" s="47"/>
      <c r="AW126" s="48" t="s">
        <v>67</v>
      </c>
      <c r="AX126" s="49" t="s">
        <v>68</v>
      </c>
      <c r="AY126" s="50">
        <f t="shared" si="3"/>
        <v>68.659800000000004</v>
      </c>
      <c r="AZ126" s="50">
        <f t="shared" si="4"/>
        <v>61.861800000000002</v>
      </c>
      <c r="BA126" s="51">
        <f t="shared" si="5"/>
        <v>35.009700000000002</v>
      </c>
    </row>
    <row r="127" spans="1:53" ht="22.5" customHeight="1">
      <c r="A127" s="41" t="s">
        <v>63</v>
      </c>
      <c r="B127" s="42" t="s">
        <v>64</v>
      </c>
      <c r="C127" s="43">
        <v>4017045</v>
      </c>
      <c r="D127" s="44" t="s">
        <v>216</v>
      </c>
      <c r="E127" s="44" t="s">
        <v>217</v>
      </c>
      <c r="F127" s="45">
        <v>3199</v>
      </c>
      <c r="G127" s="46">
        <v>999</v>
      </c>
      <c r="H127" s="46">
        <v>1919</v>
      </c>
      <c r="I127" s="46">
        <v>1919</v>
      </c>
      <c r="J127" s="46">
        <v>1499</v>
      </c>
      <c r="K127" s="46">
        <v>1499</v>
      </c>
      <c r="L127" s="46">
        <v>1499</v>
      </c>
      <c r="M127" s="46">
        <v>1499</v>
      </c>
      <c r="N127" s="46">
        <v>1499</v>
      </c>
      <c r="O127" s="46">
        <v>1449</v>
      </c>
      <c r="P127" s="46">
        <v>1399</v>
      </c>
      <c r="Q127" s="46">
        <v>799</v>
      </c>
      <c r="R127" s="46">
        <v>1449</v>
      </c>
      <c r="S127" s="46">
        <v>1399</v>
      </c>
      <c r="T127" s="46">
        <v>799</v>
      </c>
      <c r="U127" s="46">
        <v>799</v>
      </c>
      <c r="V127" s="46">
        <v>799</v>
      </c>
      <c r="W127" s="46">
        <v>799</v>
      </c>
      <c r="X127" s="46">
        <v>799</v>
      </c>
      <c r="Y127" s="46">
        <v>699</v>
      </c>
      <c r="Z127" s="46">
        <v>699</v>
      </c>
      <c r="AA127" s="46">
        <v>699</v>
      </c>
      <c r="AB127" s="45"/>
      <c r="AC127" s="45"/>
      <c r="AD127" s="45"/>
      <c r="AE127" s="45"/>
      <c r="AF127" s="45"/>
      <c r="AG127" s="45"/>
      <c r="AH127" s="45"/>
      <c r="AI127" s="45"/>
      <c r="AJ127" s="45"/>
      <c r="AK127" s="45"/>
      <c r="AL127" s="45"/>
      <c r="AM127" s="45"/>
      <c r="AN127" s="45"/>
      <c r="AO127" s="45"/>
      <c r="AP127" s="45"/>
      <c r="AQ127" s="45"/>
      <c r="AR127" s="45"/>
      <c r="AS127" s="45"/>
      <c r="AT127" s="45"/>
      <c r="AU127" s="45"/>
      <c r="AV127" s="47"/>
      <c r="AW127" s="48" t="s">
        <v>67</v>
      </c>
      <c r="AX127" s="49" t="s">
        <v>68</v>
      </c>
      <c r="AY127" s="50">
        <f t="shared" si="3"/>
        <v>38.763799999999996</v>
      </c>
      <c r="AZ127" s="50">
        <f t="shared" si="4"/>
        <v>34.925800000000002</v>
      </c>
      <c r="BA127" s="51">
        <f t="shared" si="5"/>
        <v>19.765699999999999</v>
      </c>
    </row>
    <row r="128" spans="1:53" ht="22.5" customHeight="1">
      <c r="A128" s="41" t="s">
        <v>63</v>
      </c>
      <c r="B128" s="42" t="s">
        <v>64</v>
      </c>
      <c r="C128" s="43">
        <v>4017047</v>
      </c>
      <c r="D128" s="44" t="s">
        <v>216</v>
      </c>
      <c r="E128" s="44" t="s">
        <v>218</v>
      </c>
      <c r="F128" s="45">
        <v>3199</v>
      </c>
      <c r="G128" s="46">
        <v>999</v>
      </c>
      <c r="H128" s="46">
        <v>1919</v>
      </c>
      <c r="I128" s="46">
        <v>1919</v>
      </c>
      <c r="J128" s="46">
        <v>1499</v>
      </c>
      <c r="K128" s="46">
        <v>1499</v>
      </c>
      <c r="L128" s="46">
        <v>1499</v>
      </c>
      <c r="M128" s="46">
        <v>1499</v>
      </c>
      <c r="N128" s="46">
        <v>1499</v>
      </c>
      <c r="O128" s="46">
        <v>1449</v>
      </c>
      <c r="P128" s="46">
        <v>1399</v>
      </c>
      <c r="Q128" s="46">
        <v>799</v>
      </c>
      <c r="R128" s="46">
        <v>1449</v>
      </c>
      <c r="S128" s="46">
        <v>1399</v>
      </c>
      <c r="T128" s="46">
        <v>799</v>
      </c>
      <c r="U128" s="46">
        <v>799</v>
      </c>
      <c r="V128" s="46">
        <v>799</v>
      </c>
      <c r="W128" s="46">
        <v>799</v>
      </c>
      <c r="X128" s="46">
        <v>799</v>
      </c>
      <c r="Y128" s="46">
        <v>699</v>
      </c>
      <c r="Z128" s="46">
        <v>699</v>
      </c>
      <c r="AA128" s="46">
        <v>699</v>
      </c>
      <c r="AB128" s="45"/>
      <c r="AC128" s="45"/>
      <c r="AD128" s="45"/>
      <c r="AE128" s="45"/>
      <c r="AF128" s="45"/>
      <c r="AG128" s="45"/>
      <c r="AH128" s="45"/>
      <c r="AI128" s="45"/>
      <c r="AJ128" s="45"/>
      <c r="AK128" s="45"/>
      <c r="AL128" s="45"/>
      <c r="AM128" s="45"/>
      <c r="AN128" s="45"/>
      <c r="AO128" s="45"/>
      <c r="AP128" s="45"/>
      <c r="AQ128" s="45"/>
      <c r="AR128" s="45"/>
      <c r="AS128" s="45"/>
      <c r="AT128" s="45"/>
      <c r="AU128" s="45"/>
      <c r="AV128" s="47"/>
      <c r="AW128" s="48" t="s">
        <v>67</v>
      </c>
      <c r="AX128" s="49" t="s">
        <v>68</v>
      </c>
      <c r="AY128" s="50">
        <f t="shared" si="3"/>
        <v>38.763799999999996</v>
      </c>
      <c r="AZ128" s="50">
        <f t="shared" si="4"/>
        <v>34.925800000000002</v>
      </c>
      <c r="BA128" s="51">
        <f t="shared" si="5"/>
        <v>19.765699999999999</v>
      </c>
    </row>
    <row r="129" spans="1:53" ht="22.5" customHeight="1">
      <c r="A129" s="41" t="s">
        <v>63</v>
      </c>
      <c r="B129" s="42" t="s">
        <v>64</v>
      </c>
      <c r="C129" s="43">
        <v>4017758</v>
      </c>
      <c r="D129" s="52" t="s">
        <v>219</v>
      </c>
      <c r="E129" s="44" t="s">
        <v>220</v>
      </c>
      <c r="F129" s="45">
        <v>3999</v>
      </c>
      <c r="G129" s="45">
        <v>2399</v>
      </c>
      <c r="H129" s="45">
        <v>2899</v>
      </c>
      <c r="I129" s="45">
        <v>2899</v>
      </c>
      <c r="J129" s="45">
        <v>2799</v>
      </c>
      <c r="K129" s="54">
        <v>2799</v>
      </c>
      <c r="L129" s="54">
        <v>2799</v>
      </c>
      <c r="M129" s="45">
        <v>2799</v>
      </c>
      <c r="N129" s="54">
        <v>2799</v>
      </c>
      <c r="O129" s="54">
        <v>2699</v>
      </c>
      <c r="P129" s="54">
        <v>2599</v>
      </c>
      <c r="Q129" s="54">
        <v>2199</v>
      </c>
      <c r="R129" s="54">
        <v>2699</v>
      </c>
      <c r="S129" s="54">
        <v>2599</v>
      </c>
      <c r="T129" s="54">
        <v>2199</v>
      </c>
      <c r="U129" s="54">
        <v>2199</v>
      </c>
      <c r="V129" s="54">
        <v>2199</v>
      </c>
      <c r="W129" s="54">
        <v>2199</v>
      </c>
      <c r="X129" s="54">
        <v>2099</v>
      </c>
      <c r="Y129" s="54">
        <v>1699</v>
      </c>
      <c r="Z129" s="54">
        <v>1699</v>
      </c>
      <c r="AA129" s="54">
        <v>1599</v>
      </c>
      <c r="AB129" s="45"/>
      <c r="AC129" s="45"/>
      <c r="AD129" s="45"/>
      <c r="AE129" s="45"/>
      <c r="AF129" s="45"/>
      <c r="AG129" s="45"/>
      <c r="AH129" s="45"/>
      <c r="AI129" s="45"/>
      <c r="AJ129" s="45"/>
      <c r="AK129" s="45"/>
      <c r="AL129" s="45"/>
      <c r="AM129" s="45"/>
      <c r="AN129" s="45"/>
      <c r="AO129" s="45"/>
      <c r="AP129" s="45"/>
      <c r="AQ129" s="45"/>
      <c r="AR129" s="45"/>
      <c r="AS129" s="45"/>
      <c r="AT129" s="45"/>
      <c r="AU129" s="45"/>
      <c r="AV129" s="47"/>
      <c r="AW129" s="48" t="s">
        <v>67</v>
      </c>
      <c r="AX129" s="49" t="s">
        <v>68</v>
      </c>
      <c r="AY129" s="50">
        <f t="shared" si="3"/>
        <v>58.559799999999996</v>
      </c>
      <c r="AZ129" s="50">
        <f t="shared" si="4"/>
        <v>52.761800000000001</v>
      </c>
      <c r="BA129" s="51">
        <f t="shared" si="5"/>
        <v>29.8597</v>
      </c>
    </row>
    <row r="130" spans="1:53" ht="22.5" customHeight="1">
      <c r="A130" s="41" t="s">
        <v>63</v>
      </c>
      <c r="B130" s="42" t="s">
        <v>64</v>
      </c>
      <c r="C130" s="43">
        <v>4017773</v>
      </c>
      <c r="D130" s="52" t="s">
        <v>219</v>
      </c>
      <c r="E130" s="44" t="s">
        <v>221</v>
      </c>
      <c r="F130" s="45">
        <v>3999</v>
      </c>
      <c r="G130" s="45">
        <v>2399</v>
      </c>
      <c r="H130" s="45">
        <v>2899</v>
      </c>
      <c r="I130" s="45">
        <v>2899</v>
      </c>
      <c r="J130" s="45">
        <v>2799</v>
      </c>
      <c r="K130" s="54">
        <v>2799</v>
      </c>
      <c r="L130" s="54">
        <v>2799</v>
      </c>
      <c r="M130" s="45">
        <v>2799</v>
      </c>
      <c r="N130" s="54">
        <v>2799</v>
      </c>
      <c r="O130" s="54">
        <v>2699</v>
      </c>
      <c r="P130" s="54">
        <v>2599</v>
      </c>
      <c r="Q130" s="54">
        <v>2199</v>
      </c>
      <c r="R130" s="54">
        <v>2699</v>
      </c>
      <c r="S130" s="54">
        <v>2599</v>
      </c>
      <c r="T130" s="54">
        <v>2199</v>
      </c>
      <c r="U130" s="54">
        <v>2199</v>
      </c>
      <c r="V130" s="54">
        <v>2199</v>
      </c>
      <c r="W130" s="54">
        <v>2199</v>
      </c>
      <c r="X130" s="54">
        <v>2099</v>
      </c>
      <c r="Y130" s="54">
        <v>1699</v>
      </c>
      <c r="Z130" s="54">
        <v>1699</v>
      </c>
      <c r="AA130" s="54">
        <v>1599</v>
      </c>
      <c r="AB130" s="45"/>
      <c r="AC130" s="45"/>
      <c r="AD130" s="45"/>
      <c r="AE130" s="45"/>
      <c r="AF130" s="45"/>
      <c r="AG130" s="45"/>
      <c r="AH130" s="45"/>
      <c r="AI130" s="45"/>
      <c r="AJ130" s="45"/>
      <c r="AK130" s="45"/>
      <c r="AL130" s="45"/>
      <c r="AM130" s="45"/>
      <c r="AN130" s="45"/>
      <c r="AO130" s="45"/>
      <c r="AP130" s="45"/>
      <c r="AQ130" s="45"/>
      <c r="AR130" s="45"/>
      <c r="AS130" s="45"/>
      <c r="AT130" s="45"/>
      <c r="AU130" s="45"/>
      <c r="AV130" s="47"/>
      <c r="AW130" s="48" t="s">
        <v>67</v>
      </c>
      <c r="AX130" s="49" t="s">
        <v>68</v>
      </c>
      <c r="AY130" s="50">
        <f t="shared" si="3"/>
        <v>58.559799999999996</v>
      </c>
      <c r="AZ130" s="50">
        <f t="shared" si="4"/>
        <v>52.761800000000001</v>
      </c>
      <c r="BA130" s="51">
        <f t="shared" si="5"/>
        <v>29.8597</v>
      </c>
    </row>
    <row r="131" spans="1:53" ht="22.5" customHeight="1">
      <c r="A131" s="55" t="s">
        <v>222</v>
      </c>
      <c r="B131" s="42" t="s">
        <v>64</v>
      </c>
      <c r="C131" s="43">
        <v>4017737</v>
      </c>
      <c r="D131" s="52" t="s">
        <v>223</v>
      </c>
      <c r="E131" s="44" t="s">
        <v>224</v>
      </c>
      <c r="F131" s="45">
        <v>1899</v>
      </c>
      <c r="G131" s="54">
        <v>1399</v>
      </c>
      <c r="H131" s="54">
        <v>1399</v>
      </c>
      <c r="I131" s="54">
        <v>1399</v>
      </c>
      <c r="J131" s="54">
        <v>1199</v>
      </c>
      <c r="K131" s="54">
        <v>1199</v>
      </c>
      <c r="L131" s="54">
        <v>1199</v>
      </c>
      <c r="M131" s="54">
        <v>1199</v>
      </c>
      <c r="N131" s="54">
        <v>1199</v>
      </c>
      <c r="O131" s="54">
        <v>1099</v>
      </c>
      <c r="P131" s="45">
        <v>999</v>
      </c>
      <c r="Q131" s="45">
        <v>999</v>
      </c>
      <c r="R131" s="54">
        <v>1099</v>
      </c>
      <c r="S131" s="45">
        <v>999</v>
      </c>
      <c r="T131" s="45">
        <v>999</v>
      </c>
      <c r="U131" s="45">
        <v>999</v>
      </c>
      <c r="V131" s="45">
        <v>999</v>
      </c>
      <c r="W131" s="45">
        <v>999</v>
      </c>
      <c r="X131" s="45">
        <v>999</v>
      </c>
      <c r="Y131" s="54">
        <v>899</v>
      </c>
      <c r="Z131" s="54">
        <v>899</v>
      </c>
      <c r="AA131" s="54">
        <v>899</v>
      </c>
      <c r="AB131" s="45"/>
      <c r="AC131" s="45"/>
      <c r="AD131" s="45"/>
      <c r="AE131" s="45"/>
      <c r="AF131" s="45"/>
      <c r="AG131" s="45"/>
      <c r="AH131" s="45"/>
      <c r="AI131" s="45"/>
      <c r="AJ131" s="45"/>
      <c r="AK131" s="45"/>
      <c r="AL131" s="45"/>
      <c r="AM131" s="45"/>
      <c r="AN131" s="45"/>
      <c r="AO131" s="45"/>
      <c r="AP131" s="45"/>
      <c r="AQ131" s="45"/>
      <c r="AR131" s="45"/>
      <c r="AS131" s="45"/>
      <c r="AT131" s="45"/>
      <c r="AU131" s="45"/>
      <c r="AV131" s="47"/>
      <c r="AW131" s="48" t="s">
        <v>67</v>
      </c>
      <c r="AX131" s="49" t="s">
        <v>68</v>
      </c>
      <c r="AY131" s="50">
        <f t="shared" si="3"/>
        <v>28.259799999999998</v>
      </c>
      <c r="AZ131" s="50">
        <f t="shared" si="4"/>
        <v>25.4618</v>
      </c>
      <c r="BA131" s="51">
        <f t="shared" si="5"/>
        <v>14.409700000000001</v>
      </c>
    </row>
    <row r="132" spans="1:53" ht="22.5" customHeight="1">
      <c r="A132" s="55" t="s">
        <v>222</v>
      </c>
      <c r="B132" s="42" t="s">
        <v>64</v>
      </c>
      <c r="C132" s="43">
        <v>4017770</v>
      </c>
      <c r="D132" s="52" t="s">
        <v>223</v>
      </c>
      <c r="E132" s="44" t="s">
        <v>225</v>
      </c>
      <c r="F132" s="45">
        <v>1899</v>
      </c>
      <c r="G132" s="54">
        <v>1399</v>
      </c>
      <c r="H132" s="54">
        <v>1399</v>
      </c>
      <c r="I132" s="54">
        <v>1399</v>
      </c>
      <c r="J132" s="54">
        <v>1199</v>
      </c>
      <c r="K132" s="54">
        <v>1199</v>
      </c>
      <c r="L132" s="54">
        <v>1199</v>
      </c>
      <c r="M132" s="54">
        <v>1199</v>
      </c>
      <c r="N132" s="54">
        <v>1199</v>
      </c>
      <c r="O132" s="54">
        <v>1099</v>
      </c>
      <c r="P132" s="45">
        <v>999</v>
      </c>
      <c r="Q132" s="45">
        <v>999</v>
      </c>
      <c r="R132" s="54">
        <v>1099</v>
      </c>
      <c r="S132" s="45">
        <v>999</v>
      </c>
      <c r="T132" s="45">
        <v>999</v>
      </c>
      <c r="U132" s="45">
        <v>999</v>
      </c>
      <c r="V132" s="45">
        <v>999</v>
      </c>
      <c r="W132" s="45">
        <v>999</v>
      </c>
      <c r="X132" s="45">
        <v>999</v>
      </c>
      <c r="Y132" s="54">
        <v>899</v>
      </c>
      <c r="Z132" s="54">
        <v>899</v>
      </c>
      <c r="AA132" s="54">
        <v>899</v>
      </c>
      <c r="AB132" s="45"/>
      <c r="AC132" s="45"/>
      <c r="AD132" s="45"/>
      <c r="AE132" s="45"/>
      <c r="AF132" s="45"/>
      <c r="AG132" s="45"/>
      <c r="AH132" s="45"/>
      <c r="AI132" s="45"/>
      <c r="AJ132" s="45"/>
      <c r="AK132" s="45"/>
      <c r="AL132" s="45"/>
      <c r="AM132" s="45"/>
      <c r="AN132" s="45"/>
      <c r="AO132" s="45"/>
      <c r="AP132" s="45"/>
      <c r="AQ132" s="45"/>
      <c r="AR132" s="45"/>
      <c r="AS132" s="45"/>
      <c r="AT132" s="45"/>
      <c r="AU132" s="45"/>
      <c r="AV132" s="47"/>
      <c r="AW132" s="48" t="s">
        <v>67</v>
      </c>
      <c r="AX132" s="49" t="s">
        <v>68</v>
      </c>
      <c r="AY132" s="50">
        <f t="shared" si="3"/>
        <v>28.259799999999998</v>
      </c>
      <c r="AZ132" s="50">
        <f t="shared" si="4"/>
        <v>25.4618</v>
      </c>
      <c r="BA132" s="51">
        <f t="shared" si="5"/>
        <v>14.409700000000001</v>
      </c>
    </row>
    <row r="133" spans="1:53" ht="22.5" customHeight="1">
      <c r="A133" s="55" t="s">
        <v>222</v>
      </c>
      <c r="B133" s="42" t="s">
        <v>64</v>
      </c>
      <c r="C133" s="43">
        <v>4017200</v>
      </c>
      <c r="D133" s="44" t="s">
        <v>226</v>
      </c>
      <c r="E133" s="44" t="s">
        <v>227</v>
      </c>
      <c r="F133" s="45">
        <v>2099</v>
      </c>
      <c r="G133" s="45">
        <v>1419</v>
      </c>
      <c r="H133" s="45">
        <v>1419</v>
      </c>
      <c r="I133" s="45">
        <v>1419</v>
      </c>
      <c r="J133" s="45">
        <v>1299</v>
      </c>
      <c r="K133" s="45">
        <v>999</v>
      </c>
      <c r="L133" s="45">
        <v>999</v>
      </c>
      <c r="M133" s="45">
        <v>1299</v>
      </c>
      <c r="N133" s="45">
        <v>999</v>
      </c>
      <c r="O133" s="45">
        <v>999</v>
      </c>
      <c r="P133" s="45">
        <v>999</v>
      </c>
      <c r="Q133" s="45">
        <v>899</v>
      </c>
      <c r="R133" s="45">
        <v>999</v>
      </c>
      <c r="S133" s="45">
        <v>999</v>
      </c>
      <c r="T133" s="45">
        <v>899</v>
      </c>
      <c r="U133" s="45">
        <v>899</v>
      </c>
      <c r="V133" s="45">
        <v>899</v>
      </c>
      <c r="W133" s="45">
        <v>899</v>
      </c>
      <c r="X133" s="45">
        <v>899</v>
      </c>
      <c r="Y133" s="45">
        <v>899</v>
      </c>
      <c r="Z133" s="45">
        <v>899</v>
      </c>
      <c r="AA133" s="45">
        <v>899</v>
      </c>
      <c r="AB133" s="45"/>
      <c r="AC133" s="45"/>
      <c r="AD133" s="45"/>
      <c r="AE133" s="45"/>
      <c r="AF133" s="45"/>
      <c r="AG133" s="45"/>
      <c r="AH133" s="45"/>
      <c r="AI133" s="45"/>
      <c r="AJ133" s="45"/>
      <c r="AK133" s="45"/>
      <c r="AL133" s="45"/>
      <c r="AM133" s="45"/>
      <c r="AN133" s="45"/>
      <c r="AO133" s="45"/>
      <c r="AP133" s="45"/>
      <c r="AQ133" s="45"/>
      <c r="AR133" s="45"/>
      <c r="AS133" s="45"/>
      <c r="AT133" s="45"/>
      <c r="AU133" s="45"/>
      <c r="AV133" s="47"/>
      <c r="AW133" s="48" t="s">
        <v>67</v>
      </c>
      <c r="AX133" s="49" t="s">
        <v>68</v>
      </c>
      <c r="AY133" s="50">
        <f t="shared" si="3"/>
        <v>28.663799999999998</v>
      </c>
      <c r="AZ133" s="50">
        <f t="shared" si="4"/>
        <v>25.825800000000001</v>
      </c>
      <c r="BA133" s="51">
        <f t="shared" si="5"/>
        <v>14.6157</v>
      </c>
    </row>
    <row r="134" spans="1:53" ht="22.5" customHeight="1">
      <c r="A134" s="55" t="s">
        <v>222</v>
      </c>
      <c r="B134" s="42" t="s">
        <v>64</v>
      </c>
      <c r="C134" s="43">
        <v>4015390</v>
      </c>
      <c r="D134" s="56" t="s">
        <v>228</v>
      </c>
      <c r="E134" s="56" t="s">
        <v>229</v>
      </c>
      <c r="F134" s="45">
        <v>799</v>
      </c>
      <c r="G134" s="45">
        <v>549</v>
      </c>
      <c r="H134" s="45">
        <v>549</v>
      </c>
      <c r="I134" s="45">
        <v>549</v>
      </c>
      <c r="J134" s="45">
        <f t="shared" ref="J134:J157" si="6">M134</f>
        <v>449</v>
      </c>
      <c r="K134" s="45">
        <f t="shared" ref="K134:L157" si="7">M134</f>
        <v>449</v>
      </c>
      <c r="L134" s="45">
        <f t="shared" si="7"/>
        <v>449</v>
      </c>
      <c r="M134" s="45">
        <v>449</v>
      </c>
      <c r="N134" s="45">
        <v>449</v>
      </c>
      <c r="O134" s="45">
        <f t="shared" ref="O134:Q134" si="8">R134</f>
        <v>399</v>
      </c>
      <c r="P134" s="46">
        <f t="shared" si="8"/>
        <v>349</v>
      </c>
      <c r="Q134" s="46">
        <f t="shared" si="8"/>
        <v>299</v>
      </c>
      <c r="R134" s="45">
        <v>399</v>
      </c>
      <c r="S134" s="45">
        <v>349</v>
      </c>
      <c r="T134" s="45">
        <v>299</v>
      </c>
      <c r="U134" s="45">
        <v>299</v>
      </c>
      <c r="V134" s="45">
        <v>299</v>
      </c>
      <c r="W134" s="45">
        <v>299</v>
      </c>
      <c r="X134" s="45">
        <v>299</v>
      </c>
      <c r="Y134" s="45">
        <v>299</v>
      </c>
      <c r="Z134" s="45">
        <v>299</v>
      </c>
      <c r="AA134" s="45">
        <v>299</v>
      </c>
      <c r="AB134" s="45"/>
      <c r="AC134" s="45"/>
      <c r="AD134" s="45"/>
      <c r="AE134" s="45"/>
      <c r="AF134" s="45"/>
      <c r="AG134" s="45"/>
      <c r="AH134" s="45"/>
      <c r="AI134" s="45"/>
      <c r="AJ134" s="45"/>
      <c r="AK134" s="45"/>
      <c r="AL134" s="45"/>
      <c r="AM134" s="45"/>
      <c r="AN134" s="45"/>
      <c r="AO134" s="45"/>
      <c r="AP134" s="45"/>
      <c r="AQ134" s="45"/>
      <c r="AR134" s="45"/>
      <c r="AS134" s="45"/>
      <c r="AT134" s="45"/>
      <c r="AU134" s="45"/>
      <c r="AV134" s="47"/>
      <c r="AW134" s="48" t="s">
        <v>67</v>
      </c>
      <c r="AX134" s="49" t="s">
        <v>230</v>
      </c>
      <c r="AY134" s="50">
        <f t="shared" si="3"/>
        <v>11.0898</v>
      </c>
      <c r="AZ134" s="50">
        <f t="shared" si="4"/>
        <v>9.9918000000000013</v>
      </c>
      <c r="BA134" s="51">
        <f t="shared" si="5"/>
        <v>5.6547000000000001</v>
      </c>
    </row>
    <row r="135" spans="1:53" ht="22.5" customHeight="1">
      <c r="A135" s="41" t="s">
        <v>63</v>
      </c>
      <c r="B135" s="42" t="s">
        <v>64</v>
      </c>
      <c r="C135" s="43">
        <v>4015070</v>
      </c>
      <c r="D135" s="56" t="s">
        <v>231</v>
      </c>
      <c r="E135" s="56" t="s">
        <v>232</v>
      </c>
      <c r="F135" s="45">
        <v>3499</v>
      </c>
      <c r="G135" s="45">
        <v>799</v>
      </c>
      <c r="H135" s="45">
        <v>1099</v>
      </c>
      <c r="I135" s="45">
        <v>1099</v>
      </c>
      <c r="J135" s="45">
        <v>899</v>
      </c>
      <c r="K135" s="45">
        <v>799</v>
      </c>
      <c r="L135" s="45">
        <v>799</v>
      </c>
      <c r="M135" s="45">
        <v>899</v>
      </c>
      <c r="N135" s="45">
        <v>899</v>
      </c>
      <c r="O135" s="45">
        <v>749</v>
      </c>
      <c r="P135" s="46">
        <v>749</v>
      </c>
      <c r="Q135" s="46">
        <v>749</v>
      </c>
      <c r="R135" s="45">
        <v>749</v>
      </c>
      <c r="S135" s="45">
        <v>749</v>
      </c>
      <c r="T135" s="45">
        <v>749</v>
      </c>
      <c r="U135" s="45">
        <v>749</v>
      </c>
      <c r="V135" s="45">
        <v>749</v>
      </c>
      <c r="W135" s="45">
        <v>749</v>
      </c>
      <c r="X135" s="45">
        <v>749</v>
      </c>
      <c r="Y135" s="45">
        <v>749</v>
      </c>
      <c r="Z135" s="45">
        <v>749</v>
      </c>
      <c r="AA135" s="45">
        <v>749</v>
      </c>
      <c r="AB135" s="45"/>
      <c r="AC135" s="45"/>
      <c r="AD135" s="45"/>
      <c r="AE135" s="45"/>
      <c r="AF135" s="45"/>
      <c r="AG135" s="45"/>
      <c r="AH135" s="45"/>
      <c r="AI135" s="45"/>
      <c r="AJ135" s="45"/>
      <c r="AK135" s="45"/>
      <c r="AL135" s="45"/>
      <c r="AM135" s="45"/>
      <c r="AN135" s="45"/>
      <c r="AO135" s="45"/>
      <c r="AP135" s="45"/>
      <c r="AQ135" s="45"/>
      <c r="AR135" s="45"/>
      <c r="AS135" s="45"/>
      <c r="AT135" s="45"/>
      <c r="AU135" s="45"/>
      <c r="AV135" s="47"/>
      <c r="AW135" s="48" t="s">
        <v>67</v>
      </c>
      <c r="AX135" s="49" t="s">
        <v>68</v>
      </c>
      <c r="AY135" s="50">
        <f t="shared" si="3"/>
        <v>22.1998</v>
      </c>
      <c r="AZ135" s="50">
        <f t="shared" si="4"/>
        <v>20.001799999999999</v>
      </c>
      <c r="BA135" s="51">
        <f t="shared" si="5"/>
        <v>11.319700000000001</v>
      </c>
    </row>
    <row r="136" spans="1:53" ht="22.5" customHeight="1">
      <c r="A136" s="41" t="s">
        <v>63</v>
      </c>
      <c r="B136" s="42" t="s">
        <v>64</v>
      </c>
      <c r="C136" s="43">
        <v>4014800</v>
      </c>
      <c r="D136" s="56" t="s">
        <v>233</v>
      </c>
      <c r="E136" s="56" t="s">
        <v>234</v>
      </c>
      <c r="F136" s="45">
        <v>6499</v>
      </c>
      <c r="G136" s="45">
        <v>1399</v>
      </c>
      <c r="H136" s="45">
        <v>2499</v>
      </c>
      <c r="I136" s="45">
        <v>2499</v>
      </c>
      <c r="J136" s="45">
        <f t="shared" si="6"/>
        <v>2299</v>
      </c>
      <c r="K136" s="45">
        <f t="shared" si="7"/>
        <v>2299</v>
      </c>
      <c r="L136" s="45">
        <f t="shared" si="7"/>
        <v>2299</v>
      </c>
      <c r="M136" s="45">
        <v>2299</v>
      </c>
      <c r="N136" s="45">
        <v>2299</v>
      </c>
      <c r="O136" s="45">
        <f t="shared" ref="O136:Q136" si="9">R136</f>
        <v>1899</v>
      </c>
      <c r="P136" s="46">
        <f t="shared" si="9"/>
        <v>1799</v>
      </c>
      <c r="Q136" s="46">
        <f t="shared" si="9"/>
        <v>1499</v>
      </c>
      <c r="R136" s="45">
        <v>1899</v>
      </c>
      <c r="S136" s="45">
        <v>1799</v>
      </c>
      <c r="T136" s="45">
        <v>1499</v>
      </c>
      <c r="U136" s="45">
        <v>1499</v>
      </c>
      <c r="V136" s="45">
        <v>1499</v>
      </c>
      <c r="W136" s="45">
        <v>1499</v>
      </c>
      <c r="X136" s="45">
        <v>1399</v>
      </c>
      <c r="Y136" s="45">
        <v>999</v>
      </c>
      <c r="Z136" s="45">
        <v>999</v>
      </c>
      <c r="AA136" s="45">
        <v>949</v>
      </c>
      <c r="AB136" s="45"/>
      <c r="AC136" s="45"/>
      <c r="AD136" s="45"/>
      <c r="AE136" s="45"/>
      <c r="AF136" s="45"/>
      <c r="AG136" s="45"/>
      <c r="AH136" s="45"/>
      <c r="AI136" s="45"/>
      <c r="AJ136" s="45"/>
      <c r="AK136" s="45"/>
      <c r="AL136" s="45"/>
      <c r="AM136" s="45"/>
      <c r="AN136" s="45"/>
      <c r="AO136" s="45"/>
      <c r="AP136" s="45"/>
      <c r="AQ136" s="45"/>
      <c r="AR136" s="45"/>
      <c r="AS136" s="45"/>
      <c r="AT136" s="45"/>
      <c r="AU136" s="45"/>
      <c r="AV136" s="47"/>
      <c r="AW136" s="48" t="s">
        <v>67</v>
      </c>
      <c r="AX136" s="49" t="s">
        <v>68</v>
      </c>
      <c r="AY136" s="50">
        <f t="shared" si="3"/>
        <v>50.479799999999997</v>
      </c>
      <c r="AZ136" s="50">
        <f t="shared" si="4"/>
        <v>45.4818</v>
      </c>
      <c r="BA136" s="51">
        <f t="shared" si="5"/>
        <v>25.739699999999999</v>
      </c>
    </row>
    <row r="137" spans="1:53" ht="22.5" customHeight="1">
      <c r="A137" s="41" t="s">
        <v>63</v>
      </c>
      <c r="B137" s="42" t="s">
        <v>64</v>
      </c>
      <c r="C137" s="43">
        <v>4015553</v>
      </c>
      <c r="D137" s="56" t="s">
        <v>235</v>
      </c>
      <c r="E137" s="56" t="s">
        <v>236</v>
      </c>
      <c r="F137" s="45">
        <v>3699</v>
      </c>
      <c r="G137" s="45">
        <v>1279</v>
      </c>
      <c r="H137" s="45">
        <v>2299</v>
      </c>
      <c r="I137" s="45">
        <v>2299</v>
      </c>
      <c r="J137" s="45">
        <v>1599</v>
      </c>
      <c r="K137" s="45">
        <v>1499</v>
      </c>
      <c r="L137" s="45">
        <v>1499</v>
      </c>
      <c r="M137" s="45">
        <v>1599</v>
      </c>
      <c r="N137" s="45">
        <v>1599</v>
      </c>
      <c r="O137" s="45">
        <v>1399</v>
      </c>
      <c r="P137" s="46">
        <v>1299</v>
      </c>
      <c r="Q137" s="46">
        <v>1099</v>
      </c>
      <c r="R137" s="45">
        <v>1399</v>
      </c>
      <c r="S137" s="45">
        <v>1299</v>
      </c>
      <c r="T137" s="45">
        <v>1099</v>
      </c>
      <c r="U137" s="45">
        <v>1099</v>
      </c>
      <c r="V137" s="45">
        <v>1099</v>
      </c>
      <c r="W137" s="45">
        <v>1099</v>
      </c>
      <c r="X137" s="45">
        <v>999</v>
      </c>
      <c r="Y137" s="45">
        <v>899</v>
      </c>
      <c r="Z137" s="45">
        <v>899</v>
      </c>
      <c r="AA137" s="45">
        <v>899</v>
      </c>
      <c r="AB137" s="45"/>
      <c r="AC137" s="45"/>
      <c r="AD137" s="45"/>
      <c r="AE137" s="45"/>
      <c r="AF137" s="45"/>
      <c r="AG137" s="45"/>
      <c r="AH137" s="45"/>
      <c r="AI137" s="45"/>
      <c r="AJ137" s="45"/>
      <c r="AK137" s="45"/>
      <c r="AL137" s="45"/>
      <c r="AM137" s="45"/>
      <c r="AN137" s="45"/>
      <c r="AO137" s="45"/>
      <c r="AP137" s="45"/>
      <c r="AQ137" s="45"/>
      <c r="AR137" s="45"/>
      <c r="AS137" s="45"/>
      <c r="AT137" s="45"/>
      <c r="AU137" s="45"/>
      <c r="AV137" s="47"/>
      <c r="AW137" s="48" t="s">
        <v>67</v>
      </c>
      <c r="AX137" s="49" t="s">
        <v>68</v>
      </c>
      <c r="AY137" s="50">
        <f t="shared" si="3"/>
        <v>46.439799999999998</v>
      </c>
      <c r="AZ137" s="50">
        <f t="shared" si="4"/>
        <v>41.841799999999999</v>
      </c>
      <c r="BA137" s="51">
        <f t="shared" si="5"/>
        <v>23.6797</v>
      </c>
    </row>
    <row r="138" spans="1:53" ht="22.5" customHeight="1">
      <c r="A138" s="41" t="s">
        <v>63</v>
      </c>
      <c r="B138" s="42" t="s">
        <v>64</v>
      </c>
      <c r="C138" s="43">
        <v>4015555</v>
      </c>
      <c r="D138" s="56" t="s">
        <v>235</v>
      </c>
      <c r="E138" s="56" t="s">
        <v>237</v>
      </c>
      <c r="F138" s="45">
        <v>3699</v>
      </c>
      <c r="G138" s="45">
        <v>1279</v>
      </c>
      <c r="H138" s="45">
        <v>2299</v>
      </c>
      <c r="I138" s="45">
        <v>2299</v>
      </c>
      <c r="J138" s="45">
        <v>1599</v>
      </c>
      <c r="K138" s="45">
        <v>1499</v>
      </c>
      <c r="L138" s="45">
        <v>1499</v>
      </c>
      <c r="M138" s="45">
        <v>1599</v>
      </c>
      <c r="N138" s="45">
        <v>1599</v>
      </c>
      <c r="O138" s="45">
        <v>1399</v>
      </c>
      <c r="P138" s="46">
        <v>1299</v>
      </c>
      <c r="Q138" s="46">
        <v>1099</v>
      </c>
      <c r="R138" s="45">
        <v>1399</v>
      </c>
      <c r="S138" s="45">
        <v>1299</v>
      </c>
      <c r="T138" s="45">
        <v>1099</v>
      </c>
      <c r="U138" s="45">
        <v>1099</v>
      </c>
      <c r="V138" s="45">
        <v>1099</v>
      </c>
      <c r="W138" s="45">
        <v>1099</v>
      </c>
      <c r="X138" s="45">
        <v>999</v>
      </c>
      <c r="Y138" s="45">
        <v>899</v>
      </c>
      <c r="Z138" s="45">
        <v>899</v>
      </c>
      <c r="AA138" s="45">
        <v>899</v>
      </c>
      <c r="AB138" s="45"/>
      <c r="AC138" s="45"/>
      <c r="AD138" s="45"/>
      <c r="AE138" s="45"/>
      <c r="AF138" s="45"/>
      <c r="AG138" s="45"/>
      <c r="AH138" s="45"/>
      <c r="AI138" s="45"/>
      <c r="AJ138" s="45"/>
      <c r="AK138" s="45"/>
      <c r="AL138" s="45"/>
      <c r="AM138" s="45"/>
      <c r="AN138" s="45"/>
      <c r="AO138" s="45"/>
      <c r="AP138" s="45"/>
      <c r="AQ138" s="45"/>
      <c r="AR138" s="45"/>
      <c r="AS138" s="45"/>
      <c r="AT138" s="45"/>
      <c r="AU138" s="45"/>
      <c r="AV138" s="47"/>
      <c r="AW138" s="48" t="s">
        <v>67</v>
      </c>
      <c r="AX138" s="49" t="s">
        <v>68</v>
      </c>
      <c r="AY138" s="50">
        <f t="shared" si="3"/>
        <v>46.439799999999998</v>
      </c>
      <c r="AZ138" s="50">
        <f t="shared" si="4"/>
        <v>41.841799999999999</v>
      </c>
      <c r="BA138" s="51">
        <f t="shared" si="5"/>
        <v>23.6797</v>
      </c>
    </row>
    <row r="139" spans="1:53" ht="22.5" customHeight="1">
      <c r="A139" s="41" t="s">
        <v>63</v>
      </c>
      <c r="B139" s="42" t="s">
        <v>64</v>
      </c>
      <c r="C139" s="43">
        <v>4015692</v>
      </c>
      <c r="D139" s="56" t="s">
        <v>238</v>
      </c>
      <c r="E139" s="56" t="s">
        <v>239</v>
      </c>
      <c r="F139" s="45">
        <v>2999</v>
      </c>
      <c r="G139" s="45">
        <v>1099</v>
      </c>
      <c r="H139" s="45">
        <v>2099</v>
      </c>
      <c r="I139" s="45">
        <v>2099</v>
      </c>
      <c r="J139" s="45">
        <v>1499</v>
      </c>
      <c r="K139" s="45">
        <v>1399</v>
      </c>
      <c r="L139" s="45">
        <v>1399</v>
      </c>
      <c r="M139" s="45">
        <v>1499</v>
      </c>
      <c r="N139" s="45">
        <v>1499</v>
      </c>
      <c r="O139" s="45">
        <v>1299</v>
      </c>
      <c r="P139" s="46">
        <v>1199</v>
      </c>
      <c r="Q139" s="46">
        <v>1099</v>
      </c>
      <c r="R139" s="45">
        <v>1299</v>
      </c>
      <c r="S139" s="45">
        <v>1199</v>
      </c>
      <c r="T139" s="45">
        <v>1099</v>
      </c>
      <c r="U139" s="45">
        <v>1099</v>
      </c>
      <c r="V139" s="45">
        <v>1099</v>
      </c>
      <c r="W139" s="45">
        <v>1099</v>
      </c>
      <c r="X139" s="45">
        <v>999</v>
      </c>
      <c r="Y139" s="45">
        <v>899</v>
      </c>
      <c r="Z139" s="45">
        <v>899</v>
      </c>
      <c r="AA139" s="45">
        <v>899</v>
      </c>
      <c r="AB139" s="45"/>
      <c r="AC139" s="45"/>
      <c r="AD139" s="45"/>
      <c r="AE139" s="45"/>
      <c r="AF139" s="45"/>
      <c r="AG139" s="45"/>
      <c r="AH139" s="45"/>
      <c r="AI139" s="45"/>
      <c r="AJ139" s="45"/>
      <c r="AK139" s="45"/>
      <c r="AL139" s="45"/>
      <c r="AM139" s="45"/>
      <c r="AN139" s="45"/>
      <c r="AO139" s="45"/>
      <c r="AP139" s="45"/>
      <c r="AQ139" s="45"/>
      <c r="AR139" s="45"/>
      <c r="AS139" s="45"/>
      <c r="AT139" s="45"/>
      <c r="AU139" s="45"/>
      <c r="AV139" s="47"/>
      <c r="AW139" s="48" t="s">
        <v>67</v>
      </c>
      <c r="AX139" s="49" t="s">
        <v>68</v>
      </c>
      <c r="AY139" s="50">
        <f t="shared" si="3"/>
        <v>42.399799999999999</v>
      </c>
      <c r="AZ139" s="50">
        <f t="shared" si="4"/>
        <v>38.201799999999999</v>
      </c>
      <c r="BA139" s="51">
        <f t="shared" si="5"/>
        <v>21.619700000000002</v>
      </c>
    </row>
    <row r="140" spans="1:53" ht="22.5" customHeight="1">
      <c r="A140" s="41" t="s">
        <v>63</v>
      </c>
      <c r="B140" s="42" t="s">
        <v>64</v>
      </c>
      <c r="C140" s="43">
        <v>4016016</v>
      </c>
      <c r="D140" s="56" t="s">
        <v>238</v>
      </c>
      <c r="E140" s="56" t="s">
        <v>240</v>
      </c>
      <c r="F140" s="45">
        <v>2999</v>
      </c>
      <c r="G140" s="45">
        <v>1099</v>
      </c>
      <c r="H140" s="45">
        <v>2099</v>
      </c>
      <c r="I140" s="45">
        <v>2099</v>
      </c>
      <c r="J140" s="45">
        <v>1499</v>
      </c>
      <c r="K140" s="45">
        <v>1399</v>
      </c>
      <c r="L140" s="45">
        <v>1399</v>
      </c>
      <c r="M140" s="45">
        <v>1499</v>
      </c>
      <c r="N140" s="45">
        <v>1499</v>
      </c>
      <c r="O140" s="45">
        <v>1299</v>
      </c>
      <c r="P140" s="46">
        <v>1199</v>
      </c>
      <c r="Q140" s="46">
        <v>1099</v>
      </c>
      <c r="R140" s="45">
        <v>1299</v>
      </c>
      <c r="S140" s="45">
        <v>1199</v>
      </c>
      <c r="T140" s="45">
        <v>1099</v>
      </c>
      <c r="U140" s="45">
        <v>1099</v>
      </c>
      <c r="V140" s="45">
        <v>1099</v>
      </c>
      <c r="W140" s="45">
        <v>1099</v>
      </c>
      <c r="X140" s="45">
        <v>999</v>
      </c>
      <c r="Y140" s="45">
        <v>899</v>
      </c>
      <c r="Z140" s="45">
        <v>899</v>
      </c>
      <c r="AA140" s="45">
        <v>899</v>
      </c>
      <c r="AB140" s="45"/>
      <c r="AC140" s="45"/>
      <c r="AD140" s="45"/>
      <c r="AE140" s="45"/>
      <c r="AF140" s="45"/>
      <c r="AG140" s="45"/>
      <c r="AH140" s="45"/>
      <c r="AI140" s="45"/>
      <c r="AJ140" s="45"/>
      <c r="AK140" s="45"/>
      <c r="AL140" s="45"/>
      <c r="AM140" s="45"/>
      <c r="AN140" s="45"/>
      <c r="AO140" s="45"/>
      <c r="AP140" s="45"/>
      <c r="AQ140" s="45"/>
      <c r="AR140" s="45"/>
      <c r="AS140" s="45"/>
      <c r="AT140" s="45"/>
      <c r="AU140" s="45"/>
      <c r="AV140" s="47"/>
      <c r="AW140" s="48" t="s">
        <v>67</v>
      </c>
      <c r="AX140" s="49" t="s">
        <v>68</v>
      </c>
      <c r="AY140" s="50">
        <f t="shared" si="3"/>
        <v>42.399799999999999</v>
      </c>
      <c r="AZ140" s="50">
        <f t="shared" si="4"/>
        <v>38.201799999999999</v>
      </c>
      <c r="BA140" s="51">
        <f t="shared" si="5"/>
        <v>21.619700000000002</v>
      </c>
    </row>
    <row r="141" spans="1:53" ht="22.5" customHeight="1">
      <c r="A141" s="41" t="s">
        <v>63</v>
      </c>
      <c r="B141" s="42" t="s">
        <v>64</v>
      </c>
      <c r="C141" s="43">
        <v>4016501</v>
      </c>
      <c r="D141" s="56" t="s">
        <v>241</v>
      </c>
      <c r="E141" s="56" t="s">
        <v>242</v>
      </c>
      <c r="F141" s="45">
        <v>3299</v>
      </c>
      <c r="G141" s="45">
        <v>1399</v>
      </c>
      <c r="H141" s="45">
        <v>2499</v>
      </c>
      <c r="I141" s="45">
        <v>2499</v>
      </c>
      <c r="J141" s="45">
        <v>2199</v>
      </c>
      <c r="K141" s="45">
        <v>1999</v>
      </c>
      <c r="L141" s="45">
        <v>1999</v>
      </c>
      <c r="M141" s="45">
        <v>2199</v>
      </c>
      <c r="N141" s="45">
        <v>1999</v>
      </c>
      <c r="O141" s="45">
        <v>1899</v>
      </c>
      <c r="P141" s="46">
        <v>1799</v>
      </c>
      <c r="Q141" s="46">
        <v>1299</v>
      </c>
      <c r="R141" s="45">
        <v>1899</v>
      </c>
      <c r="S141" s="45">
        <v>1799</v>
      </c>
      <c r="T141" s="45">
        <v>1299</v>
      </c>
      <c r="U141" s="45">
        <v>1299</v>
      </c>
      <c r="V141" s="45">
        <v>1299</v>
      </c>
      <c r="W141" s="45">
        <v>1299</v>
      </c>
      <c r="X141" s="45">
        <v>1199</v>
      </c>
      <c r="Y141" s="45">
        <v>799</v>
      </c>
      <c r="Z141" s="45">
        <v>799</v>
      </c>
      <c r="AA141" s="45">
        <v>799</v>
      </c>
      <c r="AB141" s="45"/>
      <c r="AC141" s="45"/>
      <c r="AD141" s="45"/>
      <c r="AE141" s="45"/>
      <c r="AF141" s="45"/>
      <c r="AG141" s="45"/>
      <c r="AH141" s="45"/>
      <c r="AI141" s="45"/>
      <c r="AJ141" s="45"/>
      <c r="AK141" s="45"/>
      <c r="AL141" s="45"/>
      <c r="AM141" s="45"/>
      <c r="AN141" s="45"/>
      <c r="AO141" s="45"/>
      <c r="AP141" s="45"/>
      <c r="AQ141" s="45"/>
      <c r="AR141" s="45"/>
      <c r="AS141" s="45"/>
      <c r="AT141" s="45"/>
      <c r="AU141" s="45"/>
      <c r="AV141" s="47"/>
      <c r="AW141" s="48" t="s">
        <v>67</v>
      </c>
      <c r="AX141" s="49" t="s">
        <v>68</v>
      </c>
      <c r="AY141" s="50">
        <f t="shared" si="3"/>
        <v>50.479799999999997</v>
      </c>
      <c r="AZ141" s="50">
        <f t="shared" si="4"/>
        <v>45.4818</v>
      </c>
      <c r="BA141" s="51">
        <f t="shared" si="5"/>
        <v>25.739699999999999</v>
      </c>
    </row>
    <row r="142" spans="1:53" ht="22.5" customHeight="1">
      <c r="A142" s="41" t="s">
        <v>63</v>
      </c>
      <c r="B142" s="42" t="s">
        <v>64</v>
      </c>
      <c r="C142" s="43">
        <v>4016503</v>
      </c>
      <c r="D142" s="57" t="s">
        <v>241</v>
      </c>
      <c r="E142" s="56" t="s">
        <v>243</v>
      </c>
      <c r="F142" s="45">
        <v>3299</v>
      </c>
      <c r="G142" s="45">
        <v>1399</v>
      </c>
      <c r="H142" s="45">
        <v>2499</v>
      </c>
      <c r="I142" s="45">
        <v>2499</v>
      </c>
      <c r="J142" s="54">
        <v>1799</v>
      </c>
      <c r="K142" s="54">
        <v>1799</v>
      </c>
      <c r="L142" s="54">
        <v>1799</v>
      </c>
      <c r="M142" s="54">
        <v>1799</v>
      </c>
      <c r="N142" s="54">
        <v>1799</v>
      </c>
      <c r="O142" s="54">
        <v>1699</v>
      </c>
      <c r="P142" s="53">
        <v>1599</v>
      </c>
      <c r="Q142" s="53">
        <v>799</v>
      </c>
      <c r="R142" s="54">
        <v>1699</v>
      </c>
      <c r="S142" s="54">
        <v>1599</v>
      </c>
      <c r="T142" s="54">
        <v>799</v>
      </c>
      <c r="U142" s="54">
        <v>799</v>
      </c>
      <c r="V142" s="54">
        <v>799</v>
      </c>
      <c r="W142" s="54">
        <v>799</v>
      </c>
      <c r="X142" s="54">
        <v>799</v>
      </c>
      <c r="Y142" s="45">
        <v>799</v>
      </c>
      <c r="Z142" s="45">
        <v>799</v>
      </c>
      <c r="AA142" s="45">
        <v>799</v>
      </c>
      <c r="AB142" s="45"/>
      <c r="AC142" s="45"/>
      <c r="AD142" s="45"/>
      <c r="AE142" s="45"/>
      <c r="AF142" s="45"/>
      <c r="AG142" s="45"/>
      <c r="AH142" s="45"/>
      <c r="AI142" s="45"/>
      <c r="AJ142" s="45"/>
      <c r="AK142" s="45"/>
      <c r="AL142" s="45"/>
      <c r="AM142" s="45"/>
      <c r="AN142" s="45"/>
      <c r="AO142" s="45"/>
      <c r="AP142" s="45"/>
      <c r="AQ142" s="45"/>
      <c r="AR142" s="45"/>
      <c r="AS142" s="45"/>
      <c r="AT142" s="45"/>
      <c r="AU142" s="45"/>
      <c r="AV142" s="47"/>
      <c r="AW142" s="48" t="s">
        <v>67</v>
      </c>
      <c r="AX142" s="49" t="s">
        <v>68</v>
      </c>
      <c r="AY142" s="50">
        <f t="shared" ref="AY142:AY205" si="10">$H142*AY$11</f>
        <v>50.479799999999997</v>
      </c>
      <c r="AZ142" s="50">
        <f t="shared" ref="AZ142:AZ205" si="11">($H142*AZ$11)</f>
        <v>45.4818</v>
      </c>
      <c r="BA142" s="51">
        <f t="shared" ref="BA142:BA205" si="12">$H142*BA$11</f>
        <v>25.739699999999999</v>
      </c>
    </row>
    <row r="143" spans="1:53" ht="22.5" customHeight="1">
      <c r="A143" s="41" t="s">
        <v>63</v>
      </c>
      <c r="B143" s="42" t="s">
        <v>64</v>
      </c>
      <c r="C143" s="43">
        <v>4016505</v>
      </c>
      <c r="D143" s="57" t="s">
        <v>241</v>
      </c>
      <c r="E143" s="56" t="s">
        <v>244</v>
      </c>
      <c r="F143" s="45">
        <v>3299</v>
      </c>
      <c r="G143" s="45">
        <v>1399</v>
      </c>
      <c r="H143" s="45">
        <v>2499</v>
      </c>
      <c r="I143" s="45">
        <v>2499</v>
      </c>
      <c r="J143" s="54">
        <v>1799</v>
      </c>
      <c r="K143" s="54">
        <v>1799</v>
      </c>
      <c r="L143" s="54">
        <v>1799</v>
      </c>
      <c r="M143" s="54">
        <v>1799</v>
      </c>
      <c r="N143" s="54">
        <v>1799</v>
      </c>
      <c r="O143" s="54">
        <v>1699</v>
      </c>
      <c r="P143" s="53">
        <v>1599</v>
      </c>
      <c r="Q143" s="53">
        <v>799</v>
      </c>
      <c r="R143" s="54">
        <v>1699</v>
      </c>
      <c r="S143" s="54">
        <v>1599</v>
      </c>
      <c r="T143" s="54">
        <v>799</v>
      </c>
      <c r="U143" s="54">
        <v>799</v>
      </c>
      <c r="V143" s="54">
        <v>799</v>
      </c>
      <c r="W143" s="54">
        <v>799</v>
      </c>
      <c r="X143" s="54">
        <v>799</v>
      </c>
      <c r="Y143" s="45">
        <v>799</v>
      </c>
      <c r="Z143" s="45">
        <v>799</v>
      </c>
      <c r="AA143" s="45">
        <v>799</v>
      </c>
      <c r="AB143" s="45"/>
      <c r="AC143" s="45"/>
      <c r="AD143" s="45"/>
      <c r="AE143" s="45"/>
      <c r="AF143" s="45"/>
      <c r="AG143" s="45"/>
      <c r="AH143" s="45"/>
      <c r="AI143" s="45"/>
      <c r="AJ143" s="45"/>
      <c r="AK143" s="45"/>
      <c r="AL143" s="45"/>
      <c r="AM143" s="45"/>
      <c r="AN143" s="45"/>
      <c r="AO143" s="45"/>
      <c r="AP143" s="45"/>
      <c r="AQ143" s="45"/>
      <c r="AR143" s="45"/>
      <c r="AS143" s="45"/>
      <c r="AT143" s="45"/>
      <c r="AU143" s="45"/>
      <c r="AV143" s="47"/>
      <c r="AW143" s="48" t="s">
        <v>67</v>
      </c>
      <c r="AX143" s="49" t="s">
        <v>68</v>
      </c>
      <c r="AY143" s="50">
        <f t="shared" si="10"/>
        <v>50.479799999999997</v>
      </c>
      <c r="AZ143" s="50">
        <f t="shared" si="11"/>
        <v>45.4818</v>
      </c>
      <c r="BA143" s="51">
        <f t="shared" si="12"/>
        <v>25.739699999999999</v>
      </c>
    </row>
    <row r="144" spans="1:53" ht="22" customHeight="1">
      <c r="A144" s="41" t="s">
        <v>63</v>
      </c>
      <c r="B144" s="42" t="s">
        <v>64</v>
      </c>
      <c r="C144" s="43">
        <v>4016284</v>
      </c>
      <c r="D144" s="56" t="s">
        <v>245</v>
      </c>
      <c r="E144" s="56" t="s">
        <v>246</v>
      </c>
      <c r="F144" s="45">
        <v>2999</v>
      </c>
      <c r="G144" s="45">
        <v>1199</v>
      </c>
      <c r="H144" s="45">
        <v>2299</v>
      </c>
      <c r="I144" s="45">
        <v>2299</v>
      </c>
      <c r="J144" s="45">
        <v>1799</v>
      </c>
      <c r="K144" s="45">
        <v>1799</v>
      </c>
      <c r="L144" s="45">
        <v>1799</v>
      </c>
      <c r="M144" s="45">
        <v>1799</v>
      </c>
      <c r="N144" s="45">
        <v>1799</v>
      </c>
      <c r="O144" s="45">
        <v>1699</v>
      </c>
      <c r="P144" s="46">
        <v>1649</v>
      </c>
      <c r="Q144" s="46">
        <v>1299</v>
      </c>
      <c r="R144" s="45">
        <v>1699</v>
      </c>
      <c r="S144" s="45">
        <v>1649</v>
      </c>
      <c r="T144" s="45">
        <v>1299</v>
      </c>
      <c r="U144" s="45">
        <v>1299</v>
      </c>
      <c r="V144" s="45">
        <v>1299</v>
      </c>
      <c r="W144" s="45">
        <v>1299</v>
      </c>
      <c r="X144" s="45">
        <v>1199</v>
      </c>
      <c r="Y144" s="45">
        <v>1199</v>
      </c>
      <c r="Z144" s="45">
        <v>1199</v>
      </c>
      <c r="AA144" s="45">
        <v>1199</v>
      </c>
      <c r="AB144" s="45"/>
      <c r="AC144" s="45"/>
      <c r="AD144" s="45"/>
      <c r="AE144" s="45"/>
      <c r="AF144" s="45"/>
      <c r="AG144" s="45"/>
      <c r="AH144" s="45"/>
      <c r="AI144" s="45"/>
      <c r="AJ144" s="45"/>
      <c r="AK144" s="45"/>
      <c r="AL144" s="45"/>
      <c r="AM144" s="45"/>
      <c r="AN144" s="45"/>
      <c r="AO144" s="45"/>
      <c r="AP144" s="45"/>
      <c r="AQ144" s="45"/>
      <c r="AR144" s="45"/>
      <c r="AS144" s="45"/>
      <c r="AT144" s="45"/>
      <c r="AU144" s="45"/>
      <c r="AV144" s="47"/>
      <c r="AW144" s="48" t="s">
        <v>67</v>
      </c>
      <c r="AX144" s="49" t="s">
        <v>68</v>
      </c>
      <c r="AY144" s="50">
        <f t="shared" si="10"/>
        <v>46.439799999999998</v>
      </c>
      <c r="AZ144" s="50">
        <f t="shared" si="11"/>
        <v>41.841799999999999</v>
      </c>
      <c r="BA144" s="51">
        <f t="shared" si="12"/>
        <v>23.6797</v>
      </c>
    </row>
    <row r="145" spans="1:53" ht="22" customHeight="1">
      <c r="A145" s="41" t="s">
        <v>63</v>
      </c>
      <c r="B145" s="42" t="s">
        <v>64</v>
      </c>
      <c r="C145" s="43">
        <v>4016285</v>
      </c>
      <c r="D145" s="56" t="s">
        <v>245</v>
      </c>
      <c r="E145" s="56" t="s">
        <v>247</v>
      </c>
      <c r="F145" s="45">
        <v>2999</v>
      </c>
      <c r="G145" s="45">
        <v>1199</v>
      </c>
      <c r="H145" s="45">
        <v>2299</v>
      </c>
      <c r="I145" s="45">
        <v>2299</v>
      </c>
      <c r="J145" s="45">
        <v>1799</v>
      </c>
      <c r="K145" s="45">
        <v>1799</v>
      </c>
      <c r="L145" s="45">
        <v>1799</v>
      </c>
      <c r="M145" s="45">
        <v>1799</v>
      </c>
      <c r="N145" s="45">
        <v>1799</v>
      </c>
      <c r="O145" s="45">
        <v>1699</v>
      </c>
      <c r="P145" s="46">
        <v>1649</v>
      </c>
      <c r="Q145" s="46">
        <v>1299</v>
      </c>
      <c r="R145" s="45">
        <v>1699</v>
      </c>
      <c r="S145" s="45">
        <v>1649</v>
      </c>
      <c r="T145" s="45">
        <v>1299</v>
      </c>
      <c r="U145" s="45">
        <v>1299</v>
      </c>
      <c r="V145" s="45">
        <v>1299</v>
      </c>
      <c r="W145" s="45">
        <v>1299</v>
      </c>
      <c r="X145" s="45">
        <v>1199</v>
      </c>
      <c r="Y145" s="45">
        <v>1199</v>
      </c>
      <c r="Z145" s="45">
        <v>1199</v>
      </c>
      <c r="AA145" s="45">
        <v>1199</v>
      </c>
      <c r="AB145" s="45"/>
      <c r="AC145" s="45"/>
      <c r="AD145" s="45"/>
      <c r="AE145" s="45"/>
      <c r="AF145" s="45"/>
      <c r="AG145" s="45"/>
      <c r="AH145" s="45"/>
      <c r="AI145" s="45"/>
      <c r="AJ145" s="45"/>
      <c r="AK145" s="45"/>
      <c r="AL145" s="45"/>
      <c r="AM145" s="45"/>
      <c r="AN145" s="45"/>
      <c r="AO145" s="45"/>
      <c r="AP145" s="45"/>
      <c r="AQ145" s="45"/>
      <c r="AR145" s="45"/>
      <c r="AS145" s="45"/>
      <c r="AT145" s="45"/>
      <c r="AU145" s="45"/>
      <c r="AV145" s="47"/>
      <c r="AW145" s="48" t="s">
        <v>67</v>
      </c>
      <c r="AX145" s="49" t="s">
        <v>68</v>
      </c>
      <c r="AY145" s="50">
        <f t="shared" si="10"/>
        <v>46.439799999999998</v>
      </c>
      <c r="AZ145" s="50">
        <f t="shared" si="11"/>
        <v>41.841799999999999</v>
      </c>
      <c r="BA145" s="51">
        <f t="shared" si="12"/>
        <v>23.6797</v>
      </c>
    </row>
    <row r="146" spans="1:53" ht="22" customHeight="1">
      <c r="A146" s="41" t="s">
        <v>63</v>
      </c>
      <c r="B146" s="42" t="s">
        <v>64</v>
      </c>
      <c r="C146" s="43">
        <v>4016922</v>
      </c>
      <c r="D146" s="57" t="s">
        <v>248</v>
      </c>
      <c r="E146" s="56" t="s">
        <v>249</v>
      </c>
      <c r="F146" s="45">
        <v>2999</v>
      </c>
      <c r="G146" s="46">
        <v>1499</v>
      </c>
      <c r="H146" s="46">
        <v>2499</v>
      </c>
      <c r="I146" s="46">
        <v>2499</v>
      </c>
      <c r="J146" s="53">
        <v>1999</v>
      </c>
      <c r="K146" s="53">
        <v>1999</v>
      </c>
      <c r="L146" s="53">
        <v>1999</v>
      </c>
      <c r="M146" s="53">
        <v>1999</v>
      </c>
      <c r="N146" s="53">
        <v>1999</v>
      </c>
      <c r="O146" s="53">
        <v>1899</v>
      </c>
      <c r="P146" s="53">
        <v>1799</v>
      </c>
      <c r="Q146" s="53">
        <v>999</v>
      </c>
      <c r="R146" s="53">
        <v>1899</v>
      </c>
      <c r="S146" s="53">
        <v>1799</v>
      </c>
      <c r="T146" s="53">
        <v>999</v>
      </c>
      <c r="U146" s="53">
        <v>999</v>
      </c>
      <c r="V146" s="53">
        <v>999</v>
      </c>
      <c r="W146" s="53">
        <v>999</v>
      </c>
      <c r="X146" s="53">
        <v>999</v>
      </c>
      <c r="Y146" s="53">
        <v>999</v>
      </c>
      <c r="Z146" s="53">
        <v>999</v>
      </c>
      <c r="AA146" s="53">
        <v>999</v>
      </c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45"/>
      <c r="AN146" s="45"/>
      <c r="AO146" s="45"/>
      <c r="AP146" s="45"/>
      <c r="AQ146" s="45"/>
      <c r="AR146" s="45"/>
      <c r="AS146" s="45"/>
      <c r="AT146" s="45"/>
      <c r="AU146" s="45"/>
      <c r="AV146" s="47"/>
      <c r="AW146" s="48" t="s">
        <v>67</v>
      </c>
      <c r="AX146" s="49" t="s">
        <v>68</v>
      </c>
      <c r="AY146" s="50">
        <f t="shared" si="10"/>
        <v>50.479799999999997</v>
      </c>
      <c r="AZ146" s="50">
        <f t="shared" si="11"/>
        <v>45.4818</v>
      </c>
      <c r="BA146" s="51">
        <f t="shared" si="12"/>
        <v>25.739699999999999</v>
      </c>
    </row>
    <row r="147" spans="1:53" ht="22" customHeight="1">
      <c r="A147" s="41" t="s">
        <v>63</v>
      </c>
      <c r="B147" s="42" t="s">
        <v>64</v>
      </c>
      <c r="C147" s="43">
        <v>4016923</v>
      </c>
      <c r="D147" s="57" t="s">
        <v>248</v>
      </c>
      <c r="E147" s="56" t="s">
        <v>250</v>
      </c>
      <c r="F147" s="45">
        <v>2999</v>
      </c>
      <c r="G147" s="46">
        <v>1499</v>
      </c>
      <c r="H147" s="46">
        <v>2499</v>
      </c>
      <c r="I147" s="46">
        <v>2499</v>
      </c>
      <c r="J147" s="53">
        <v>1999</v>
      </c>
      <c r="K147" s="53">
        <v>1999</v>
      </c>
      <c r="L147" s="53">
        <v>1999</v>
      </c>
      <c r="M147" s="53">
        <v>1999</v>
      </c>
      <c r="N147" s="53">
        <v>1999</v>
      </c>
      <c r="O147" s="53">
        <v>1899</v>
      </c>
      <c r="P147" s="53">
        <v>1799</v>
      </c>
      <c r="Q147" s="53">
        <v>999</v>
      </c>
      <c r="R147" s="53">
        <v>1899</v>
      </c>
      <c r="S147" s="53">
        <v>1799</v>
      </c>
      <c r="T147" s="53">
        <v>999</v>
      </c>
      <c r="U147" s="53">
        <v>999</v>
      </c>
      <c r="V147" s="53">
        <v>999</v>
      </c>
      <c r="W147" s="53">
        <v>999</v>
      </c>
      <c r="X147" s="53">
        <v>999</v>
      </c>
      <c r="Y147" s="53">
        <v>999</v>
      </c>
      <c r="Z147" s="53">
        <v>999</v>
      </c>
      <c r="AA147" s="53">
        <v>999</v>
      </c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45"/>
      <c r="AN147" s="45"/>
      <c r="AO147" s="45"/>
      <c r="AP147" s="45"/>
      <c r="AQ147" s="45"/>
      <c r="AR147" s="45"/>
      <c r="AS147" s="45"/>
      <c r="AT147" s="45"/>
      <c r="AU147" s="45"/>
      <c r="AV147" s="47"/>
      <c r="AW147" s="48" t="s">
        <v>67</v>
      </c>
      <c r="AX147" s="49" t="s">
        <v>68</v>
      </c>
      <c r="AY147" s="50">
        <f t="shared" si="10"/>
        <v>50.479799999999997</v>
      </c>
      <c r="AZ147" s="50">
        <f t="shared" si="11"/>
        <v>45.4818</v>
      </c>
      <c r="BA147" s="51">
        <f t="shared" si="12"/>
        <v>25.739699999999999</v>
      </c>
    </row>
    <row r="148" spans="1:53" ht="22" customHeight="1">
      <c r="A148" s="41" t="s">
        <v>63</v>
      </c>
      <c r="B148" s="42" t="s">
        <v>64</v>
      </c>
      <c r="C148" s="43">
        <v>4017420</v>
      </c>
      <c r="D148" s="57" t="s">
        <v>251</v>
      </c>
      <c r="E148" s="56" t="s">
        <v>252</v>
      </c>
      <c r="F148" s="45">
        <v>3999</v>
      </c>
      <c r="G148" s="45">
        <v>2799</v>
      </c>
      <c r="H148" s="45">
        <v>2799</v>
      </c>
      <c r="I148" s="45">
        <v>2799</v>
      </c>
      <c r="J148" s="45">
        <v>2699</v>
      </c>
      <c r="K148" s="45">
        <v>2699</v>
      </c>
      <c r="L148" s="45">
        <v>2699</v>
      </c>
      <c r="M148" s="45">
        <v>2699</v>
      </c>
      <c r="N148" s="45">
        <v>2699</v>
      </c>
      <c r="O148" s="45">
        <v>2599</v>
      </c>
      <c r="P148" s="46">
        <v>2499</v>
      </c>
      <c r="Q148" s="53">
        <v>1499</v>
      </c>
      <c r="R148" s="45">
        <v>2599</v>
      </c>
      <c r="S148" s="45">
        <v>2499</v>
      </c>
      <c r="T148" s="54">
        <v>1499</v>
      </c>
      <c r="U148" s="54">
        <v>1499</v>
      </c>
      <c r="V148" s="54">
        <v>1499</v>
      </c>
      <c r="W148" s="54">
        <v>1499</v>
      </c>
      <c r="X148" s="54">
        <v>1399</v>
      </c>
      <c r="Y148" s="54">
        <v>1199</v>
      </c>
      <c r="Z148" s="54">
        <v>1199</v>
      </c>
      <c r="AA148" s="54">
        <v>999</v>
      </c>
      <c r="AB148" s="45">
        <v>2699</v>
      </c>
      <c r="AC148" s="45">
        <v>2699</v>
      </c>
      <c r="AD148" s="45">
        <v>2699</v>
      </c>
      <c r="AE148" s="45">
        <v>2599</v>
      </c>
      <c r="AF148" s="45">
        <v>2499</v>
      </c>
      <c r="AG148" s="45">
        <v>2499</v>
      </c>
      <c r="AH148" s="54">
        <v>1499</v>
      </c>
      <c r="AI148" s="54">
        <v>1499</v>
      </c>
      <c r="AJ148" s="54">
        <v>1499</v>
      </c>
      <c r="AK148" s="54">
        <v>1499</v>
      </c>
      <c r="AL148" s="54">
        <v>1199</v>
      </c>
      <c r="AM148" s="45"/>
      <c r="AN148" s="45"/>
      <c r="AO148" s="45"/>
      <c r="AP148" s="45"/>
      <c r="AQ148" s="45"/>
      <c r="AR148" s="45"/>
      <c r="AS148" s="45"/>
      <c r="AT148" s="45"/>
      <c r="AU148" s="45"/>
      <c r="AV148" s="47"/>
      <c r="AW148" s="48" t="s">
        <v>67</v>
      </c>
      <c r="AX148" s="49" t="s">
        <v>68</v>
      </c>
      <c r="AY148" s="50">
        <f t="shared" si="10"/>
        <v>56.5398</v>
      </c>
      <c r="AZ148" s="50">
        <f t="shared" si="11"/>
        <v>50.941800000000001</v>
      </c>
      <c r="BA148" s="51">
        <f t="shared" si="12"/>
        <v>28.829699999999999</v>
      </c>
    </row>
    <row r="149" spans="1:53" ht="22" customHeight="1">
      <c r="A149" s="41" t="s">
        <v>63</v>
      </c>
      <c r="B149" s="42" t="s">
        <v>64</v>
      </c>
      <c r="C149" s="43">
        <v>4017415</v>
      </c>
      <c r="D149" s="57" t="s">
        <v>251</v>
      </c>
      <c r="E149" s="56" t="s">
        <v>253</v>
      </c>
      <c r="F149" s="45">
        <v>3999</v>
      </c>
      <c r="G149" s="45">
        <v>2799</v>
      </c>
      <c r="H149" s="45">
        <v>2799</v>
      </c>
      <c r="I149" s="45">
        <v>2799</v>
      </c>
      <c r="J149" s="45">
        <v>2699</v>
      </c>
      <c r="K149" s="45">
        <v>2699</v>
      </c>
      <c r="L149" s="45">
        <v>2699</v>
      </c>
      <c r="M149" s="45">
        <v>2699</v>
      </c>
      <c r="N149" s="45">
        <v>2699</v>
      </c>
      <c r="O149" s="45">
        <v>2599</v>
      </c>
      <c r="P149" s="46">
        <v>2499</v>
      </c>
      <c r="Q149" s="53">
        <v>1499</v>
      </c>
      <c r="R149" s="45">
        <v>2599</v>
      </c>
      <c r="S149" s="45">
        <v>2499</v>
      </c>
      <c r="T149" s="54">
        <v>1499</v>
      </c>
      <c r="U149" s="54">
        <v>1499</v>
      </c>
      <c r="V149" s="54">
        <v>1499</v>
      </c>
      <c r="W149" s="54">
        <v>1499</v>
      </c>
      <c r="X149" s="54">
        <v>1399</v>
      </c>
      <c r="Y149" s="54">
        <v>1199</v>
      </c>
      <c r="Z149" s="54">
        <v>1199</v>
      </c>
      <c r="AA149" s="54">
        <v>999</v>
      </c>
      <c r="AB149" s="45">
        <v>2699</v>
      </c>
      <c r="AC149" s="45">
        <v>2699</v>
      </c>
      <c r="AD149" s="45">
        <v>2699</v>
      </c>
      <c r="AE149" s="45">
        <v>2599</v>
      </c>
      <c r="AF149" s="45">
        <v>2499</v>
      </c>
      <c r="AG149" s="45">
        <v>2499</v>
      </c>
      <c r="AH149" s="54">
        <v>1499</v>
      </c>
      <c r="AI149" s="54">
        <v>1499</v>
      </c>
      <c r="AJ149" s="54">
        <v>1499</v>
      </c>
      <c r="AK149" s="54">
        <v>1499</v>
      </c>
      <c r="AL149" s="54">
        <v>1199</v>
      </c>
      <c r="AM149" s="45"/>
      <c r="AN149" s="45"/>
      <c r="AO149" s="45"/>
      <c r="AP149" s="45"/>
      <c r="AQ149" s="45"/>
      <c r="AR149" s="45"/>
      <c r="AS149" s="45"/>
      <c r="AT149" s="45"/>
      <c r="AU149" s="45"/>
      <c r="AV149" s="47"/>
      <c r="AW149" s="48" t="s">
        <v>67</v>
      </c>
      <c r="AX149" s="49" t="s">
        <v>68</v>
      </c>
      <c r="AY149" s="50">
        <f t="shared" si="10"/>
        <v>56.5398</v>
      </c>
      <c r="AZ149" s="50">
        <f t="shared" si="11"/>
        <v>50.941800000000001</v>
      </c>
      <c r="BA149" s="51">
        <f t="shared" si="12"/>
        <v>28.829699999999999</v>
      </c>
    </row>
    <row r="150" spans="1:53" ht="22" customHeight="1">
      <c r="A150" s="41" t="s">
        <v>63</v>
      </c>
      <c r="B150" s="42" t="s">
        <v>64</v>
      </c>
      <c r="C150" s="43">
        <v>4017041</v>
      </c>
      <c r="D150" s="57" t="s">
        <v>254</v>
      </c>
      <c r="E150" s="56" t="s">
        <v>255</v>
      </c>
      <c r="F150" s="45">
        <v>4999</v>
      </c>
      <c r="G150" s="45">
        <v>2599</v>
      </c>
      <c r="H150" s="45">
        <v>3759</v>
      </c>
      <c r="I150" s="45">
        <v>3759</v>
      </c>
      <c r="J150" s="54">
        <v>2999</v>
      </c>
      <c r="K150" s="54">
        <v>2999</v>
      </c>
      <c r="L150" s="54">
        <v>2999</v>
      </c>
      <c r="M150" s="54">
        <v>2999</v>
      </c>
      <c r="N150" s="54">
        <v>2999</v>
      </c>
      <c r="O150" s="54">
        <v>2899</v>
      </c>
      <c r="P150" s="53">
        <v>2799</v>
      </c>
      <c r="Q150" s="53">
        <v>1499</v>
      </c>
      <c r="R150" s="54">
        <v>2899</v>
      </c>
      <c r="S150" s="54">
        <v>2799</v>
      </c>
      <c r="T150" s="54">
        <v>1499</v>
      </c>
      <c r="U150" s="54">
        <v>1499</v>
      </c>
      <c r="V150" s="54">
        <v>1499</v>
      </c>
      <c r="W150" s="54">
        <v>1499</v>
      </c>
      <c r="X150" s="54">
        <v>1499</v>
      </c>
      <c r="Y150" s="54">
        <v>1499</v>
      </c>
      <c r="Z150" s="54">
        <v>1499</v>
      </c>
      <c r="AA150" s="54">
        <v>1499</v>
      </c>
      <c r="AB150" s="45"/>
      <c r="AC150" s="45"/>
      <c r="AD150" s="45"/>
      <c r="AE150" s="45"/>
      <c r="AF150" s="45"/>
      <c r="AG150" s="45"/>
      <c r="AH150" s="45"/>
      <c r="AI150" s="45"/>
      <c r="AJ150" s="45"/>
      <c r="AK150" s="45"/>
      <c r="AL150" s="45"/>
      <c r="AM150" s="45"/>
      <c r="AN150" s="45"/>
      <c r="AO150" s="45"/>
      <c r="AP150" s="45"/>
      <c r="AQ150" s="45"/>
      <c r="AR150" s="45"/>
      <c r="AS150" s="45"/>
      <c r="AT150" s="45"/>
      <c r="AU150" s="45"/>
      <c r="AV150" s="47"/>
      <c r="AW150" s="48" t="s">
        <v>67</v>
      </c>
      <c r="AX150" s="49" t="s">
        <v>68</v>
      </c>
      <c r="AY150" s="50">
        <f t="shared" si="10"/>
        <v>75.931799999999996</v>
      </c>
      <c r="AZ150" s="50">
        <f t="shared" si="11"/>
        <v>68.413800000000009</v>
      </c>
      <c r="BA150" s="51">
        <f t="shared" si="12"/>
        <v>38.717700000000001</v>
      </c>
    </row>
    <row r="151" spans="1:53" ht="22" customHeight="1">
      <c r="A151" s="41" t="s">
        <v>63</v>
      </c>
      <c r="B151" s="42" t="s">
        <v>64</v>
      </c>
      <c r="C151" s="43">
        <v>4017646</v>
      </c>
      <c r="D151" s="57" t="s">
        <v>256</v>
      </c>
      <c r="E151" s="56" t="s">
        <v>257</v>
      </c>
      <c r="F151" s="45">
        <v>4999</v>
      </c>
      <c r="G151" s="45">
        <v>3199</v>
      </c>
      <c r="H151" s="45">
        <v>4999</v>
      </c>
      <c r="I151" s="45">
        <v>4999</v>
      </c>
      <c r="J151" s="45">
        <v>4899</v>
      </c>
      <c r="K151" s="45">
        <v>4899</v>
      </c>
      <c r="L151" s="45">
        <v>4899</v>
      </c>
      <c r="M151" s="45">
        <v>4899</v>
      </c>
      <c r="N151" s="45">
        <v>4899</v>
      </c>
      <c r="O151" s="45">
        <v>4799</v>
      </c>
      <c r="P151" s="46">
        <v>4699</v>
      </c>
      <c r="Q151" s="46">
        <v>3999</v>
      </c>
      <c r="R151" s="45">
        <v>4799</v>
      </c>
      <c r="S151" s="45">
        <v>4699</v>
      </c>
      <c r="T151" s="45">
        <v>3999</v>
      </c>
      <c r="U151" s="45">
        <v>3999</v>
      </c>
      <c r="V151" s="45">
        <v>3999</v>
      </c>
      <c r="W151" s="45">
        <v>3999</v>
      </c>
      <c r="X151" s="45">
        <v>3899</v>
      </c>
      <c r="Y151" s="45">
        <v>2499</v>
      </c>
      <c r="Z151" s="45">
        <v>2499</v>
      </c>
      <c r="AA151" s="54">
        <v>2499</v>
      </c>
      <c r="AB151" s="45">
        <v>4899</v>
      </c>
      <c r="AC151" s="45">
        <v>4899</v>
      </c>
      <c r="AD151" s="45">
        <v>4899</v>
      </c>
      <c r="AE151" s="45">
        <v>4799</v>
      </c>
      <c r="AF151" s="45">
        <v>4699</v>
      </c>
      <c r="AG151" s="45">
        <v>4699</v>
      </c>
      <c r="AH151" s="45">
        <v>3999</v>
      </c>
      <c r="AI151" s="45">
        <v>3999</v>
      </c>
      <c r="AJ151" s="45">
        <v>3999</v>
      </c>
      <c r="AK151" s="45">
        <v>3999</v>
      </c>
      <c r="AL151" s="45">
        <v>2499</v>
      </c>
      <c r="AM151" s="45"/>
      <c r="AN151" s="45"/>
      <c r="AO151" s="45"/>
      <c r="AP151" s="45"/>
      <c r="AQ151" s="45"/>
      <c r="AR151" s="45"/>
      <c r="AS151" s="45"/>
      <c r="AT151" s="45"/>
      <c r="AU151" s="45"/>
      <c r="AV151" s="47"/>
      <c r="AW151" s="48" t="s">
        <v>67</v>
      </c>
      <c r="AX151" s="49" t="s">
        <v>68</v>
      </c>
      <c r="AY151" s="50">
        <f t="shared" si="10"/>
        <v>100.9798</v>
      </c>
      <c r="AZ151" s="50">
        <f t="shared" si="11"/>
        <v>90.981800000000007</v>
      </c>
      <c r="BA151" s="51">
        <f t="shared" si="12"/>
        <v>51.489699999999999</v>
      </c>
    </row>
    <row r="152" spans="1:53" ht="22" customHeight="1">
      <c r="A152" s="41" t="s">
        <v>63</v>
      </c>
      <c r="B152" s="42" t="s">
        <v>64</v>
      </c>
      <c r="C152" s="43">
        <v>4017644</v>
      </c>
      <c r="D152" s="57" t="s">
        <v>256</v>
      </c>
      <c r="E152" s="56" t="s">
        <v>258</v>
      </c>
      <c r="F152" s="45">
        <v>4999</v>
      </c>
      <c r="G152" s="45">
        <v>3199</v>
      </c>
      <c r="H152" s="45">
        <v>4999</v>
      </c>
      <c r="I152" s="45">
        <v>4999</v>
      </c>
      <c r="J152" s="45">
        <v>4899</v>
      </c>
      <c r="K152" s="45">
        <v>4899</v>
      </c>
      <c r="L152" s="45">
        <v>4899</v>
      </c>
      <c r="M152" s="45">
        <v>4899</v>
      </c>
      <c r="N152" s="45">
        <v>4899</v>
      </c>
      <c r="O152" s="45">
        <v>4799</v>
      </c>
      <c r="P152" s="46">
        <v>4699</v>
      </c>
      <c r="Q152" s="46">
        <v>3999</v>
      </c>
      <c r="R152" s="45">
        <v>4799</v>
      </c>
      <c r="S152" s="45">
        <v>4699</v>
      </c>
      <c r="T152" s="45">
        <v>3999</v>
      </c>
      <c r="U152" s="45">
        <v>3999</v>
      </c>
      <c r="V152" s="45">
        <v>3999</v>
      </c>
      <c r="W152" s="45">
        <v>3999</v>
      </c>
      <c r="X152" s="45">
        <v>3899</v>
      </c>
      <c r="Y152" s="45">
        <v>2499</v>
      </c>
      <c r="Z152" s="45">
        <v>2499</v>
      </c>
      <c r="AA152" s="54">
        <v>2499</v>
      </c>
      <c r="AB152" s="45">
        <v>4899</v>
      </c>
      <c r="AC152" s="45">
        <v>4899</v>
      </c>
      <c r="AD152" s="45">
        <v>4899</v>
      </c>
      <c r="AE152" s="45">
        <v>4799</v>
      </c>
      <c r="AF152" s="45">
        <v>4699</v>
      </c>
      <c r="AG152" s="45">
        <v>4699</v>
      </c>
      <c r="AH152" s="45">
        <v>3999</v>
      </c>
      <c r="AI152" s="45">
        <v>3999</v>
      </c>
      <c r="AJ152" s="45">
        <v>3999</v>
      </c>
      <c r="AK152" s="45">
        <v>3999</v>
      </c>
      <c r="AL152" s="45">
        <v>2499</v>
      </c>
      <c r="AM152" s="45"/>
      <c r="AN152" s="45"/>
      <c r="AO152" s="45"/>
      <c r="AP152" s="45"/>
      <c r="AQ152" s="45"/>
      <c r="AR152" s="45"/>
      <c r="AS152" s="45"/>
      <c r="AT152" s="45"/>
      <c r="AU152" s="45"/>
      <c r="AV152" s="47"/>
      <c r="AW152" s="48" t="s">
        <v>67</v>
      </c>
      <c r="AX152" s="49" t="s">
        <v>68</v>
      </c>
      <c r="AY152" s="50">
        <f t="shared" si="10"/>
        <v>100.9798</v>
      </c>
      <c r="AZ152" s="50">
        <f t="shared" si="11"/>
        <v>90.981800000000007</v>
      </c>
      <c r="BA152" s="51">
        <f t="shared" si="12"/>
        <v>51.489699999999999</v>
      </c>
    </row>
    <row r="153" spans="1:53" ht="22" customHeight="1">
      <c r="A153" s="41" t="s">
        <v>63</v>
      </c>
      <c r="B153" s="42" t="s">
        <v>64</v>
      </c>
      <c r="C153" s="43">
        <v>4017666</v>
      </c>
      <c r="D153" s="57" t="s">
        <v>259</v>
      </c>
      <c r="E153" s="56" t="s">
        <v>260</v>
      </c>
      <c r="F153" s="45">
        <v>5999</v>
      </c>
      <c r="G153" s="45">
        <v>4399</v>
      </c>
      <c r="H153" s="45">
        <v>4999</v>
      </c>
      <c r="I153" s="45">
        <v>4999</v>
      </c>
      <c r="J153" s="45">
        <v>4899</v>
      </c>
      <c r="K153" s="45">
        <v>4899</v>
      </c>
      <c r="L153" s="45">
        <v>4899</v>
      </c>
      <c r="M153" s="45">
        <v>4899</v>
      </c>
      <c r="N153" s="45">
        <v>4899</v>
      </c>
      <c r="O153" s="45">
        <v>4799</v>
      </c>
      <c r="P153" s="46">
        <v>4699</v>
      </c>
      <c r="Q153" s="46">
        <v>3999</v>
      </c>
      <c r="R153" s="45">
        <v>4799</v>
      </c>
      <c r="S153" s="45">
        <v>4699</v>
      </c>
      <c r="T153" s="45">
        <v>3999</v>
      </c>
      <c r="U153" s="45">
        <v>3999</v>
      </c>
      <c r="V153" s="45">
        <v>3999</v>
      </c>
      <c r="W153" s="45">
        <v>3999</v>
      </c>
      <c r="X153" s="45">
        <v>3899</v>
      </c>
      <c r="Y153" s="45">
        <v>2499</v>
      </c>
      <c r="Z153" s="45">
        <v>2499</v>
      </c>
      <c r="AA153" s="54">
        <v>2499</v>
      </c>
      <c r="AB153" s="45"/>
      <c r="AC153" s="45"/>
      <c r="AD153" s="45"/>
      <c r="AE153" s="45"/>
      <c r="AF153" s="45"/>
      <c r="AG153" s="45"/>
      <c r="AH153" s="45"/>
      <c r="AI153" s="45"/>
      <c r="AJ153" s="45"/>
      <c r="AK153" s="45"/>
      <c r="AL153" s="45"/>
      <c r="AM153" s="45"/>
      <c r="AN153" s="45"/>
      <c r="AO153" s="45"/>
      <c r="AP153" s="45"/>
      <c r="AQ153" s="45"/>
      <c r="AR153" s="45"/>
      <c r="AS153" s="45"/>
      <c r="AT153" s="45"/>
      <c r="AU153" s="45"/>
      <c r="AV153" s="47"/>
      <c r="AW153" s="48" t="s">
        <v>67</v>
      </c>
      <c r="AX153" s="49" t="s">
        <v>68</v>
      </c>
      <c r="AY153" s="50">
        <f t="shared" si="10"/>
        <v>100.9798</v>
      </c>
      <c r="AZ153" s="50">
        <f t="shared" si="11"/>
        <v>90.981800000000007</v>
      </c>
      <c r="BA153" s="51">
        <f t="shared" si="12"/>
        <v>51.489699999999999</v>
      </c>
    </row>
    <row r="154" spans="1:53" ht="22.5" customHeight="1">
      <c r="A154" s="55" t="s">
        <v>222</v>
      </c>
      <c r="B154" s="42" t="s">
        <v>64</v>
      </c>
      <c r="C154" s="43">
        <v>4014667</v>
      </c>
      <c r="D154" s="56" t="s">
        <v>261</v>
      </c>
      <c r="E154" s="56" t="s">
        <v>262</v>
      </c>
      <c r="F154" s="45">
        <v>899</v>
      </c>
      <c r="G154" s="45">
        <v>499</v>
      </c>
      <c r="H154" s="45">
        <v>499</v>
      </c>
      <c r="I154" s="45">
        <v>499</v>
      </c>
      <c r="J154" s="45">
        <f t="shared" si="6"/>
        <v>399</v>
      </c>
      <c r="K154" s="45">
        <f t="shared" si="7"/>
        <v>399</v>
      </c>
      <c r="L154" s="45">
        <f t="shared" si="7"/>
        <v>399</v>
      </c>
      <c r="M154" s="45">
        <v>399</v>
      </c>
      <c r="N154" s="45">
        <v>399</v>
      </c>
      <c r="O154" s="45">
        <f t="shared" ref="O154:Q157" si="13">R154</f>
        <v>349</v>
      </c>
      <c r="P154" s="46">
        <f t="shared" si="13"/>
        <v>299</v>
      </c>
      <c r="Q154" s="46">
        <f t="shared" si="13"/>
        <v>299</v>
      </c>
      <c r="R154" s="45">
        <v>349</v>
      </c>
      <c r="S154" s="45">
        <v>299</v>
      </c>
      <c r="T154" s="45">
        <v>299</v>
      </c>
      <c r="U154" s="45">
        <v>299</v>
      </c>
      <c r="V154" s="45">
        <v>299</v>
      </c>
      <c r="W154" s="45">
        <v>299</v>
      </c>
      <c r="X154" s="45">
        <v>299</v>
      </c>
      <c r="Y154" s="45">
        <v>299</v>
      </c>
      <c r="Z154" s="45">
        <v>299</v>
      </c>
      <c r="AA154" s="45">
        <v>299</v>
      </c>
      <c r="AB154" s="45"/>
      <c r="AC154" s="45"/>
      <c r="AD154" s="45"/>
      <c r="AE154" s="45"/>
      <c r="AF154" s="45"/>
      <c r="AG154" s="45"/>
      <c r="AH154" s="45"/>
      <c r="AI154" s="45"/>
      <c r="AJ154" s="45"/>
      <c r="AK154" s="45"/>
      <c r="AL154" s="45"/>
      <c r="AM154" s="45"/>
      <c r="AN154" s="45"/>
      <c r="AO154" s="45"/>
      <c r="AP154" s="45"/>
      <c r="AQ154" s="45"/>
      <c r="AR154" s="45"/>
      <c r="AS154" s="45"/>
      <c r="AT154" s="45"/>
      <c r="AU154" s="45"/>
      <c r="AV154" s="47"/>
      <c r="AW154" s="48" t="s">
        <v>67</v>
      </c>
      <c r="AX154" s="49" t="s">
        <v>230</v>
      </c>
      <c r="AY154" s="50">
        <f t="shared" si="10"/>
        <v>10.079799999999999</v>
      </c>
      <c r="AZ154" s="50">
        <f t="shared" si="11"/>
        <v>9.0818000000000012</v>
      </c>
      <c r="BA154" s="51">
        <f t="shared" si="12"/>
        <v>5.1397000000000004</v>
      </c>
    </row>
    <row r="155" spans="1:53" ht="22.5" customHeight="1">
      <c r="A155" s="55" t="s">
        <v>222</v>
      </c>
      <c r="B155" s="42" t="s">
        <v>64</v>
      </c>
      <c r="C155" s="43">
        <v>4014668</v>
      </c>
      <c r="D155" s="56" t="s">
        <v>261</v>
      </c>
      <c r="E155" s="56" t="s">
        <v>263</v>
      </c>
      <c r="F155" s="45">
        <v>899</v>
      </c>
      <c r="G155" s="45">
        <v>499</v>
      </c>
      <c r="H155" s="45">
        <v>499</v>
      </c>
      <c r="I155" s="45">
        <v>499</v>
      </c>
      <c r="J155" s="45">
        <f t="shared" si="6"/>
        <v>399</v>
      </c>
      <c r="K155" s="45">
        <f t="shared" si="7"/>
        <v>399</v>
      </c>
      <c r="L155" s="45">
        <f t="shared" si="7"/>
        <v>399</v>
      </c>
      <c r="M155" s="45">
        <v>399</v>
      </c>
      <c r="N155" s="45">
        <v>399</v>
      </c>
      <c r="O155" s="45">
        <f t="shared" si="13"/>
        <v>349</v>
      </c>
      <c r="P155" s="46">
        <f t="shared" si="13"/>
        <v>299</v>
      </c>
      <c r="Q155" s="46">
        <f t="shared" si="13"/>
        <v>299</v>
      </c>
      <c r="R155" s="45">
        <v>349</v>
      </c>
      <c r="S155" s="45">
        <v>299</v>
      </c>
      <c r="T155" s="45">
        <v>299</v>
      </c>
      <c r="U155" s="45">
        <v>299</v>
      </c>
      <c r="V155" s="45">
        <v>299</v>
      </c>
      <c r="W155" s="45">
        <v>299</v>
      </c>
      <c r="X155" s="45">
        <v>299</v>
      </c>
      <c r="Y155" s="45">
        <v>299</v>
      </c>
      <c r="Z155" s="45">
        <v>299</v>
      </c>
      <c r="AA155" s="45">
        <v>299</v>
      </c>
      <c r="AB155" s="45"/>
      <c r="AC155" s="45"/>
      <c r="AD155" s="45"/>
      <c r="AE155" s="45"/>
      <c r="AF155" s="45"/>
      <c r="AG155" s="45"/>
      <c r="AH155" s="45"/>
      <c r="AI155" s="45"/>
      <c r="AJ155" s="45"/>
      <c r="AK155" s="45"/>
      <c r="AL155" s="45"/>
      <c r="AM155" s="45"/>
      <c r="AN155" s="45"/>
      <c r="AO155" s="45"/>
      <c r="AP155" s="45"/>
      <c r="AQ155" s="45"/>
      <c r="AR155" s="45"/>
      <c r="AS155" s="45"/>
      <c r="AT155" s="45"/>
      <c r="AU155" s="45"/>
      <c r="AV155" s="47"/>
      <c r="AW155" s="48" t="s">
        <v>67</v>
      </c>
      <c r="AX155" s="49" t="s">
        <v>230</v>
      </c>
      <c r="AY155" s="50">
        <f t="shared" si="10"/>
        <v>10.079799999999999</v>
      </c>
      <c r="AZ155" s="50">
        <f t="shared" si="11"/>
        <v>9.0818000000000012</v>
      </c>
      <c r="BA155" s="51">
        <f t="shared" si="12"/>
        <v>5.1397000000000004</v>
      </c>
    </row>
    <row r="156" spans="1:53" ht="22.5" customHeight="1">
      <c r="A156" s="55" t="s">
        <v>222</v>
      </c>
      <c r="B156" s="42" t="s">
        <v>64</v>
      </c>
      <c r="C156" s="43">
        <v>4016017</v>
      </c>
      <c r="D156" s="44" t="s">
        <v>264</v>
      </c>
      <c r="E156" s="44" t="s">
        <v>265</v>
      </c>
      <c r="F156" s="45">
        <v>899</v>
      </c>
      <c r="G156" s="45">
        <v>799</v>
      </c>
      <c r="H156" s="45">
        <v>799</v>
      </c>
      <c r="I156" s="45">
        <v>799</v>
      </c>
      <c r="J156" s="45">
        <f t="shared" si="6"/>
        <v>699</v>
      </c>
      <c r="K156" s="45">
        <f t="shared" si="7"/>
        <v>699</v>
      </c>
      <c r="L156" s="45">
        <f t="shared" si="7"/>
        <v>699</v>
      </c>
      <c r="M156" s="45">
        <v>699</v>
      </c>
      <c r="N156" s="45">
        <v>699</v>
      </c>
      <c r="O156" s="45">
        <f t="shared" si="13"/>
        <v>649</v>
      </c>
      <c r="P156" s="46">
        <f t="shared" si="13"/>
        <v>599</v>
      </c>
      <c r="Q156" s="46">
        <v>599</v>
      </c>
      <c r="R156" s="45">
        <v>649</v>
      </c>
      <c r="S156" s="45">
        <v>599</v>
      </c>
      <c r="T156" s="45">
        <v>599</v>
      </c>
      <c r="U156" s="45">
        <v>599</v>
      </c>
      <c r="V156" s="45">
        <v>599</v>
      </c>
      <c r="W156" s="45">
        <v>599</v>
      </c>
      <c r="X156" s="45">
        <v>599</v>
      </c>
      <c r="Y156" s="45">
        <v>599</v>
      </c>
      <c r="Z156" s="45">
        <v>599</v>
      </c>
      <c r="AA156" s="45">
        <v>599</v>
      </c>
      <c r="AB156" s="45"/>
      <c r="AC156" s="45"/>
      <c r="AD156" s="45"/>
      <c r="AE156" s="45"/>
      <c r="AF156" s="45"/>
      <c r="AG156" s="45"/>
      <c r="AH156" s="45"/>
      <c r="AI156" s="45"/>
      <c r="AJ156" s="45"/>
      <c r="AK156" s="45"/>
      <c r="AL156" s="45"/>
      <c r="AM156" s="45"/>
      <c r="AN156" s="45"/>
      <c r="AO156" s="45"/>
      <c r="AP156" s="45"/>
      <c r="AQ156" s="45"/>
      <c r="AR156" s="45"/>
      <c r="AS156" s="45"/>
      <c r="AT156" s="45"/>
      <c r="AU156" s="45"/>
      <c r="AV156" s="47"/>
      <c r="AW156" s="48" t="s">
        <v>67</v>
      </c>
      <c r="AX156" s="49" t="s">
        <v>230</v>
      </c>
      <c r="AY156" s="50">
        <f t="shared" si="10"/>
        <v>16.139800000000001</v>
      </c>
      <c r="AZ156" s="50">
        <f t="shared" si="11"/>
        <v>14.5418</v>
      </c>
      <c r="BA156" s="51">
        <f t="shared" si="12"/>
        <v>8.2296999999999993</v>
      </c>
    </row>
    <row r="157" spans="1:53" ht="22.5" customHeight="1">
      <c r="A157" s="55" t="s">
        <v>222</v>
      </c>
      <c r="B157" s="42" t="s">
        <v>64</v>
      </c>
      <c r="C157" s="43">
        <v>4016281</v>
      </c>
      <c r="D157" s="44" t="s">
        <v>266</v>
      </c>
      <c r="E157" s="44" t="s">
        <v>267</v>
      </c>
      <c r="F157" s="45">
        <v>899</v>
      </c>
      <c r="G157" s="45">
        <v>799</v>
      </c>
      <c r="H157" s="45">
        <v>799</v>
      </c>
      <c r="I157" s="45">
        <v>799</v>
      </c>
      <c r="J157" s="45">
        <f t="shared" si="6"/>
        <v>699</v>
      </c>
      <c r="K157" s="45">
        <f t="shared" si="7"/>
        <v>699</v>
      </c>
      <c r="L157" s="45">
        <f t="shared" si="7"/>
        <v>699</v>
      </c>
      <c r="M157" s="45">
        <v>699</v>
      </c>
      <c r="N157" s="45">
        <v>699</v>
      </c>
      <c r="O157" s="45">
        <f t="shared" si="13"/>
        <v>649</v>
      </c>
      <c r="P157" s="46">
        <v>649</v>
      </c>
      <c r="Q157" s="46">
        <v>649</v>
      </c>
      <c r="R157" s="45">
        <v>649</v>
      </c>
      <c r="S157" s="45">
        <v>649</v>
      </c>
      <c r="T157" s="45">
        <v>649</v>
      </c>
      <c r="U157" s="45">
        <v>649</v>
      </c>
      <c r="V157" s="45">
        <v>649</v>
      </c>
      <c r="W157" s="45">
        <v>649</v>
      </c>
      <c r="X157" s="45">
        <v>649</v>
      </c>
      <c r="Y157" s="45">
        <v>649</v>
      </c>
      <c r="Z157" s="45">
        <v>649</v>
      </c>
      <c r="AA157" s="45">
        <v>649</v>
      </c>
      <c r="AB157" s="45"/>
      <c r="AC157" s="45"/>
      <c r="AD157" s="45"/>
      <c r="AE157" s="45"/>
      <c r="AF157" s="45"/>
      <c r="AG157" s="45"/>
      <c r="AH157" s="45"/>
      <c r="AI157" s="45"/>
      <c r="AJ157" s="45"/>
      <c r="AK157" s="45"/>
      <c r="AL157" s="45"/>
      <c r="AM157" s="45"/>
      <c r="AN157" s="45"/>
      <c r="AO157" s="45"/>
      <c r="AP157" s="45"/>
      <c r="AQ157" s="45"/>
      <c r="AR157" s="45"/>
      <c r="AS157" s="45"/>
      <c r="AT157" s="45"/>
      <c r="AU157" s="45"/>
      <c r="AV157" s="47"/>
      <c r="AW157" s="48" t="s">
        <v>67</v>
      </c>
      <c r="AX157" s="49" t="s">
        <v>230</v>
      </c>
      <c r="AY157" s="50">
        <f t="shared" si="10"/>
        <v>16.139800000000001</v>
      </c>
      <c r="AZ157" s="50">
        <f t="shared" si="11"/>
        <v>14.5418</v>
      </c>
      <c r="BA157" s="51">
        <f t="shared" si="12"/>
        <v>8.2296999999999993</v>
      </c>
    </row>
    <row r="158" spans="1:53" ht="22.5" customHeight="1">
      <c r="A158" s="55" t="s">
        <v>222</v>
      </c>
      <c r="B158" s="42" t="s">
        <v>64</v>
      </c>
      <c r="C158" s="43">
        <v>4016801</v>
      </c>
      <c r="D158" s="58" t="s">
        <v>268</v>
      </c>
      <c r="E158" s="58" t="s">
        <v>269</v>
      </c>
      <c r="F158" s="45">
        <v>1099</v>
      </c>
      <c r="G158" s="45">
        <v>699</v>
      </c>
      <c r="H158" s="45">
        <v>699</v>
      </c>
      <c r="I158" s="45">
        <v>699</v>
      </c>
      <c r="J158" s="45">
        <v>599</v>
      </c>
      <c r="K158" s="45">
        <v>499</v>
      </c>
      <c r="L158" s="45">
        <v>499</v>
      </c>
      <c r="M158" s="45">
        <v>599</v>
      </c>
      <c r="N158" s="45">
        <v>499</v>
      </c>
      <c r="O158" s="45">
        <v>499</v>
      </c>
      <c r="P158" s="46">
        <v>499</v>
      </c>
      <c r="Q158" s="46">
        <v>499</v>
      </c>
      <c r="R158" s="45">
        <v>499</v>
      </c>
      <c r="S158" s="45">
        <v>499</v>
      </c>
      <c r="T158" s="45">
        <v>499</v>
      </c>
      <c r="U158" s="45">
        <v>499</v>
      </c>
      <c r="V158" s="45">
        <v>499</v>
      </c>
      <c r="W158" s="45">
        <v>499</v>
      </c>
      <c r="X158" s="45">
        <v>499</v>
      </c>
      <c r="Y158" s="45">
        <v>499</v>
      </c>
      <c r="Z158" s="45">
        <v>499</v>
      </c>
      <c r="AA158" s="45">
        <v>499</v>
      </c>
      <c r="AB158" s="45"/>
      <c r="AC158" s="45"/>
      <c r="AD158" s="45"/>
      <c r="AE158" s="45"/>
      <c r="AF158" s="45"/>
      <c r="AG158" s="45"/>
      <c r="AH158" s="45"/>
      <c r="AI158" s="45"/>
      <c r="AJ158" s="45"/>
      <c r="AK158" s="45"/>
      <c r="AL158" s="45"/>
      <c r="AM158" s="45"/>
      <c r="AN158" s="45"/>
      <c r="AO158" s="45"/>
      <c r="AP158" s="45"/>
      <c r="AQ158" s="45"/>
      <c r="AR158" s="45"/>
      <c r="AS158" s="45"/>
      <c r="AT158" s="45"/>
      <c r="AU158" s="45"/>
      <c r="AV158" s="47"/>
      <c r="AW158" s="48" t="s">
        <v>67</v>
      </c>
      <c r="AX158" s="49" t="s">
        <v>230</v>
      </c>
      <c r="AY158" s="50">
        <f t="shared" si="10"/>
        <v>14.1198</v>
      </c>
      <c r="AZ158" s="50">
        <f t="shared" si="11"/>
        <v>12.7218</v>
      </c>
      <c r="BA158" s="51">
        <f t="shared" si="12"/>
        <v>7.1997</v>
      </c>
    </row>
    <row r="159" spans="1:53" ht="22.5" customHeight="1">
      <c r="A159" s="55" t="s">
        <v>222</v>
      </c>
      <c r="B159" s="42" t="s">
        <v>64</v>
      </c>
      <c r="C159" s="43">
        <v>4017405</v>
      </c>
      <c r="D159" s="58" t="s">
        <v>270</v>
      </c>
      <c r="E159" s="58" t="s">
        <v>271</v>
      </c>
      <c r="F159" s="46">
        <v>999</v>
      </c>
      <c r="G159" s="46">
        <v>899</v>
      </c>
      <c r="H159" s="46">
        <v>899</v>
      </c>
      <c r="I159" s="46">
        <v>899</v>
      </c>
      <c r="J159" s="46">
        <v>799</v>
      </c>
      <c r="K159" s="46">
        <v>799</v>
      </c>
      <c r="L159" s="46">
        <v>699</v>
      </c>
      <c r="M159" s="46">
        <v>799</v>
      </c>
      <c r="N159" s="46">
        <v>799</v>
      </c>
      <c r="O159" s="46">
        <v>649</v>
      </c>
      <c r="P159" s="46">
        <v>649</v>
      </c>
      <c r="Q159" s="46">
        <v>599</v>
      </c>
      <c r="R159" s="46">
        <v>649</v>
      </c>
      <c r="S159" s="46">
        <v>649</v>
      </c>
      <c r="T159" s="46">
        <v>599</v>
      </c>
      <c r="U159" s="46">
        <v>599</v>
      </c>
      <c r="V159" s="46">
        <v>599</v>
      </c>
      <c r="W159" s="46">
        <v>599</v>
      </c>
      <c r="X159" s="46">
        <v>599</v>
      </c>
      <c r="Y159" s="46">
        <v>599</v>
      </c>
      <c r="Z159" s="46">
        <v>599</v>
      </c>
      <c r="AA159" s="46">
        <v>599</v>
      </c>
      <c r="AB159" s="45"/>
      <c r="AC159" s="45"/>
      <c r="AD159" s="45"/>
      <c r="AE159" s="45"/>
      <c r="AF159" s="45"/>
      <c r="AG159" s="45"/>
      <c r="AH159" s="45"/>
      <c r="AI159" s="45"/>
      <c r="AJ159" s="45"/>
      <c r="AK159" s="45"/>
      <c r="AL159" s="45"/>
      <c r="AM159" s="45"/>
      <c r="AN159" s="45"/>
      <c r="AO159" s="45"/>
      <c r="AP159" s="45"/>
      <c r="AQ159" s="45"/>
      <c r="AR159" s="45"/>
      <c r="AS159" s="45"/>
      <c r="AT159" s="45"/>
      <c r="AU159" s="45"/>
      <c r="AV159" s="47"/>
      <c r="AW159" s="48" t="s">
        <v>67</v>
      </c>
      <c r="AX159" s="49" t="s">
        <v>230</v>
      </c>
      <c r="AY159" s="50">
        <f t="shared" si="10"/>
        <v>18.159800000000001</v>
      </c>
      <c r="AZ159" s="50">
        <f t="shared" si="11"/>
        <v>16.361800000000002</v>
      </c>
      <c r="BA159" s="51">
        <f t="shared" si="12"/>
        <v>9.2597000000000005</v>
      </c>
    </row>
    <row r="160" spans="1:53" ht="21.75" customHeight="1">
      <c r="A160" s="55" t="s">
        <v>222</v>
      </c>
      <c r="B160" s="42" t="s">
        <v>64</v>
      </c>
      <c r="C160" s="43">
        <v>4015983</v>
      </c>
      <c r="D160" s="56" t="s">
        <v>272</v>
      </c>
      <c r="E160" s="56" t="s">
        <v>273</v>
      </c>
      <c r="F160" s="45">
        <v>1299</v>
      </c>
      <c r="G160" s="45">
        <v>899</v>
      </c>
      <c r="H160" s="45">
        <v>899</v>
      </c>
      <c r="I160" s="45">
        <v>899</v>
      </c>
      <c r="J160" s="45">
        <v>799</v>
      </c>
      <c r="K160" s="45">
        <v>799</v>
      </c>
      <c r="L160" s="45">
        <v>799</v>
      </c>
      <c r="M160" s="45">
        <v>799</v>
      </c>
      <c r="N160" s="45">
        <v>799</v>
      </c>
      <c r="O160" s="45">
        <v>749</v>
      </c>
      <c r="P160" s="46">
        <v>749</v>
      </c>
      <c r="Q160" s="46">
        <v>749</v>
      </c>
      <c r="R160" s="45">
        <v>749</v>
      </c>
      <c r="S160" s="45">
        <v>749</v>
      </c>
      <c r="T160" s="45">
        <v>749</v>
      </c>
      <c r="U160" s="45">
        <v>749</v>
      </c>
      <c r="V160" s="45">
        <v>749</v>
      </c>
      <c r="W160" s="45">
        <v>749</v>
      </c>
      <c r="X160" s="45">
        <v>749</v>
      </c>
      <c r="Y160" s="45">
        <v>749</v>
      </c>
      <c r="Z160" s="45">
        <v>749</v>
      </c>
      <c r="AA160" s="45">
        <v>749</v>
      </c>
      <c r="AB160" s="45"/>
      <c r="AC160" s="45"/>
      <c r="AD160" s="45"/>
      <c r="AE160" s="45"/>
      <c r="AF160" s="45"/>
      <c r="AG160" s="45"/>
      <c r="AH160" s="45"/>
      <c r="AI160" s="45"/>
      <c r="AJ160" s="45"/>
      <c r="AK160" s="45"/>
      <c r="AL160" s="45"/>
      <c r="AM160" s="45"/>
      <c r="AN160" s="45"/>
      <c r="AO160" s="45"/>
      <c r="AP160" s="45"/>
      <c r="AQ160" s="45"/>
      <c r="AR160" s="45"/>
      <c r="AS160" s="45"/>
      <c r="AT160" s="45"/>
      <c r="AU160" s="45"/>
      <c r="AV160" s="47"/>
      <c r="AW160" s="48" t="s">
        <v>67</v>
      </c>
      <c r="AX160" s="49" t="s">
        <v>68</v>
      </c>
      <c r="AY160" s="50">
        <f t="shared" si="10"/>
        <v>18.159800000000001</v>
      </c>
      <c r="AZ160" s="50">
        <f t="shared" si="11"/>
        <v>16.361800000000002</v>
      </c>
      <c r="BA160" s="51">
        <f t="shared" si="12"/>
        <v>9.2597000000000005</v>
      </c>
    </row>
    <row r="161" spans="1:53" ht="21.75" customHeight="1">
      <c r="A161" s="55" t="s">
        <v>222</v>
      </c>
      <c r="B161" s="42" t="s">
        <v>64</v>
      </c>
      <c r="C161" s="43">
        <v>4015985</v>
      </c>
      <c r="D161" s="56" t="s">
        <v>272</v>
      </c>
      <c r="E161" s="56" t="s">
        <v>274</v>
      </c>
      <c r="F161" s="45">
        <v>1299</v>
      </c>
      <c r="G161" s="45">
        <v>899</v>
      </c>
      <c r="H161" s="45">
        <v>899</v>
      </c>
      <c r="I161" s="45">
        <v>899</v>
      </c>
      <c r="J161" s="45">
        <v>799</v>
      </c>
      <c r="K161" s="45">
        <v>799</v>
      </c>
      <c r="L161" s="45">
        <v>799</v>
      </c>
      <c r="M161" s="45">
        <v>799</v>
      </c>
      <c r="N161" s="45">
        <v>799</v>
      </c>
      <c r="O161" s="45">
        <v>749</v>
      </c>
      <c r="P161" s="46">
        <v>749</v>
      </c>
      <c r="Q161" s="46">
        <v>749</v>
      </c>
      <c r="R161" s="45">
        <v>749</v>
      </c>
      <c r="S161" s="45">
        <v>749</v>
      </c>
      <c r="T161" s="45">
        <v>749</v>
      </c>
      <c r="U161" s="45">
        <v>749</v>
      </c>
      <c r="V161" s="45">
        <v>749</v>
      </c>
      <c r="W161" s="45">
        <v>749</v>
      </c>
      <c r="X161" s="45">
        <v>749</v>
      </c>
      <c r="Y161" s="45">
        <v>749</v>
      </c>
      <c r="Z161" s="45">
        <v>749</v>
      </c>
      <c r="AA161" s="45">
        <v>749</v>
      </c>
      <c r="AB161" s="45"/>
      <c r="AC161" s="45"/>
      <c r="AD161" s="45"/>
      <c r="AE161" s="45"/>
      <c r="AF161" s="45"/>
      <c r="AG161" s="45"/>
      <c r="AH161" s="45"/>
      <c r="AI161" s="45"/>
      <c r="AJ161" s="45"/>
      <c r="AK161" s="45"/>
      <c r="AL161" s="45"/>
      <c r="AM161" s="45"/>
      <c r="AN161" s="45"/>
      <c r="AO161" s="45"/>
      <c r="AP161" s="45"/>
      <c r="AQ161" s="45"/>
      <c r="AR161" s="45"/>
      <c r="AS161" s="45"/>
      <c r="AT161" s="45"/>
      <c r="AU161" s="45"/>
      <c r="AV161" s="47"/>
      <c r="AW161" s="48" t="s">
        <v>67</v>
      </c>
      <c r="AX161" s="49" t="s">
        <v>68</v>
      </c>
      <c r="AY161" s="50">
        <f t="shared" si="10"/>
        <v>18.159800000000001</v>
      </c>
      <c r="AZ161" s="50">
        <f t="shared" si="11"/>
        <v>16.361800000000002</v>
      </c>
      <c r="BA161" s="51">
        <f t="shared" si="12"/>
        <v>9.2597000000000005</v>
      </c>
    </row>
    <row r="162" spans="1:53" ht="21.75" customHeight="1">
      <c r="A162" s="55" t="s">
        <v>222</v>
      </c>
      <c r="B162" s="42" t="s">
        <v>64</v>
      </c>
      <c r="C162" s="43">
        <v>4016578</v>
      </c>
      <c r="D162" s="56" t="s">
        <v>275</v>
      </c>
      <c r="E162" s="56" t="s">
        <v>276</v>
      </c>
      <c r="F162" s="45">
        <v>1499</v>
      </c>
      <c r="G162" s="45">
        <v>1099</v>
      </c>
      <c r="H162" s="45">
        <v>1099</v>
      </c>
      <c r="I162" s="45">
        <v>1099</v>
      </c>
      <c r="J162" s="45">
        <v>999</v>
      </c>
      <c r="K162" s="45">
        <v>899</v>
      </c>
      <c r="L162" s="45">
        <v>899</v>
      </c>
      <c r="M162" s="45">
        <v>999</v>
      </c>
      <c r="N162" s="45">
        <v>899</v>
      </c>
      <c r="O162" s="45">
        <v>849</v>
      </c>
      <c r="P162" s="46">
        <v>849</v>
      </c>
      <c r="Q162" s="46">
        <v>849</v>
      </c>
      <c r="R162" s="45">
        <v>849</v>
      </c>
      <c r="S162" s="45">
        <v>849</v>
      </c>
      <c r="T162" s="45">
        <v>849</v>
      </c>
      <c r="U162" s="45">
        <v>849</v>
      </c>
      <c r="V162" s="45">
        <v>849</v>
      </c>
      <c r="W162" s="45">
        <v>849</v>
      </c>
      <c r="X162" s="45">
        <v>849</v>
      </c>
      <c r="Y162" s="45">
        <v>849</v>
      </c>
      <c r="Z162" s="45">
        <v>849</v>
      </c>
      <c r="AA162" s="45">
        <v>849</v>
      </c>
      <c r="AB162" s="45">
        <v>899</v>
      </c>
      <c r="AC162" s="45">
        <v>899</v>
      </c>
      <c r="AD162" s="45">
        <v>899</v>
      </c>
      <c r="AE162" s="45">
        <v>849</v>
      </c>
      <c r="AF162" s="45">
        <v>849</v>
      </c>
      <c r="AG162" s="45">
        <v>849</v>
      </c>
      <c r="AH162" s="45">
        <v>849</v>
      </c>
      <c r="AI162" s="45">
        <v>849</v>
      </c>
      <c r="AJ162" s="45">
        <v>849</v>
      </c>
      <c r="AK162" s="45">
        <v>849</v>
      </c>
      <c r="AL162" s="45">
        <v>849</v>
      </c>
      <c r="AM162" s="45"/>
      <c r="AN162" s="45"/>
      <c r="AO162" s="45"/>
      <c r="AP162" s="45"/>
      <c r="AQ162" s="45"/>
      <c r="AR162" s="45"/>
      <c r="AS162" s="45"/>
      <c r="AT162" s="45"/>
      <c r="AU162" s="45"/>
      <c r="AV162" s="47"/>
      <c r="AW162" s="48" t="s">
        <v>67</v>
      </c>
      <c r="AX162" s="49" t="s">
        <v>68</v>
      </c>
      <c r="AY162" s="50">
        <f t="shared" si="10"/>
        <v>22.1998</v>
      </c>
      <c r="AZ162" s="50">
        <f t="shared" si="11"/>
        <v>20.001799999999999</v>
      </c>
      <c r="BA162" s="51">
        <f t="shared" si="12"/>
        <v>11.319700000000001</v>
      </c>
    </row>
    <row r="163" spans="1:53" ht="21.75" customHeight="1">
      <c r="A163" s="55" t="s">
        <v>222</v>
      </c>
      <c r="B163" s="42" t="s">
        <v>64</v>
      </c>
      <c r="C163" s="43">
        <v>4016661</v>
      </c>
      <c r="D163" s="56" t="s">
        <v>275</v>
      </c>
      <c r="E163" s="56" t="s">
        <v>277</v>
      </c>
      <c r="F163" s="45">
        <v>1499</v>
      </c>
      <c r="G163" s="45">
        <v>1099</v>
      </c>
      <c r="H163" s="45">
        <v>1099</v>
      </c>
      <c r="I163" s="45">
        <v>1099</v>
      </c>
      <c r="J163" s="45">
        <v>999</v>
      </c>
      <c r="K163" s="45">
        <v>899</v>
      </c>
      <c r="L163" s="45">
        <v>899</v>
      </c>
      <c r="M163" s="45">
        <v>999</v>
      </c>
      <c r="N163" s="45">
        <v>899</v>
      </c>
      <c r="O163" s="45">
        <v>849</v>
      </c>
      <c r="P163" s="46">
        <v>849</v>
      </c>
      <c r="Q163" s="46">
        <v>849</v>
      </c>
      <c r="R163" s="45">
        <v>849</v>
      </c>
      <c r="S163" s="45">
        <v>849</v>
      </c>
      <c r="T163" s="45">
        <v>849</v>
      </c>
      <c r="U163" s="45">
        <v>849</v>
      </c>
      <c r="V163" s="45">
        <v>849</v>
      </c>
      <c r="W163" s="45">
        <v>849</v>
      </c>
      <c r="X163" s="45">
        <v>849</v>
      </c>
      <c r="Y163" s="45">
        <v>849</v>
      </c>
      <c r="Z163" s="45">
        <v>849</v>
      </c>
      <c r="AA163" s="45">
        <v>849</v>
      </c>
      <c r="AB163" s="45">
        <v>899</v>
      </c>
      <c r="AC163" s="45">
        <v>899</v>
      </c>
      <c r="AD163" s="45">
        <v>899</v>
      </c>
      <c r="AE163" s="45">
        <v>849</v>
      </c>
      <c r="AF163" s="45">
        <v>849</v>
      </c>
      <c r="AG163" s="45">
        <v>849</v>
      </c>
      <c r="AH163" s="45">
        <v>849</v>
      </c>
      <c r="AI163" s="45">
        <v>849</v>
      </c>
      <c r="AJ163" s="45">
        <v>849</v>
      </c>
      <c r="AK163" s="45">
        <v>849</v>
      </c>
      <c r="AL163" s="45">
        <v>849</v>
      </c>
      <c r="AM163" s="45"/>
      <c r="AN163" s="45"/>
      <c r="AO163" s="45"/>
      <c r="AP163" s="45"/>
      <c r="AQ163" s="45"/>
      <c r="AR163" s="45"/>
      <c r="AS163" s="45"/>
      <c r="AT163" s="45"/>
      <c r="AU163" s="45"/>
      <c r="AV163" s="47"/>
      <c r="AW163" s="48" t="s">
        <v>67</v>
      </c>
      <c r="AX163" s="49" t="s">
        <v>68</v>
      </c>
      <c r="AY163" s="50">
        <f t="shared" si="10"/>
        <v>22.1998</v>
      </c>
      <c r="AZ163" s="50">
        <f t="shared" si="11"/>
        <v>20.001799999999999</v>
      </c>
      <c r="BA163" s="51">
        <f t="shared" si="12"/>
        <v>11.319700000000001</v>
      </c>
    </row>
    <row r="164" spans="1:53" ht="21.75" customHeight="1">
      <c r="A164" s="55" t="s">
        <v>222</v>
      </c>
      <c r="B164" s="42" t="s">
        <v>64</v>
      </c>
      <c r="C164" s="43">
        <v>4016660</v>
      </c>
      <c r="D164" s="56" t="s">
        <v>278</v>
      </c>
      <c r="E164" s="56" t="s">
        <v>279</v>
      </c>
      <c r="F164" s="45">
        <v>1699</v>
      </c>
      <c r="G164" s="45">
        <v>1399</v>
      </c>
      <c r="H164" s="45">
        <v>1399</v>
      </c>
      <c r="I164" s="45">
        <v>1399</v>
      </c>
      <c r="J164" s="45">
        <v>1299</v>
      </c>
      <c r="K164" s="45">
        <v>1299</v>
      </c>
      <c r="L164" s="45">
        <v>1299</v>
      </c>
      <c r="M164" s="45">
        <v>1299</v>
      </c>
      <c r="N164" s="45">
        <v>1299</v>
      </c>
      <c r="O164" s="45">
        <v>1249</v>
      </c>
      <c r="P164" s="46">
        <v>1199</v>
      </c>
      <c r="Q164" s="46">
        <v>999</v>
      </c>
      <c r="R164" s="45">
        <v>1249</v>
      </c>
      <c r="S164" s="45">
        <v>1199</v>
      </c>
      <c r="T164" s="45">
        <v>999</v>
      </c>
      <c r="U164" s="45">
        <v>999</v>
      </c>
      <c r="V164" s="45">
        <v>999</v>
      </c>
      <c r="W164" s="45">
        <v>999</v>
      </c>
      <c r="X164" s="45">
        <v>999</v>
      </c>
      <c r="Y164" s="45">
        <v>999</v>
      </c>
      <c r="Z164" s="45">
        <v>999</v>
      </c>
      <c r="AA164" s="45">
        <v>999</v>
      </c>
      <c r="AB164" s="45"/>
      <c r="AC164" s="45"/>
      <c r="AD164" s="45"/>
      <c r="AE164" s="45"/>
      <c r="AF164" s="45"/>
      <c r="AG164" s="45"/>
      <c r="AH164" s="45"/>
      <c r="AI164" s="45"/>
      <c r="AJ164" s="45"/>
      <c r="AK164" s="45"/>
      <c r="AL164" s="45"/>
      <c r="AM164" s="45"/>
      <c r="AN164" s="45"/>
      <c r="AO164" s="45"/>
      <c r="AP164" s="45"/>
      <c r="AQ164" s="45"/>
      <c r="AR164" s="45"/>
      <c r="AS164" s="45"/>
      <c r="AT164" s="45"/>
      <c r="AU164" s="45"/>
      <c r="AV164" s="47"/>
      <c r="AW164" s="48" t="s">
        <v>67</v>
      </c>
      <c r="AX164" s="49" t="s">
        <v>68</v>
      </c>
      <c r="AY164" s="50">
        <f t="shared" si="10"/>
        <v>28.259799999999998</v>
      </c>
      <c r="AZ164" s="50">
        <f t="shared" si="11"/>
        <v>25.4618</v>
      </c>
      <c r="BA164" s="51">
        <f t="shared" si="12"/>
        <v>14.409700000000001</v>
      </c>
    </row>
    <row r="165" spans="1:53" ht="21.75" customHeight="1">
      <c r="A165" s="55" t="s">
        <v>222</v>
      </c>
      <c r="B165" s="42" t="s">
        <v>64</v>
      </c>
      <c r="C165" s="43">
        <v>4016663</v>
      </c>
      <c r="D165" s="56" t="s">
        <v>278</v>
      </c>
      <c r="E165" s="56" t="s">
        <v>280</v>
      </c>
      <c r="F165" s="45">
        <v>1699</v>
      </c>
      <c r="G165" s="45">
        <v>1399</v>
      </c>
      <c r="H165" s="45">
        <v>1399</v>
      </c>
      <c r="I165" s="45">
        <v>1399</v>
      </c>
      <c r="J165" s="45">
        <v>1299</v>
      </c>
      <c r="K165" s="45">
        <v>1299</v>
      </c>
      <c r="L165" s="45">
        <v>1299</v>
      </c>
      <c r="M165" s="45">
        <v>1299</v>
      </c>
      <c r="N165" s="45">
        <v>1299</v>
      </c>
      <c r="O165" s="45">
        <v>1249</v>
      </c>
      <c r="P165" s="46">
        <v>1199</v>
      </c>
      <c r="Q165" s="46">
        <v>999</v>
      </c>
      <c r="R165" s="45">
        <v>1249</v>
      </c>
      <c r="S165" s="45">
        <v>1199</v>
      </c>
      <c r="T165" s="45">
        <v>999</v>
      </c>
      <c r="U165" s="45">
        <v>999</v>
      </c>
      <c r="V165" s="45">
        <v>999</v>
      </c>
      <c r="W165" s="45">
        <v>999</v>
      </c>
      <c r="X165" s="45">
        <v>999</v>
      </c>
      <c r="Y165" s="45">
        <v>999</v>
      </c>
      <c r="Z165" s="45">
        <v>999</v>
      </c>
      <c r="AA165" s="45">
        <v>999</v>
      </c>
      <c r="AB165" s="45"/>
      <c r="AC165" s="45"/>
      <c r="AD165" s="45"/>
      <c r="AE165" s="45"/>
      <c r="AF165" s="45"/>
      <c r="AG165" s="45"/>
      <c r="AH165" s="45"/>
      <c r="AI165" s="45"/>
      <c r="AJ165" s="45"/>
      <c r="AK165" s="45"/>
      <c r="AL165" s="45"/>
      <c r="AM165" s="45"/>
      <c r="AN165" s="45"/>
      <c r="AO165" s="45"/>
      <c r="AP165" s="45"/>
      <c r="AQ165" s="45"/>
      <c r="AR165" s="45"/>
      <c r="AS165" s="45"/>
      <c r="AT165" s="45"/>
      <c r="AU165" s="45"/>
      <c r="AV165" s="47"/>
      <c r="AW165" s="48" t="s">
        <v>67</v>
      </c>
      <c r="AX165" s="49" t="s">
        <v>68</v>
      </c>
      <c r="AY165" s="50">
        <f t="shared" si="10"/>
        <v>28.259799999999998</v>
      </c>
      <c r="AZ165" s="50">
        <f t="shared" si="11"/>
        <v>25.4618</v>
      </c>
      <c r="BA165" s="51">
        <f t="shared" si="12"/>
        <v>14.409700000000001</v>
      </c>
    </row>
    <row r="166" spans="1:53" ht="21.75" customHeight="1">
      <c r="A166" s="55" t="s">
        <v>222</v>
      </c>
      <c r="B166" s="42" t="s">
        <v>64</v>
      </c>
      <c r="C166" s="43">
        <v>4017967</v>
      </c>
      <c r="D166" s="56" t="s">
        <v>281</v>
      </c>
      <c r="E166" s="56" t="s">
        <v>282</v>
      </c>
      <c r="F166" s="45">
        <v>1699</v>
      </c>
      <c r="G166" s="45">
        <v>1199</v>
      </c>
      <c r="H166" s="45">
        <v>1199</v>
      </c>
      <c r="I166" s="45">
        <v>1199</v>
      </c>
      <c r="J166" s="45">
        <v>1099</v>
      </c>
      <c r="K166" s="45">
        <v>999</v>
      </c>
      <c r="L166" s="45">
        <v>999</v>
      </c>
      <c r="M166" s="45">
        <v>1099</v>
      </c>
      <c r="N166" s="45">
        <v>999</v>
      </c>
      <c r="O166" s="45">
        <v>999</v>
      </c>
      <c r="P166" s="45">
        <v>999</v>
      </c>
      <c r="Q166" s="45">
        <v>999</v>
      </c>
      <c r="R166" s="45">
        <v>999</v>
      </c>
      <c r="S166" s="45">
        <v>999</v>
      </c>
      <c r="T166" s="45">
        <v>999</v>
      </c>
      <c r="U166" s="45">
        <v>999</v>
      </c>
      <c r="V166" s="45">
        <v>999</v>
      </c>
      <c r="W166" s="45">
        <v>999</v>
      </c>
      <c r="X166" s="45">
        <v>999</v>
      </c>
      <c r="Y166" s="45">
        <v>999</v>
      </c>
      <c r="Z166" s="45">
        <v>999</v>
      </c>
      <c r="AA166" s="45">
        <v>999</v>
      </c>
      <c r="AB166" s="45"/>
      <c r="AC166" s="45"/>
      <c r="AD166" s="45"/>
      <c r="AE166" s="45"/>
      <c r="AF166" s="45"/>
      <c r="AG166" s="45"/>
      <c r="AH166" s="45"/>
      <c r="AI166" s="45"/>
      <c r="AJ166" s="45"/>
      <c r="AK166" s="45"/>
      <c r="AL166" s="45"/>
      <c r="AM166" s="45"/>
      <c r="AN166" s="45"/>
      <c r="AO166" s="45"/>
      <c r="AP166" s="45"/>
      <c r="AQ166" s="45"/>
      <c r="AR166" s="45"/>
      <c r="AS166" s="45"/>
      <c r="AT166" s="45"/>
      <c r="AU166" s="45"/>
      <c r="AV166" s="47"/>
      <c r="AW166" s="48" t="s">
        <v>67</v>
      </c>
      <c r="AX166" s="49" t="s">
        <v>68</v>
      </c>
      <c r="AY166" s="50">
        <f t="shared" si="10"/>
        <v>24.219799999999999</v>
      </c>
      <c r="AZ166" s="50">
        <f t="shared" si="11"/>
        <v>21.8218</v>
      </c>
      <c r="BA166" s="51">
        <f t="shared" si="12"/>
        <v>12.3497</v>
      </c>
    </row>
    <row r="167" spans="1:53" ht="21.75" customHeight="1">
      <c r="A167" s="55" t="s">
        <v>222</v>
      </c>
      <c r="B167" s="42" t="s">
        <v>64</v>
      </c>
      <c r="C167" s="43">
        <v>4017963</v>
      </c>
      <c r="D167" s="56" t="s">
        <v>281</v>
      </c>
      <c r="E167" s="56" t="s">
        <v>283</v>
      </c>
      <c r="F167" s="45">
        <v>1699</v>
      </c>
      <c r="G167" s="45">
        <v>1199</v>
      </c>
      <c r="H167" s="45">
        <v>1199</v>
      </c>
      <c r="I167" s="45">
        <v>1199</v>
      </c>
      <c r="J167" s="45">
        <v>1099</v>
      </c>
      <c r="K167" s="45">
        <v>999</v>
      </c>
      <c r="L167" s="45">
        <v>999</v>
      </c>
      <c r="M167" s="45">
        <v>1099</v>
      </c>
      <c r="N167" s="45">
        <v>999</v>
      </c>
      <c r="O167" s="45">
        <v>999</v>
      </c>
      <c r="P167" s="45">
        <v>999</v>
      </c>
      <c r="Q167" s="45">
        <v>999</v>
      </c>
      <c r="R167" s="45">
        <v>999</v>
      </c>
      <c r="S167" s="45">
        <v>999</v>
      </c>
      <c r="T167" s="45">
        <v>999</v>
      </c>
      <c r="U167" s="45">
        <v>999</v>
      </c>
      <c r="V167" s="45">
        <v>999</v>
      </c>
      <c r="W167" s="45">
        <v>999</v>
      </c>
      <c r="X167" s="45">
        <v>999</v>
      </c>
      <c r="Y167" s="45">
        <v>999</v>
      </c>
      <c r="Z167" s="45">
        <v>999</v>
      </c>
      <c r="AA167" s="45">
        <v>999</v>
      </c>
      <c r="AB167" s="45"/>
      <c r="AC167" s="45"/>
      <c r="AD167" s="45"/>
      <c r="AE167" s="45"/>
      <c r="AF167" s="45"/>
      <c r="AG167" s="45"/>
      <c r="AH167" s="45"/>
      <c r="AI167" s="45"/>
      <c r="AJ167" s="45"/>
      <c r="AK167" s="45"/>
      <c r="AL167" s="45"/>
      <c r="AM167" s="45"/>
      <c r="AN167" s="45"/>
      <c r="AO167" s="45"/>
      <c r="AP167" s="45"/>
      <c r="AQ167" s="45"/>
      <c r="AR167" s="45"/>
      <c r="AS167" s="45"/>
      <c r="AT167" s="45"/>
      <c r="AU167" s="45"/>
      <c r="AV167" s="47"/>
      <c r="AW167" s="48" t="s">
        <v>67</v>
      </c>
      <c r="AX167" s="49" t="s">
        <v>68</v>
      </c>
      <c r="AY167" s="50">
        <f t="shared" si="10"/>
        <v>24.219799999999999</v>
      </c>
      <c r="AZ167" s="50">
        <f t="shared" si="11"/>
        <v>21.8218</v>
      </c>
      <c r="BA167" s="51">
        <f t="shared" si="12"/>
        <v>12.3497</v>
      </c>
    </row>
    <row r="168" spans="1:53" ht="21.75" customHeight="1">
      <c r="A168" s="55" t="s">
        <v>222</v>
      </c>
      <c r="B168" s="42" t="s">
        <v>64</v>
      </c>
      <c r="C168" s="43">
        <v>4015328</v>
      </c>
      <c r="D168" s="56" t="s">
        <v>284</v>
      </c>
      <c r="E168" s="56" t="s">
        <v>285</v>
      </c>
      <c r="F168" s="45">
        <v>956</v>
      </c>
      <c r="G168" s="45">
        <v>756</v>
      </c>
      <c r="H168" s="45">
        <v>956</v>
      </c>
      <c r="I168" s="45">
        <v>956</v>
      </c>
      <c r="J168" s="45">
        <v>529</v>
      </c>
      <c r="K168" s="45">
        <v>529</v>
      </c>
      <c r="L168" s="45">
        <v>529</v>
      </c>
      <c r="M168" s="45">
        <v>529</v>
      </c>
      <c r="N168" s="45">
        <v>529</v>
      </c>
      <c r="O168" s="45">
        <v>529</v>
      </c>
      <c r="P168" s="45">
        <v>529</v>
      </c>
      <c r="Q168" s="45">
        <v>529</v>
      </c>
      <c r="R168" s="45">
        <v>529</v>
      </c>
      <c r="S168" s="45">
        <v>529</v>
      </c>
      <c r="T168" s="45">
        <v>529</v>
      </c>
      <c r="U168" s="45">
        <v>529</v>
      </c>
      <c r="V168" s="45">
        <v>529</v>
      </c>
      <c r="W168" s="45">
        <v>529</v>
      </c>
      <c r="X168" s="45">
        <v>529</v>
      </c>
      <c r="Y168" s="45">
        <v>529</v>
      </c>
      <c r="Z168" s="45">
        <v>529</v>
      </c>
      <c r="AA168" s="45">
        <v>529</v>
      </c>
      <c r="AB168" s="45"/>
      <c r="AC168" s="45"/>
      <c r="AD168" s="45"/>
      <c r="AE168" s="45"/>
      <c r="AF168" s="45"/>
      <c r="AG168" s="45"/>
      <c r="AH168" s="45"/>
      <c r="AI168" s="45"/>
      <c r="AJ168" s="45"/>
      <c r="AK168" s="45"/>
      <c r="AL168" s="45"/>
      <c r="AM168" s="45"/>
      <c r="AN168" s="45"/>
      <c r="AO168" s="45"/>
      <c r="AP168" s="45"/>
      <c r="AQ168" s="45"/>
      <c r="AR168" s="45"/>
      <c r="AS168" s="45"/>
      <c r="AT168" s="45"/>
      <c r="AU168" s="45"/>
      <c r="AV168" s="47"/>
      <c r="AW168" s="48" t="s">
        <v>67</v>
      </c>
      <c r="AX168" s="49" t="s">
        <v>68</v>
      </c>
      <c r="AY168" s="50">
        <f t="shared" si="10"/>
        <v>19.311199999999999</v>
      </c>
      <c r="AZ168" s="50">
        <f t="shared" si="11"/>
        <v>17.3992</v>
      </c>
      <c r="BA168" s="51">
        <f t="shared" si="12"/>
        <v>9.8468</v>
      </c>
    </row>
    <row r="169" spans="1:53" ht="21.75" customHeight="1">
      <c r="A169" s="55" t="s">
        <v>222</v>
      </c>
      <c r="B169" s="42" t="s">
        <v>64</v>
      </c>
      <c r="C169" s="43">
        <v>4015336</v>
      </c>
      <c r="D169" s="56" t="s">
        <v>284</v>
      </c>
      <c r="E169" s="56" t="s">
        <v>286</v>
      </c>
      <c r="F169" s="45">
        <v>956</v>
      </c>
      <c r="G169" s="45">
        <v>756</v>
      </c>
      <c r="H169" s="45">
        <v>956</v>
      </c>
      <c r="I169" s="45">
        <v>956</v>
      </c>
      <c r="J169" s="45">
        <v>529</v>
      </c>
      <c r="K169" s="45">
        <v>529</v>
      </c>
      <c r="L169" s="45">
        <v>529</v>
      </c>
      <c r="M169" s="45">
        <v>529</v>
      </c>
      <c r="N169" s="45">
        <v>529</v>
      </c>
      <c r="O169" s="45">
        <v>529</v>
      </c>
      <c r="P169" s="45">
        <v>529</v>
      </c>
      <c r="Q169" s="45">
        <v>529</v>
      </c>
      <c r="R169" s="45">
        <v>529</v>
      </c>
      <c r="S169" s="45">
        <v>529</v>
      </c>
      <c r="T169" s="45">
        <v>529</v>
      </c>
      <c r="U169" s="45">
        <v>529</v>
      </c>
      <c r="V169" s="45">
        <v>529</v>
      </c>
      <c r="W169" s="45">
        <v>529</v>
      </c>
      <c r="X169" s="45">
        <v>529</v>
      </c>
      <c r="Y169" s="45">
        <v>529</v>
      </c>
      <c r="Z169" s="45">
        <v>529</v>
      </c>
      <c r="AA169" s="45">
        <v>529</v>
      </c>
      <c r="AB169" s="45"/>
      <c r="AC169" s="45"/>
      <c r="AD169" s="45"/>
      <c r="AE169" s="45"/>
      <c r="AF169" s="45"/>
      <c r="AG169" s="45"/>
      <c r="AH169" s="45"/>
      <c r="AI169" s="45"/>
      <c r="AJ169" s="45"/>
      <c r="AK169" s="45"/>
      <c r="AL169" s="45"/>
      <c r="AM169" s="45"/>
      <c r="AN169" s="45"/>
      <c r="AO169" s="45"/>
      <c r="AP169" s="45"/>
      <c r="AQ169" s="45"/>
      <c r="AR169" s="45"/>
      <c r="AS169" s="45"/>
      <c r="AT169" s="45"/>
      <c r="AU169" s="45"/>
      <c r="AV169" s="47"/>
      <c r="AW169" s="48" t="s">
        <v>67</v>
      </c>
      <c r="AX169" s="49" t="s">
        <v>68</v>
      </c>
      <c r="AY169" s="50">
        <f t="shared" si="10"/>
        <v>19.311199999999999</v>
      </c>
      <c r="AZ169" s="50">
        <f t="shared" si="11"/>
        <v>17.3992</v>
      </c>
      <c r="BA169" s="51">
        <f t="shared" si="12"/>
        <v>9.8468</v>
      </c>
    </row>
    <row r="170" spans="1:53" ht="21.75" customHeight="1">
      <c r="A170" s="55" t="s">
        <v>222</v>
      </c>
      <c r="B170" s="42" t="s">
        <v>64</v>
      </c>
      <c r="C170" s="43">
        <v>4015989</v>
      </c>
      <c r="D170" s="56" t="s">
        <v>287</v>
      </c>
      <c r="E170" s="56" t="s">
        <v>288</v>
      </c>
      <c r="F170" s="45">
        <v>1699</v>
      </c>
      <c r="G170" s="45">
        <v>1399</v>
      </c>
      <c r="H170" s="45">
        <v>1399</v>
      </c>
      <c r="I170" s="45">
        <v>1399</v>
      </c>
      <c r="J170" s="45">
        <v>1199</v>
      </c>
      <c r="K170" s="45">
        <v>1199</v>
      </c>
      <c r="L170" s="45">
        <v>1199</v>
      </c>
      <c r="M170" s="45">
        <v>1199</v>
      </c>
      <c r="N170" s="45">
        <v>1199</v>
      </c>
      <c r="O170" s="45">
        <v>1099</v>
      </c>
      <c r="P170" s="46">
        <v>1049</v>
      </c>
      <c r="Q170" s="46">
        <v>899</v>
      </c>
      <c r="R170" s="45">
        <v>1099</v>
      </c>
      <c r="S170" s="45">
        <v>1049</v>
      </c>
      <c r="T170" s="45">
        <v>899</v>
      </c>
      <c r="U170" s="45">
        <v>899</v>
      </c>
      <c r="V170" s="45">
        <v>899</v>
      </c>
      <c r="W170" s="45">
        <v>899</v>
      </c>
      <c r="X170" s="45">
        <v>849</v>
      </c>
      <c r="Y170" s="45">
        <v>829</v>
      </c>
      <c r="Z170" s="45">
        <v>829</v>
      </c>
      <c r="AA170" s="45">
        <v>819</v>
      </c>
      <c r="AB170" s="45"/>
      <c r="AC170" s="45"/>
      <c r="AD170" s="45"/>
      <c r="AE170" s="45"/>
      <c r="AF170" s="45"/>
      <c r="AG170" s="45"/>
      <c r="AH170" s="45"/>
      <c r="AI170" s="45"/>
      <c r="AJ170" s="45"/>
      <c r="AK170" s="45"/>
      <c r="AL170" s="45"/>
      <c r="AM170" s="45"/>
      <c r="AN170" s="45"/>
      <c r="AO170" s="45"/>
      <c r="AP170" s="45"/>
      <c r="AQ170" s="45"/>
      <c r="AR170" s="45"/>
      <c r="AS170" s="45"/>
      <c r="AT170" s="45"/>
      <c r="AU170" s="45"/>
      <c r="AV170" s="47"/>
      <c r="AW170" s="48" t="s">
        <v>67</v>
      </c>
      <c r="AX170" s="49" t="s">
        <v>68</v>
      </c>
      <c r="AY170" s="50">
        <f t="shared" si="10"/>
        <v>28.259799999999998</v>
      </c>
      <c r="AZ170" s="50">
        <f t="shared" si="11"/>
        <v>25.4618</v>
      </c>
      <c r="BA170" s="51">
        <f t="shared" si="12"/>
        <v>14.409700000000001</v>
      </c>
    </row>
    <row r="171" spans="1:53" ht="21.75" customHeight="1">
      <c r="A171" s="55" t="s">
        <v>222</v>
      </c>
      <c r="B171" s="42" t="s">
        <v>64</v>
      </c>
      <c r="C171" s="43">
        <v>4017123</v>
      </c>
      <c r="D171" s="56" t="s">
        <v>289</v>
      </c>
      <c r="E171" s="56" t="s">
        <v>290</v>
      </c>
      <c r="F171" s="45">
        <v>1999</v>
      </c>
      <c r="G171" s="45">
        <v>1999</v>
      </c>
      <c r="H171" s="45">
        <v>1999</v>
      </c>
      <c r="I171" s="45">
        <v>1999</v>
      </c>
      <c r="J171" s="45">
        <v>1899</v>
      </c>
      <c r="K171" s="45">
        <v>1899</v>
      </c>
      <c r="L171" s="45">
        <v>1899</v>
      </c>
      <c r="M171" s="45">
        <v>1899</v>
      </c>
      <c r="N171" s="45">
        <v>1899</v>
      </c>
      <c r="O171" s="45">
        <v>1799</v>
      </c>
      <c r="P171" s="46">
        <v>1699</v>
      </c>
      <c r="Q171" s="46">
        <v>1499</v>
      </c>
      <c r="R171" s="45">
        <v>1799</v>
      </c>
      <c r="S171" s="45">
        <v>1699</v>
      </c>
      <c r="T171" s="45">
        <v>1499</v>
      </c>
      <c r="U171" s="45">
        <v>1499</v>
      </c>
      <c r="V171" s="45">
        <v>1499</v>
      </c>
      <c r="W171" s="45">
        <v>1499</v>
      </c>
      <c r="X171" s="45">
        <v>1399</v>
      </c>
      <c r="Y171" s="45">
        <v>999</v>
      </c>
      <c r="Z171" s="45">
        <v>999</v>
      </c>
      <c r="AA171" s="45">
        <v>999</v>
      </c>
      <c r="AB171" s="45">
        <v>1899</v>
      </c>
      <c r="AC171" s="45">
        <v>1899</v>
      </c>
      <c r="AD171" s="45">
        <v>1899</v>
      </c>
      <c r="AE171" s="45">
        <v>1799</v>
      </c>
      <c r="AF171" s="45">
        <v>1699</v>
      </c>
      <c r="AG171" s="45">
        <v>1699</v>
      </c>
      <c r="AH171" s="45">
        <v>1499</v>
      </c>
      <c r="AI171" s="45">
        <v>1499</v>
      </c>
      <c r="AJ171" s="45">
        <v>1499</v>
      </c>
      <c r="AK171" s="45">
        <v>1499</v>
      </c>
      <c r="AL171" s="45">
        <v>999</v>
      </c>
      <c r="AM171" s="45"/>
      <c r="AN171" s="45"/>
      <c r="AO171" s="45"/>
      <c r="AP171" s="45"/>
      <c r="AQ171" s="45"/>
      <c r="AR171" s="45"/>
      <c r="AS171" s="45"/>
      <c r="AT171" s="45"/>
      <c r="AU171" s="45"/>
      <c r="AV171" s="47"/>
      <c r="AW171" s="48" t="s">
        <v>67</v>
      </c>
      <c r="AX171" s="49" t="s">
        <v>68</v>
      </c>
      <c r="AY171" s="50">
        <f t="shared" si="10"/>
        <v>40.379799999999996</v>
      </c>
      <c r="AZ171" s="50">
        <f t="shared" si="11"/>
        <v>36.381799999999998</v>
      </c>
      <c r="BA171" s="51">
        <f t="shared" si="12"/>
        <v>20.589700000000001</v>
      </c>
    </row>
    <row r="172" spans="1:53" ht="21.75" customHeight="1">
      <c r="A172" s="55" t="s">
        <v>222</v>
      </c>
      <c r="B172" s="42" t="s">
        <v>64</v>
      </c>
      <c r="C172" s="43">
        <v>4017120</v>
      </c>
      <c r="D172" s="56" t="s">
        <v>289</v>
      </c>
      <c r="E172" s="56" t="s">
        <v>291</v>
      </c>
      <c r="F172" s="45">
        <v>1999</v>
      </c>
      <c r="G172" s="45">
        <v>1999</v>
      </c>
      <c r="H172" s="45">
        <v>1999</v>
      </c>
      <c r="I172" s="45">
        <v>1999</v>
      </c>
      <c r="J172" s="45">
        <v>1899</v>
      </c>
      <c r="K172" s="45">
        <v>1899</v>
      </c>
      <c r="L172" s="45">
        <v>1899</v>
      </c>
      <c r="M172" s="45">
        <v>1899</v>
      </c>
      <c r="N172" s="45">
        <v>1899</v>
      </c>
      <c r="O172" s="45">
        <v>1799</v>
      </c>
      <c r="P172" s="46">
        <v>1699</v>
      </c>
      <c r="Q172" s="46">
        <v>1499</v>
      </c>
      <c r="R172" s="45">
        <v>1799</v>
      </c>
      <c r="S172" s="45">
        <v>1699</v>
      </c>
      <c r="T172" s="45">
        <v>1499</v>
      </c>
      <c r="U172" s="45">
        <v>1499</v>
      </c>
      <c r="V172" s="45">
        <v>1499</v>
      </c>
      <c r="W172" s="45">
        <v>1499</v>
      </c>
      <c r="X172" s="45">
        <v>1399</v>
      </c>
      <c r="Y172" s="45">
        <v>999</v>
      </c>
      <c r="Z172" s="45">
        <v>999</v>
      </c>
      <c r="AA172" s="45">
        <v>999</v>
      </c>
      <c r="AB172" s="45">
        <v>1899</v>
      </c>
      <c r="AC172" s="45">
        <v>1899</v>
      </c>
      <c r="AD172" s="45">
        <v>1899</v>
      </c>
      <c r="AE172" s="45">
        <v>1799</v>
      </c>
      <c r="AF172" s="45">
        <v>1699</v>
      </c>
      <c r="AG172" s="45">
        <v>1699</v>
      </c>
      <c r="AH172" s="45">
        <v>1499</v>
      </c>
      <c r="AI172" s="45">
        <v>1499</v>
      </c>
      <c r="AJ172" s="45">
        <v>1499</v>
      </c>
      <c r="AK172" s="45">
        <v>1499</v>
      </c>
      <c r="AL172" s="45">
        <v>999</v>
      </c>
      <c r="AM172" s="45"/>
      <c r="AN172" s="45"/>
      <c r="AO172" s="45"/>
      <c r="AP172" s="45"/>
      <c r="AQ172" s="45"/>
      <c r="AR172" s="45"/>
      <c r="AS172" s="45"/>
      <c r="AT172" s="45"/>
      <c r="AU172" s="45"/>
      <c r="AV172" s="47"/>
      <c r="AW172" s="48" t="s">
        <v>67</v>
      </c>
      <c r="AX172" s="49" t="s">
        <v>68</v>
      </c>
      <c r="AY172" s="50">
        <f t="shared" si="10"/>
        <v>40.379799999999996</v>
      </c>
      <c r="AZ172" s="50">
        <f t="shared" si="11"/>
        <v>36.381799999999998</v>
      </c>
      <c r="BA172" s="51">
        <f t="shared" si="12"/>
        <v>20.589700000000001</v>
      </c>
    </row>
    <row r="173" spans="1:53" ht="21.75" customHeight="1">
      <c r="A173" s="55" t="s">
        <v>222</v>
      </c>
      <c r="B173" s="42" t="s">
        <v>64</v>
      </c>
      <c r="C173" s="43">
        <v>4017684</v>
      </c>
      <c r="D173" s="56" t="s">
        <v>292</v>
      </c>
      <c r="E173" s="56" t="s">
        <v>293</v>
      </c>
      <c r="F173" s="45">
        <v>2199</v>
      </c>
      <c r="G173" s="45">
        <v>1599</v>
      </c>
      <c r="H173" s="45">
        <v>1599</v>
      </c>
      <c r="I173" s="45">
        <v>1599</v>
      </c>
      <c r="J173" s="45">
        <v>1499</v>
      </c>
      <c r="K173" s="45">
        <v>1399</v>
      </c>
      <c r="L173" s="45">
        <v>1399</v>
      </c>
      <c r="M173" s="45">
        <v>1499</v>
      </c>
      <c r="N173" s="45">
        <v>1399</v>
      </c>
      <c r="O173" s="45">
        <v>1349</v>
      </c>
      <c r="P173" s="46">
        <v>1349</v>
      </c>
      <c r="Q173" s="46">
        <v>1199</v>
      </c>
      <c r="R173" s="45">
        <v>1349</v>
      </c>
      <c r="S173" s="45">
        <v>1349</v>
      </c>
      <c r="T173" s="45">
        <v>1199</v>
      </c>
      <c r="U173" s="45">
        <v>1199</v>
      </c>
      <c r="V173" s="45">
        <v>1199</v>
      </c>
      <c r="W173" s="45">
        <v>1199</v>
      </c>
      <c r="X173" s="45">
        <v>1149</v>
      </c>
      <c r="Y173" s="45">
        <v>999</v>
      </c>
      <c r="Z173" s="45">
        <v>999</v>
      </c>
      <c r="AA173" s="45">
        <v>999</v>
      </c>
      <c r="AB173" s="45"/>
      <c r="AC173" s="45"/>
      <c r="AD173" s="45"/>
      <c r="AE173" s="45"/>
      <c r="AF173" s="45"/>
      <c r="AG173" s="45"/>
      <c r="AH173" s="45"/>
      <c r="AI173" s="45"/>
      <c r="AJ173" s="45"/>
      <c r="AK173" s="45"/>
      <c r="AL173" s="45"/>
      <c r="AM173" s="45"/>
      <c r="AN173" s="45"/>
      <c r="AO173" s="45"/>
      <c r="AP173" s="45"/>
      <c r="AQ173" s="45"/>
      <c r="AR173" s="45"/>
      <c r="AS173" s="45"/>
      <c r="AT173" s="45"/>
      <c r="AU173" s="45"/>
      <c r="AV173" s="47"/>
      <c r="AW173" s="48" t="s">
        <v>67</v>
      </c>
      <c r="AX173" s="49" t="s">
        <v>68</v>
      </c>
      <c r="AY173" s="50">
        <f t="shared" si="10"/>
        <v>32.299799999999998</v>
      </c>
      <c r="AZ173" s="50">
        <f t="shared" si="11"/>
        <v>29.101800000000001</v>
      </c>
      <c r="BA173" s="51">
        <f t="shared" si="12"/>
        <v>16.4697</v>
      </c>
    </row>
    <row r="174" spans="1:53" ht="21.75" customHeight="1">
      <c r="A174" s="55" t="s">
        <v>222</v>
      </c>
      <c r="B174" s="42" t="s">
        <v>64</v>
      </c>
      <c r="C174" s="43">
        <v>4017687</v>
      </c>
      <c r="D174" s="56" t="s">
        <v>292</v>
      </c>
      <c r="E174" s="56" t="s">
        <v>294</v>
      </c>
      <c r="F174" s="45">
        <v>2199</v>
      </c>
      <c r="G174" s="45">
        <v>1599</v>
      </c>
      <c r="H174" s="45">
        <v>1599</v>
      </c>
      <c r="I174" s="45">
        <v>1599</v>
      </c>
      <c r="J174" s="45">
        <v>1499</v>
      </c>
      <c r="K174" s="45">
        <v>1399</v>
      </c>
      <c r="L174" s="45">
        <v>1399</v>
      </c>
      <c r="M174" s="45">
        <v>1499</v>
      </c>
      <c r="N174" s="45">
        <v>1399</v>
      </c>
      <c r="O174" s="45">
        <v>1349</v>
      </c>
      <c r="P174" s="46">
        <v>1349</v>
      </c>
      <c r="Q174" s="46">
        <v>1199</v>
      </c>
      <c r="R174" s="45">
        <v>1349</v>
      </c>
      <c r="S174" s="45">
        <v>1349</v>
      </c>
      <c r="T174" s="45">
        <v>1199</v>
      </c>
      <c r="U174" s="45">
        <v>1199</v>
      </c>
      <c r="V174" s="45">
        <v>1199</v>
      </c>
      <c r="W174" s="45">
        <v>1199</v>
      </c>
      <c r="X174" s="45">
        <v>1149</v>
      </c>
      <c r="Y174" s="45">
        <v>999</v>
      </c>
      <c r="Z174" s="45">
        <v>999</v>
      </c>
      <c r="AA174" s="45">
        <v>999</v>
      </c>
      <c r="AB174" s="45"/>
      <c r="AC174" s="45"/>
      <c r="AD174" s="45"/>
      <c r="AE174" s="45"/>
      <c r="AF174" s="45"/>
      <c r="AG174" s="45"/>
      <c r="AH174" s="45"/>
      <c r="AI174" s="45"/>
      <c r="AJ174" s="45"/>
      <c r="AK174" s="45"/>
      <c r="AL174" s="45"/>
      <c r="AM174" s="45"/>
      <c r="AN174" s="45"/>
      <c r="AO174" s="45"/>
      <c r="AP174" s="45"/>
      <c r="AQ174" s="45"/>
      <c r="AR174" s="45"/>
      <c r="AS174" s="45"/>
      <c r="AT174" s="45"/>
      <c r="AU174" s="45"/>
      <c r="AV174" s="47"/>
      <c r="AW174" s="48" t="s">
        <v>67</v>
      </c>
      <c r="AX174" s="49" t="s">
        <v>68</v>
      </c>
      <c r="AY174" s="50">
        <f t="shared" si="10"/>
        <v>32.299799999999998</v>
      </c>
      <c r="AZ174" s="50">
        <f t="shared" si="11"/>
        <v>29.101800000000001</v>
      </c>
      <c r="BA174" s="51">
        <f t="shared" si="12"/>
        <v>16.4697</v>
      </c>
    </row>
    <row r="175" spans="1:53" ht="22" customHeight="1">
      <c r="A175" s="55" t="s">
        <v>222</v>
      </c>
      <c r="B175" s="42" t="s">
        <v>64</v>
      </c>
      <c r="C175" s="43">
        <v>4016652</v>
      </c>
      <c r="D175" s="56" t="s">
        <v>295</v>
      </c>
      <c r="E175" s="56" t="s">
        <v>296</v>
      </c>
      <c r="F175" s="45">
        <v>2299</v>
      </c>
      <c r="G175" s="45">
        <v>1799</v>
      </c>
      <c r="H175" s="45">
        <v>1799</v>
      </c>
      <c r="I175" s="45">
        <v>1799</v>
      </c>
      <c r="J175" s="45">
        <v>1699</v>
      </c>
      <c r="K175" s="45">
        <v>1699</v>
      </c>
      <c r="L175" s="45">
        <v>1699</v>
      </c>
      <c r="M175" s="45">
        <v>1699</v>
      </c>
      <c r="N175" s="45">
        <v>1699</v>
      </c>
      <c r="O175" s="45">
        <v>1599</v>
      </c>
      <c r="P175" s="46">
        <v>1499</v>
      </c>
      <c r="Q175" s="46">
        <v>999</v>
      </c>
      <c r="R175" s="45">
        <v>1599</v>
      </c>
      <c r="S175" s="45">
        <v>1499</v>
      </c>
      <c r="T175" s="45">
        <v>999</v>
      </c>
      <c r="U175" s="45">
        <v>999</v>
      </c>
      <c r="V175" s="45">
        <v>999</v>
      </c>
      <c r="W175" s="45">
        <v>999</v>
      </c>
      <c r="X175" s="45">
        <v>999</v>
      </c>
      <c r="Y175" s="45">
        <v>899</v>
      </c>
      <c r="Z175" s="45">
        <v>899</v>
      </c>
      <c r="AA175" s="45">
        <v>899</v>
      </c>
      <c r="AB175" s="45"/>
      <c r="AC175" s="45"/>
      <c r="AD175" s="45"/>
      <c r="AE175" s="45"/>
      <c r="AF175" s="45"/>
      <c r="AG175" s="45"/>
      <c r="AH175" s="45"/>
      <c r="AI175" s="45"/>
      <c r="AJ175" s="45"/>
      <c r="AK175" s="45"/>
      <c r="AL175" s="45"/>
      <c r="AM175" s="45"/>
      <c r="AN175" s="45"/>
      <c r="AO175" s="45"/>
      <c r="AP175" s="45"/>
      <c r="AQ175" s="45"/>
      <c r="AR175" s="45"/>
      <c r="AS175" s="45"/>
      <c r="AT175" s="45"/>
      <c r="AU175" s="45"/>
      <c r="AV175" s="47"/>
      <c r="AW175" s="48" t="s">
        <v>67</v>
      </c>
      <c r="AX175" s="49" t="s">
        <v>68</v>
      </c>
      <c r="AY175" s="50">
        <f t="shared" si="10"/>
        <v>36.339799999999997</v>
      </c>
      <c r="AZ175" s="50">
        <f t="shared" si="11"/>
        <v>32.741800000000005</v>
      </c>
      <c r="BA175" s="51">
        <f t="shared" si="12"/>
        <v>18.529700000000002</v>
      </c>
    </row>
    <row r="176" spans="1:53" ht="22" customHeight="1">
      <c r="A176" s="55" t="s">
        <v>222</v>
      </c>
      <c r="B176" s="42" t="s">
        <v>64</v>
      </c>
      <c r="C176" s="43">
        <v>4016654</v>
      </c>
      <c r="D176" s="56" t="s">
        <v>295</v>
      </c>
      <c r="E176" s="56" t="s">
        <v>297</v>
      </c>
      <c r="F176" s="45">
        <v>2299</v>
      </c>
      <c r="G176" s="45">
        <v>1799</v>
      </c>
      <c r="H176" s="45">
        <v>1799</v>
      </c>
      <c r="I176" s="45">
        <v>1799</v>
      </c>
      <c r="J176" s="45">
        <v>1699</v>
      </c>
      <c r="K176" s="45">
        <v>1699</v>
      </c>
      <c r="L176" s="45">
        <v>1699</v>
      </c>
      <c r="M176" s="45">
        <v>1699</v>
      </c>
      <c r="N176" s="45">
        <v>1699</v>
      </c>
      <c r="O176" s="45">
        <v>1599</v>
      </c>
      <c r="P176" s="46">
        <v>1499</v>
      </c>
      <c r="Q176" s="46">
        <v>999</v>
      </c>
      <c r="R176" s="45">
        <v>1599</v>
      </c>
      <c r="S176" s="45">
        <v>1499</v>
      </c>
      <c r="T176" s="45">
        <v>999</v>
      </c>
      <c r="U176" s="45">
        <v>999</v>
      </c>
      <c r="V176" s="45">
        <v>999</v>
      </c>
      <c r="W176" s="45">
        <v>999</v>
      </c>
      <c r="X176" s="45">
        <v>999</v>
      </c>
      <c r="Y176" s="45">
        <v>899</v>
      </c>
      <c r="Z176" s="45">
        <v>899</v>
      </c>
      <c r="AA176" s="45">
        <v>899</v>
      </c>
      <c r="AB176" s="45"/>
      <c r="AC176" s="45"/>
      <c r="AD176" s="45"/>
      <c r="AE176" s="45"/>
      <c r="AF176" s="45"/>
      <c r="AG176" s="45"/>
      <c r="AH176" s="45"/>
      <c r="AI176" s="45"/>
      <c r="AJ176" s="45"/>
      <c r="AK176" s="45"/>
      <c r="AL176" s="45"/>
      <c r="AM176" s="45"/>
      <c r="AN176" s="45"/>
      <c r="AO176" s="45"/>
      <c r="AP176" s="45"/>
      <c r="AQ176" s="45"/>
      <c r="AR176" s="45"/>
      <c r="AS176" s="45"/>
      <c r="AT176" s="45"/>
      <c r="AU176" s="45"/>
      <c r="AV176" s="47"/>
      <c r="AW176" s="48" t="s">
        <v>67</v>
      </c>
      <c r="AX176" s="49" t="s">
        <v>68</v>
      </c>
      <c r="AY176" s="50">
        <f t="shared" si="10"/>
        <v>36.339799999999997</v>
      </c>
      <c r="AZ176" s="50">
        <f t="shared" si="11"/>
        <v>32.741800000000005</v>
      </c>
      <c r="BA176" s="51">
        <f t="shared" si="12"/>
        <v>18.529700000000002</v>
      </c>
    </row>
    <row r="177" spans="1:53" ht="22" customHeight="1">
      <c r="A177" s="55" t="s">
        <v>222</v>
      </c>
      <c r="B177" s="42" t="s">
        <v>64</v>
      </c>
      <c r="C177" s="43">
        <v>4014955</v>
      </c>
      <c r="D177" s="56" t="s">
        <v>298</v>
      </c>
      <c r="E177" s="56" t="s">
        <v>299</v>
      </c>
      <c r="F177" s="45">
        <v>999</v>
      </c>
      <c r="G177" s="45">
        <v>799</v>
      </c>
      <c r="H177" s="45">
        <v>799</v>
      </c>
      <c r="I177" s="45">
        <v>799</v>
      </c>
      <c r="J177" s="45">
        <f t="shared" ref="J177:J196" si="14">M177</f>
        <v>699</v>
      </c>
      <c r="K177" s="45">
        <f t="shared" ref="K177:L196" si="15">M177</f>
        <v>699</v>
      </c>
      <c r="L177" s="45">
        <f t="shared" si="15"/>
        <v>699</v>
      </c>
      <c r="M177" s="45">
        <v>699</v>
      </c>
      <c r="N177" s="45">
        <v>699</v>
      </c>
      <c r="O177" s="45">
        <f t="shared" ref="O177:Q194" si="16">R177</f>
        <v>649</v>
      </c>
      <c r="P177" s="46">
        <f t="shared" si="16"/>
        <v>599</v>
      </c>
      <c r="Q177" s="46">
        <f t="shared" si="16"/>
        <v>549</v>
      </c>
      <c r="R177" s="45">
        <v>649</v>
      </c>
      <c r="S177" s="45">
        <v>599</v>
      </c>
      <c r="T177" s="45">
        <v>549</v>
      </c>
      <c r="U177" s="45">
        <v>549</v>
      </c>
      <c r="V177" s="45">
        <v>549</v>
      </c>
      <c r="W177" s="45">
        <v>549</v>
      </c>
      <c r="X177" s="45">
        <v>549</v>
      </c>
      <c r="Y177" s="45">
        <v>549</v>
      </c>
      <c r="Z177" s="45">
        <v>549</v>
      </c>
      <c r="AA177" s="45">
        <v>549</v>
      </c>
      <c r="AB177" s="45"/>
      <c r="AC177" s="45"/>
      <c r="AD177" s="45"/>
      <c r="AE177" s="45"/>
      <c r="AF177" s="45"/>
      <c r="AG177" s="45"/>
      <c r="AH177" s="45"/>
      <c r="AI177" s="45"/>
      <c r="AJ177" s="45"/>
      <c r="AK177" s="45"/>
      <c r="AL177" s="45"/>
      <c r="AM177" s="45"/>
      <c r="AN177" s="45"/>
      <c r="AO177" s="45"/>
      <c r="AP177" s="45"/>
      <c r="AQ177" s="45"/>
      <c r="AR177" s="45"/>
      <c r="AS177" s="45"/>
      <c r="AT177" s="45"/>
      <c r="AU177" s="45"/>
      <c r="AV177" s="47"/>
      <c r="AW177" s="48" t="s">
        <v>67</v>
      </c>
      <c r="AX177" s="49" t="s">
        <v>68</v>
      </c>
      <c r="AY177" s="50">
        <f t="shared" si="10"/>
        <v>16.139800000000001</v>
      </c>
      <c r="AZ177" s="50">
        <f t="shared" si="11"/>
        <v>14.5418</v>
      </c>
      <c r="BA177" s="51">
        <f t="shared" si="12"/>
        <v>8.2296999999999993</v>
      </c>
    </row>
    <row r="178" spans="1:53" ht="22" customHeight="1">
      <c r="A178" s="55" t="s">
        <v>222</v>
      </c>
      <c r="B178" s="42" t="s">
        <v>64</v>
      </c>
      <c r="C178" s="43">
        <v>4017126</v>
      </c>
      <c r="D178" s="56" t="s">
        <v>300</v>
      </c>
      <c r="E178" s="56" t="s">
        <v>301</v>
      </c>
      <c r="F178" s="45">
        <v>2799</v>
      </c>
      <c r="G178" s="45">
        <v>2399</v>
      </c>
      <c r="H178" s="45">
        <v>2549</v>
      </c>
      <c r="I178" s="45">
        <v>2549</v>
      </c>
      <c r="J178" s="45">
        <v>2499</v>
      </c>
      <c r="K178" s="45">
        <v>2499</v>
      </c>
      <c r="L178" s="45">
        <v>2499</v>
      </c>
      <c r="M178" s="45">
        <v>2499</v>
      </c>
      <c r="N178" s="45">
        <v>2499</v>
      </c>
      <c r="O178" s="45">
        <v>2399</v>
      </c>
      <c r="P178" s="46">
        <v>2299</v>
      </c>
      <c r="Q178" s="46">
        <v>1799</v>
      </c>
      <c r="R178" s="45">
        <v>2399</v>
      </c>
      <c r="S178" s="45">
        <v>2299</v>
      </c>
      <c r="T178" s="45">
        <v>1799</v>
      </c>
      <c r="U178" s="45">
        <v>1799</v>
      </c>
      <c r="V178" s="45">
        <v>1799</v>
      </c>
      <c r="W178" s="45">
        <v>1799</v>
      </c>
      <c r="X178" s="45">
        <v>1349</v>
      </c>
      <c r="Y178" s="45">
        <v>1099</v>
      </c>
      <c r="Z178" s="45">
        <v>1099</v>
      </c>
      <c r="AA178" s="45">
        <v>1099</v>
      </c>
      <c r="AB178" s="45"/>
      <c r="AC178" s="45"/>
      <c r="AD178" s="45"/>
      <c r="AE178" s="45"/>
      <c r="AF178" s="45"/>
      <c r="AG178" s="45"/>
      <c r="AH178" s="45"/>
      <c r="AI178" s="45"/>
      <c r="AJ178" s="45"/>
      <c r="AK178" s="45"/>
      <c r="AL178" s="45"/>
      <c r="AM178" s="45"/>
      <c r="AN178" s="45"/>
      <c r="AO178" s="45"/>
      <c r="AP178" s="45"/>
      <c r="AQ178" s="45"/>
      <c r="AR178" s="45"/>
      <c r="AS178" s="45"/>
      <c r="AT178" s="45"/>
      <c r="AU178" s="45"/>
      <c r="AV178" s="47"/>
      <c r="AW178" s="48" t="s">
        <v>67</v>
      </c>
      <c r="AX178" s="49" t="s">
        <v>68</v>
      </c>
      <c r="AY178" s="50">
        <f t="shared" si="10"/>
        <v>51.489799999999995</v>
      </c>
      <c r="AZ178" s="50">
        <f t="shared" si="11"/>
        <v>46.391800000000003</v>
      </c>
      <c r="BA178" s="51">
        <f t="shared" si="12"/>
        <v>26.2547</v>
      </c>
    </row>
    <row r="179" spans="1:53" ht="22" customHeight="1">
      <c r="A179" s="55" t="s">
        <v>222</v>
      </c>
      <c r="B179" s="42" t="s">
        <v>64</v>
      </c>
      <c r="C179" s="43">
        <v>4017127</v>
      </c>
      <c r="D179" s="56" t="s">
        <v>300</v>
      </c>
      <c r="E179" s="56" t="s">
        <v>302</v>
      </c>
      <c r="F179" s="45">
        <v>2799</v>
      </c>
      <c r="G179" s="45">
        <v>2399</v>
      </c>
      <c r="H179" s="45">
        <v>2549</v>
      </c>
      <c r="I179" s="45">
        <v>2549</v>
      </c>
      <c r="J179" s="45">
        <v>2499</v>
      </c>
      <c r="K179" s="45">
        <v>2499</v>
      </c>
      <c r="L179" s="45">
        <v>2499</v>
      </c>
      <c r="M179" s="45">
        <v>2499</v>
      </c>
      <c r="N179" s="45">
        <v>2499</v>
      </c>
      <c r="O179" s="45">
        <v>2399</v>
      </c>
      <c r="P179" s="46">
        <v>2299</v>
      </c>
      <c r="Q179" s="46">
        <v>1799</v>
      </c>
      <c r="R179" s="45">
        <v>2399</v>
      </c>
      <c r="S179" s="45">
        <v>2299</v>
      </c>
      <c r="T179" s="45">
        <v>1799</v>
      </c>
      <c r="U179" s="45">
        <v>1799</v>
      </c>
      <c r="V179" s="45">
        <v>1799</v>
      </c>
      <c r="W179" s="45">
        <v>1799</v>
      </c>
      <c r="X179" s="45">
        <v>1349</v>
      </c>
      <c r="Y179" s="45">
        <v>1099</v>
      </c>
      <c r="Z179" s="45">
        <v>1099</v>
      </c>
      <c r="AA179" s="45">
        <v>1099</v>
      </c>
      <c r="AB179" s="45"/>
      <c r="AC179" s="45"/>
      <c r="AD179" s="45"/>
      <c r="AE179" s="45"/>
      <c r="AF179" s="45"/>
      <c r="AG179" s="45"/>
      <c r="AH179" s="45"/>
      <c r="AI179" s="45"/>
      <c r="AJ179" s="45"/>
      <c r="AK179" s="45"/>
      <c r="AL179" s="45"/>
      <c r="AM179" s="45"/>
      <c r="AN179" s="45"/>
      <c r="AO179" s="45"/>
      <c r="AP179" s="45"/>
      <c r="AQ179" s="45"/>
      <c r="AR179" s="45"/>
      <c r="AS179" s="45"/>
      <c r="AT179" s="45"/>
      <c r="AU179" s="45"/>
      <c r="AV179" s="47"/>
      <c r="AW179" s="48" t="s">
        <v>67</v>
      </c>
      <c r="AX179" s="49" t="s">
        <v>68</v>
      </c>
      <c r="AY179" s="50">
        <f t="shared" si="10"/>
        <v>51.489799999999995</v>
      </c>
      <c r="AZ179" s="50">
        <f t="shared" si="11"/>
        <v>46.391800000000003</v>
      </c>
      <c r="BA179" s="51">
        <f t="shared" si="12"/>
        <v>26.2547</v>
      </c>
    </row>
    <row r="180" spans="1:53" ht="22" customHeight="1">
      <c r="A180" s="55" t="s">
        <v>222</v>
      </c>
      <c r="B180" s="42" t="s">
        <v>64</v>
      </c>
      <c r="C180" s="43">
        <v>4017672</v>
      </c>
      <c r="D180" s="56" t="s">
        <v>300</v>
      </c>
      <c r="E180" s="56" t="s">
        <v>303</v>
      </c>
      <c r="F180" s="45">
        <v>2799</v>
      </c>
      <c r="G180" s="45">
        <v>2399</v>
      </c>
      <c r="H180" s="45">
        <v>2549</v>
      </c>
      <c r="I180" s="45">
        <v>2549</v>
      </c>
      <c r="J180" s="45">
        <v>2499</v>
      </c>
      <c r="K180" s="45">
        <v>2499</v>
      </c>
      <c r="L180" s="45">
        <v>2499</v>
      </c>
      <c r="M180" s="45">
        <v>2499</v>
      </c>
      <c r="N180" s="45">
        <v>2499</v>
      </c>
      <c r="O180" s="45">
        <v>2399</v>
      </c>
      <c r="P180" s="46">
        <v>2299</v>
      </c>
      <c r="Q180" s="46">
        <v>1799</v>
      </c>
      <c r="R180" s="45">
        <v>2399</v>
      </c>
      <c r="S180" s="45">
        <v>2299</v>
      </c>
      <c r="T180" s="45">
        <v>1799</v>
      </c>
      <c r="U180" s="45">
        <v>1799</v>
      </c>
      <c r="V180" s="45">
        <v>1799</v>
      </c>
      <c r="W180" s="45">
        <v>1799</v>
      </c>
      <c r="X180" s="45">
        <v>1349</v>
      </c>
      <c r="Y180" s="45">
        <v>1099</v>
      </c>
      <c r="Z180" s="45">
        <v>1099</v>
      </c>
      <c r="AA180" s="45">
        <v>1099</v>
      </c>
      <c r="AB180" s="45"/>
      <c r="AC180" s="45"/>
      <c r="AD180" s="45"/>
      <c r="AE180" s="45"/>
      <c r="AF180" s="45"/>
      <c r="AG180" s="45"/>
      <c r="AH180" s="45"/>
      <c r="AI180" s="45"/>
      <c r="AJ180" s="45"/>
      <c r="AK180" s="45"/>
      <c r="AL180" s="45"/>
      <c r="AM180" s="45"/>
      <c r="AN180" s="45"/>
      <c r="AO180" s="45"/>
      <c r="AP180" s="45"/>
      <c r="AQ180" s="45"/>
      <c r="AR180" s="45"/>
      <c r="AS180" s="45"/>
      <c r="AT180" s="45"/>
      <c r="AU180" s="45"/>
      <c r="AV180" s="47"/>
      <c r="AW180" s="48" t="s">
        <v>67</v>
      </c>
      <c r="AX180" s="49" t="s">
        <v>68</v>
      </c>
      <c r="AY180" s="50">
        <f t="shared" si="10"/>
        <v>51.489799999999995</v>
      </c>
      <c r="AZ180" s="50">
        <f t="shared" si="11"/>
        <v>46.391800000000003</v>
      </c>
      <c r="BA180" s="51">
        <f t="shared" si="12"/>
        <v>26.2547</v>
      </c>
    </row>
    <row r="181" spans="1:53" ht="22" customHeight="1">
      <c r="A181" s="55" t="s">
        <v>222</v>
      </c>
      <c r="B181" s="42" t="s">
        <v>64</v>
      </c>
      <c r="C181" s="43">
        <v>4017673</v>
      </c>
      <c r="D181" s="56" t="s">
        <v>300</v>
      </c>
      <c r="E181" s="56" t="s">
        <v>304</v>
      </c>
      <c r="F181" s="45">
        <v>2799</v>
      </c>
      <c r="G181" s="45">
        <v>2399</v>
      </c>
      <c r="H181" s="45">
        <v>2549</v>
      </c>
      <c r="I181" s="45">
        <v>2549</v>
      </c>
      <c r="J181" s="45">
        <v>2499</v>
      </c>
      <c r="K181" s="45">
        <v>2499</v>
      </c>
      <c r="L181" s="45">
        <v>2499</v>
      </c>
      <c r="M181" s="45">
        <v>2499</v>
      </c>
      <c r="N181" s="45">
        <v>2499</v>
      </c>
      <c r="O181" s="45">
        <v>2399</v>
      </c>
      <c r="P181" s="46">
        <v>2299</v>
      </c>
      <c r="Q181" s="46">
        <v>1799</v>
      </c>
      <c r="R181" s="45">
        <v>2399</v>
      </c>
      <c r="S181" s="45">
        <v>2299</v>
      </c>
      <c r="T181" s="45">
        <v>1799</v>
      </c>
      <c r="U181" s="45">
        <v>1799</v>
      </c>
      <c r="V181" s="45">
        <v>1799</v>
      </c>
      <c r="W181" s="45">
        <v>1799</v>
      </c>
      <c r="X181" s="45">
        <v>1349</v>
      </c>
      <c r="Y181" s="45">
        <v>1099</v>
      </c>
      <c r="Z181" s="45">
        <v>1099</v>
      </c>
      <c r="AA181" s="45">
        <v>1099</v>
      </c>
      <c r="AB181" s="45"/>
      <c r="AC181" s="45"/>
      <c r="AD181" s="45"/>
      <c r="AE181" s="45"/>
      <c r="AF181" s="45"/>
      <c r="AG181" s="45"/>
      <c r="AH181" s="45"/>
      <c r="AI181" s="45"/>
      <c r="AJ181" s="45"/>
      <c r="AK181" s="45"/>
      <c r="AL181" s="45"/>
      <c r="AM181" s="45"/>
      <c r="AN181" s="45"/>
      <c r="AO181" s="45"/>
      <c r="AP181" s="45"/>
      <c r="AQ181" s="45"/>
      <c r="AR181" s="45"/>
      <c r="AS181" s="45"/>
      <c r="AT181" s="45"/>
      <c r="AU181" s="45"/>
      <c r="AV181" s="47"/>
      <c r="AW181" s="48" t="s">
        <v>67</v>
      </c>
      <c r="AX181" s="49" t="s">
        <v>68</v>
      </c>
      <c r="AY181" s="50">
        <f t="shared" si="10"/>
        <v>51.489799999999995</v>
      </c>
      <c r="AZ181" s="50">
        <f t="shared" si="11"/>
        <v>46.391800000000003</v>
      </c>
      <c r="BA181" s="51">
        <f t="shared" si="12"/>
        <v>26.2547</v>
      </c>
    </row>
    <row r="182" spans="1:53" ht="22" customHeight="1">
      <c r="A182" s="55" t="s">
        <v>222</v>
      </c>
      <c r="B182" s="42" t="s">
        <v>64</v>
      </c>
      <c r="C182" s="43">
        <v>4017964</v>
      </c>
      <c r="D182" s="57" t="s">
        <v>305</v>
      </c>
      <c r="E182" s="56" t="s">
        <v>306</v>
      </c>
      <c r="F182" s="45">
        <v>2999</v>
      </c>
      <c r="G182" s="54">
        <v>2799</v>
      </c>
      <c r="H182" s="54">
        <v>2799</v>
      </c>
      <c r="I182" s="54">
        <v>2799</v>
      </c>
      <c r="J182" s="54">
        <v>2699</v>
      </c>
      <c r="K182" s="45">
        <v>2699</v>
      </c>
      <c r="L182" s="45">
        <v>2699</v>
      </c>
      <c r="M182" s="54">
        <v>2699</v>
      </c>
      <c r="N182" s="45">
        <v>2699</v>
      </c>
      <c r="O182" s="45">
        <v>2599</v>
      </c>
      <c r="P182" s="46">
        <v>2499</v>
      </c>
      <c r="Q182" s="53">
        <v>1999</v>
      </c>
      <c r="R182" s="45">
        <v>2599</v>
      </c>
      <c r="S182" s="45">
        <v>2499</v>
      </c>
      <c r="T182" s="54">
        <v>1999</v>
      </c>
      <c r="U182" s="54">
        <v>1999</v>
      </c>
      <c r="V182" s="54">
        <v>1999</v>
      </c>
      <c r="W182" s="54">
        <v>1999</v>
      </c>
      <c r="X182" s="54">
        <v>1899</v>
      </c>
      <c r="Y182" s="54">
        <v>1799</v>
      </c>
      <c r="Z182" s="54">
        <v>1799</v>
      </c>
      <c r="AA182" s="54">
        <v>1699</v>
      </c>
      <c r="AB182" s="45"/>
      <c r="AC182" s="45"/>
      <c r="AD182" s="45"/>
      <c r="AE182" s="45"/>
      <c r="AF182" s="45"/>
      <c r="AG182" s="45"/>
      <c r="AH182" s="45"/>
      <c r="AI182" s="45"/>
      <c r="AJ182" s="45"/>
      <c r="AK182" s="45"/>
      <c r="AL182" s="45"/>
      <c r="AM182" s="45"/>
      <c r="AN182" s="45"/>
      <c r="AO182" s="45"/>
      <c r="AP182" s="45"/>
      <c r="AQ182" s="45"/>
      <c r="AR182" s="45"/>
      <c r="AS182" s="45"/>
      <c r="AT182" s="45"/>
      <c r="AU182" s="45"/>
      <c r="AV182" s="47"/>
      <c r="AW182" s="48" t="s">
        <v>67</v>
      </c>
      <c r="AX182" s="49" t="s">
        <v>68</v>
      </c>
      <c r="AY182" s="50">
        <f t="shared" si="10"/>
        <v>56.5398</v>
      </c>
      <c r="AZ182" s="50">
        <f t="shared" si="11"/>
        <v>50.941800000000001</v>
      </c>
      <c r="BA182" s="51">
        <f t="shared" si="12"/>
        <v>28.829699999999999</v>
      </c>
    </row>
    <row r="183" spans="1:53" ht="22" customHeight="1">
      <c r="A183" s="55" t="s">
        <v>222</v>
      </c>
      <c r="B183" s="42" t="s">
        <v>64</v>
      </c>
      <c r="C183" s="43">
        <v>4017966</v>
      </c>
      <c r="D183" s="57" t="s">
        <v>305</v>
      </c>
      <c r="E183" s="56" t="s">
        <v>307</v>
      </c>
      <c r="F183" s="45">
        <v>2999</v>
      </c>
      <c r="G183" s="54">
        <v>2799</v>
      </c>
      <c r="H183" s="54">
        <v>2799</v>
      </c>
      <c r="I183" s="54">
        <v>2799</v>
      </c>
      <c r="J183" s="54">
        <v>2699</v>
      </c>
      <c r="K183" s="45">
        <v>2699</v>
      </c>
      <c r="L183" s="45">
        <v>2699</v>
      </c>
      <c r="M183" s="54">
        <v>2699</v>
      </c>
      <c r="N183" s="45">
        <v>2699</v>
      </c>
      <c r="O183" s="45">
        <v>2599</v>
      </c>
      <c r="P183" s="46">
        <v>2499</v>
      </c>
      <c r="Q183" s="53">
        <v>1999</v>
      </c>
      <c r="R183" s="45">
        <v>2599</v>
      </c>
      <c r="S183" s="45">
        <v>2499</v>
      </c>
      <c r="T183" s="54">
        <v>1999</v>
      </c>
      <c r="U183" s="54">
        <v>1999</v>
      </c>
      <c r="V183" s="54">
        <v>1999</v>
      </c>
      <c r="W183" s="54">
        <v>1999</v>
      </c>
      <c r="X183" s="54">
        <v>1899</v>
      </c>
      <c r="Y183" s="54">
        <v>1799</v>
      </c>
      <c r="Z183" s="54">
        <v>1799</v>
      </c>
      <c r="AA183" s="54">
        <v>1699</v>
      </c>
      <c r="AB183" s="45"/>
      <c r="AC183" s="45"/>
      <c r="AD183" s="45"/>
      <c r="AE183" s="45"/>
      <c r="AF183" s="45"/>
      <c r="AG183" s="45"/>
      <c r="AH183" s="45"/>
      <c r="AI183" s="45"/>
      <c r="AJ183" s="45"/>
      <c r="AK183" s="45"/>
      <c r="AL183" s="45"/>
      <c r="AM183" s="45"/>
      <c r="AN183" s="45"/>
      <c r="AO183" s="45"/>
      <c r="AP183" s="45"/>
      <c r="AQ183" s="45"/>
      <c r="AR183" s="45"/>
      <c r="AS183" s="45"/>
      <c r="AT183" s="45"/>
      <c r="AU183" s="45"/>
      <c r="AV183" s="47"/>
      <c r="AW183" s="48" t="s">
        <v>67</v>
      </c>
      <c r="AX183" s="49" t="s">
        <v>68</v>
      </c>
      <c r="AY183" s="50">
        <f t="shared" si="10"/>
        <v>56.5398</v>
      </c>
      <c r="AZ183" s="50">
        <f t="shared" si="11"/>
        <v>50.941800000000001</v>
      </c>
      <c r="BA183" s="51">
        <f t="shared" si="12"/>
        <v>28.829699999999999</v>
      </c>
    </row>
    <row r="184" spans="1:53" ht="22.5" customHeight="1">
      <c r="A184" s="41" t="s">
        <v>63</v>
      </c>
      <c r="B184" s="42" t="s">
        <v>64</v>
      </c>
      <c r="C184" s="43">
        <v>4015582</v>
      </c>
      <c r="D184" s="56" t="s">
        <v>308</v>
      </c>
      <c r="E184" s="56" t="s">
        <v>309</v>
      </c>
      <c r="F184" s="45">
        <v>5499</v>
      </c>
      <c r="G184" s="45">
        <v>1899</v>
      </c>
      <c r="H184" s="45">
        <v>2799</v>
      </c>
      <c r="I184" s="45">
        <v>2799</v>
      </c>
      <c r="J184" s="45">
        <v>2499</v>
      </c>
      <c r="K184" s="45">
        <v>2399</v>
      </c>
      <c r="L184" s="45">
        <v>2399</v>
      </c>
      <c r="M184" s="45">
        <v>2499</v>
      </c>
      <c r="N184" s="45">
        <v>2499</v>
      </c>
      <c r="O184" s="45">
        <v>2299</v>
      </c>
      <c r="P184" s="46">
        <v>2199</v>
      </c>
      <c r="Q184" s="46">
        <v>1699</v>
      </c>
      <c r="R184" s="45">
        <v>2299</v>
      </c>
      <c r="S184" s="45">
        <v>2199</v>
      </c>
      <c r="T184" s="45">
        <v>1699</v>
      </c>
      <c r="U184" s="45">
        <v>1699</v>
      </c>
      <c r="V184" s="45">
        <v>1699</v>
      </c>
      <c r="W184" s="45">
        <v>1699</v>
      </c>
      <c r="X184" s="45">
        <v>1599</v>
      </c>
      <c r="Y184" s="45">
        <v>1399</v>
      </c>
      <c r="Z184" s="45">
        <v>1399</v>
      </c>
      <c r="AA184" s="45">
        <v>1399</v>
      </c>
      <c r="AB184" s="45"/>
      <c r="AC184" s="45"/>
      <c r="AD184" s="45"/>
      <c r="AE184" s="45"/>
      <c r="AF184" s="45"/>
      <c r="AG184" s="45"/>
      <c r="AH184" s="45"/>
      <c r="AI184" s="45"/>
      <c r="AJ184" s="45"/>
      <c r="AK184" s="45"/>
      <c r="AL184" s="45"/>
      <c r="AM184" s="45"/>
      <c r="AN184" s="45"/>
      <c r="AO184" s="45"/>
      <c r="AP184" s="45"/>
      <c r="AQ184" s="45"/>
      <c r="AR184" s="45"/>
      <c r="AS184" s="45"/>
      <c r="AT184" s="45"/>
      <c r="AU184" s="45"/>
      <c r="AV184" s="47"/>
      <c r="AW184" s="48" t="s">
        <v>67</v>
      </c>
      <c r="AX184" s="49" t="s">
        <v>68</v>
      </c>
      <c r="AY184" s="50">
        <f t="shared" si="10"/>
        <v>56.5398</v>
      </c>
      <c r="AZ184" s="50">
        <f t="shared" si="11"/>
        <v>50.941800000000001</v>
      </c>
      <c r="BA184" s="51">
        <f t="shared" si="12"/>
        <v>28.829699999999999</v>
      </c>
    </row>
    <row r="185" spans="1:53" ht="22.5" customHeight="1">
      <c r="A185" s="41" t="s">
        <v>63</v>
      </c>
      <c r="B185" s="42" t="s">
        <v>64</v>
      </c>
      <c r="C185" s="43">
        <v>4015584</v>
      </c>
      <c r="D185" s="56" t="s">
        <v>308</v>
      </c>
      <c r="E185" s="56" t="s">
        <v>310</v>
      </c>
      <c r="F185" s="45">
        <v>5499</v>
      </c>
      <c r="G185" s="45">
        <v>1899</v>
      </c>
      <c r="H185" s="45">
        <v>2799</v>
      </c>
      <c r="I185" s="45">
        <v>2799</v>
      </c>
      <c r="J185" s="45">
        <v>2499</v>
      </c>
      <c r="K185" s="45">
        <v>2399</v>
      </c>
      <c r="L185" s="45">
        <v>2399</v>
      </c>
      <c r="M185" s="45">
        <v>2499</v>
      </c>
      <c r="N185" s="45">
        <v>2499</v>
      </c>
      <c r="O185" s="45">
        <v>2299</v>
      </c>
      <c r="P185" s="46">
        <v>2199</v>
      </c>
      <c r="Q185" s="46">
        <v>1699</v>
      </c>
      <c r="R185" s="45">
        <v>2299</v>
      </c>
      <c r="S185" s="45">
        <v>2199</v>
      </c>
      <c r="T185" s="45">
        <v>1699</v>
      </c>
      <c r="U185" s="45">
        <v>1699</v>
      </c>
      <c r="V185" s="45">
        <v>1699</v>
      </c>
      <c r="W185" s="45">
        <v>1699</v>
      </c>
      <c r="X185" s="45">
        <v>1599</v>
      </c>
      <c r="Y185" s="45">
        <v>1399</v>
      </c>
      <c r="Z185" s="45">
        <v>1399</v>
      </c>
      <c r="AA185" s="45">
        <v>1399</v>
      </c>
      <c r="AB185" s="45"/>
      <c r="AC185" s="45"/>
      <c r="AD185" s="45"/>
      <c r="AE185" s="45"/>
      <c r="AF185" s="45"/>
      <c r="AG185" s="45"/>
      <c r="AH185" s="45"/>
      <c r="AI185" s="45"/>
      <c r="AJ185" s="45"/>
      <c r="AK185" s="45"/>
      <c r="AL185" s="45"/>
      <c r="AM185" s="45"/>
      <c r="AN185" s="45"/>
      <c r="AO185" s="45"/>
      <c r="AP185" s="45"/>
      <c r="AQ185" s="45"/>
      <c r="AR185" s="45"/>
      <c r="AS185" s="45"/>
      <c r="AT185" s="45"/>
      <c r="AU185" s="45"/>
      <c r="AV185" s="47"/>
      <c r="AW185" s="48" t="s">
        <v>67</v>
      </c>
      <c r="AX185" s="49" t="s">
        <v>68</v>
      </c>
      <c r="AY185" s="50">
        <f t="shared" si="10"/>
        <v>56.5398</v>
      </c>
      <c r="AZ185" s="50">
        <f t="shared" si="11"/>
        <v>50.941800000000001</v>
      </c>
      <c r="BA185" s="51">
        <f t="shared" si="12"/>
        <v>28.829699999999999</v>
      </c>
    </row>
    <row r="186" spans="1:53" ht="22.5" customHeight="1">
      <c r="A186" s="41" t="s">
        <v>63</v>
      </c>
      <c r="B186" s="42" t="s">
        <v>64</v>
      </c>
      <c r="C186" s="43">
        <v>4015556</v>
      </c>
      <c r="D186" s="56" t="s">
        <v>311</v>
      </c>
      <c r="E186" s="56" t="s">
        <v>312</v>
      </c>
      <c r="F186" s="45">
        <v>7999</v>
      </c>
      <c r="G186" s="45">
        <v>3399</v>
      </c>
      <c r="H186" s="45">
        <v>4299</v>
      </c>
      <c r="I186" s="45">
        <v>4299</v>
      </c>
      <c r="J186" s="45">
        <v>3099</v>
      </c>
      <c r="K186" s="45">
        <v>2999</v>
      </c>
      <c r="L186" s="45">
        <v>2999</v>
      </c>
      <c r="M186" s="45">
        <v>3099</v>
      </c>
      <c r="N186" s="45">
        <v>3099</v>
      </c>
      <c r="O186" s="45">
        <v>2899</v>
      </c>
      <c r="P186" s="46">
        <v>2799</v>
      </c>
      <c r="Q186" s="46">
        <v>2599</v>
      </c>
      <c r="R186" s="45">
        <v>2899</v>
      </c>
      <c r="S186" s="45">
        <v>2799</v>
      </c>
      <c r="T186" s="45">
        <v>2599</v>
      </c>
      <c r="U186" s="45">
        <v>2599</v>
      </c>
      <c r="V186" s="45">
        <v>2599</v>
      </c>
      <c r="W186" s="45">
        <v>2599</v>
      </c>
      <c r="X186" s="45">
        <v>2499</v>
      </c>
      <c r="Y186" s="45">
        <v>2399</v>
      </c>
      <c r="Z186" s="45">
        <v>2399</v>
      </c>
      <c r="AA186" s="45">
        <v>2399</v>
      </c>
      <c r="AB186" s="45"/>
      <c r="AC186" s="45"/>
      <c r="AD186" s="45"/>
      <c r="AE186" s="45"/>
      <c r="AF186" s="45"/>
      <c r="AG186" s="45"/>
      <c r="AH186" s="45"/>
      <c r="AI186" s="45"/>
      <c r="AJ186" s="45"/>
      <c r="AK186" s="45"/>
      <c r="AL186" s="45"/>
      <c r="AM186" s="45"/>
      <c r="AN186" s="45"/>
      <c r="AO186" s="45"/>
      <c r="AP186" s="45"/>
      <c r="AQ186" s="45"/>
      <c r="AR186" s="45"/>
      <c r="AS186" s="45"/>
      <c r="AT186" s="45"/>
      <c r="AU186" s="45"/>
      <c r="AV186" s="47"/>
      <c r="AW186" s="48" t="s">
        <v>67</v>
      </c>
      <c r="AX186" s="49" t="s">
        <v>68</v>
      </c>
      <c r="AY186" s="50">
        <f t="shared" si="10"/>
        <v>86.839799999999997</v>
      </c>
      <c r="AZ186" s="50">
        <f t="shared" si="11"/>
        <v>78.241799999999998</v>
      </c>
      <c r="BA186" s="51">
        <f t="shared" si="12"/>
        <v>44.279699999999998</v>
      </c>
    </row>
    <row r="187" spans="1:53" ht="22.5" customHeight="1">
      <c r="A187" s="41" t="s">
        <v>63</v>
      </c>
      <c r="B187" s="42" t="s">
        <v>64</v>
      </c>
      <c r="C187" s="43">
        <v>4016294</v>
      </c>
      <c r="D187" s="56" t="s">
        <v>313</v>
      </c>
      <c r="E187" s="56" t="s">
        <v>314</v>
      </c>
      <c r="F187" s="45">
        <v>7999</v>
      </c>
      <c r="G187" s="45">
        <v>3299</v>
      </c>
      <c r="H187" s="45">
        <v>5069</v>
      </c>
      <c r="I187" s="45">
        <v>5069</v>
      </c>
      <c r="J187" s="45">
        <v>4999</v>
      </c>
      <c r="K187" s="45">
        <v>4999</v>
      </c>
      <c r="L187" s="45">
        <v>4999</v>
      </c>
      <c r="M187" s="45">
        <v>4999</v>
      </c>
      <c r="N187" s="45">
        <v>4999</v>
      </c>
      <c r="O187" s="45">
        <v>4899</v>
      </c>
      <c r="P187" s="46">
        <v>4799</v>
      </c>
      <c r="Q187" s="46">
        <v>3599</v>
      </c>
      <c r="R187" s="45">
        <v>4899</v>
      </c>
      <c r="S187" s="45">
        <v>4799</v>
      </c>
      <c r="T187" s="45">
        <v>3599</v>
      </c>
      <c r="U187" s="45">
        <v>3599</v>
      </c>
      <c r="V187" s="45">
        <v>3599</v>
      </c>
      <c r="W187" s="45">
        <v>3599</v>
      </c>
      <c r="X187" s="45">
        <v>3299</v>
      </c>
      <c r="Y187" s="45">
        <v>1999</v>
      </c>
      <c r="Z187" s="45">
        <v>1999</v>
      </c>
      <c r="AA187" s="45">
        <v>1999</v>
      </c>
      <c r="AB187" s="45"/>
      <c r="AC187" s="45"/>
      <c r="AD187" s="45"/>
      <c r="AE187" s="45"/>
      <c r="AF187" s="45"/>
      <c r="AG187" s="45"/>
      <c r="AH187" s="45"/>
      <c r="AI187" s="45"/>
      <c r="AJ187" s="45"/>
      <c r="AK187" s="45"/>
      <c r="AL187" s="45"/>
      <c r="AM187" s="45"/>
      <c r="AN187" s="45"/>
      <c r="AO187" s="45"/>
      <c r="AP187" s="45"/>
      <c r="AQ187" s="45"/>
      <c r="AR187" s="45"/>
      <c r="AS187" s="45"/>
      <c r="AT187" s="45"/>
      <c r="AU187" s="45"/>
      <c r="AV187" s="47"/>
      <c r="AW187" s="48" t="s">
        <v>67</v>
      </c>
      <c r="AX187" s="49" t="s">
        <v>68</v>
      </c>
      <c r="AY187" s="50">
        <f t="shared" si="10"/>
        <v>102.3938</v>
      </c>
      <c r="AZ187" s="50">
        <f t="shared" si="11"/>
        <v>92.255800000000008</v>
      </c>
      <c r="BA187" s="51">
        <f t="shared" si="12"/>
        <v>52.210700000000003</v>
      </c>
    </row>
    <row r="188" spans="1:53" ht="22.5" customHeight="1">
      <c r="A188" s="41" t="s">
        <v>63</v>
      </c>
      <c r="B188" s="42" t="s">
        <v>64</v>
      </c>
      <c r="C188" s="43">
        <v>4016925</v>
      </c>
      <c r="D188" s="56" t="s">
        <v>315</v>
      </c>
      <c r="E188" s="56" t="s">
        <v>316</v>
      </c>
      <c r="F188" s="45">
        <v>9999</v>
      </c>
      <c r="G188" s="45">
        <v>6299</v>
      </c>
      <c r="H188" s="45">
        <v>6779</v>
      </c>
      <c r="I188" s="45">
        <v>6779</v>
      </c>
      <c r="J188" s="45">
        <v>6699</v>
      </c>
      <c r="K188" s="45">
        <v>6699</v>
      </c>
      <c r="L188" s="45">
        <v>6699</v>
      </c>
      <c r="M188" s="45">
        <v>6699</v>
      </c>
      <c r="N188" s="45">
        <v>6699</v>
      </c>
      <c r="O188" s="45">
        <v>6599</v>
      </c>
      <c r="P188" s="46">
        <v>6499</v>
      </c>
      <c r="Q188" s="46">
        <v>6399</v>
      </c>
      <c r="R188" s="45">
        <v>6599</v>
      </c>
      <c r="S188" s="45">
        <v>6499</v>
      </c>
      <c r="T188" s="45">
        <v>6399</v>
      </c>
      <c r="U188" s="45">
        <v>6399</v>
      </c>
      <c r="V188" s="45">
        <v>6399</v>
      </c>
      <c r="W188" s="45">
        <v>6399</v>
      </c>
      <c r="X188" s="45">
        <v>6299</v>
      </c>
      <c r="Y188" s="45">
        <v>4999</v>
      </c>
      <c r="Z188" s="45">
        <v>4999</v>
      </c>
      <c r="AA188" s="45">
        <v>4999</v>
      </c>
      <c r="AB188" s="45"/>
      <c r="AC188" s="45"/>
      <c r="AD188" s="45"/>
      <c r="AE188" s="45"/>
      <c r="AF188" s="45"/>
      <c r="AG188" s="45"/>
      <c r="AH188" s="45"/>
      <c r="AI188" s="45"/>
      <c r="AJ188" s="45"/>
      <c r="AK188" s="45"/>
      <c r="AL188" s="45"/>
      <c r="AM188" s="45"/>
      <c r="AN188" s="45"/>
      <c r="AO188" s="45"/>
      <c r="AP188" s="45"/>
      <c r="AQ188" s="45"/>
      <c r="AR188" s="45"/>
      <c r="AS188" s="45"/>
      <c r="AT188" s="45"/>
      <c r="AU188" s="45"/>
      <c r="AV188" s="47"/>
      <c r="AW188" s="48" t="s">
        <v>67</v>
      </c>
      <c r="AX188" s="49" t="s">
        <v>68</v>
      </c>
      <c r="AY188" s="50">
        <f t="shared" si="10"/>
        <v>136.9358</v>
      </c>
      <c r="AZ188" s="50">
        <f t="shared" si="11"/>
        <v>123.37780000000001</v>
      </c>
      <c r="BA188" s="51">
        <f t="shared" si="12"/>
        <v>69.823700000000002</v>
      </c>
    </row>
    <row r="189" spans="1:53" ht="22.5" customHeight="1">
      <c r="A189" s="41" t="s">
        <v>63</v>
      </c>
      <c r="B189" s="42" t="s">
        <v>64</v>
      </c>
      <c r="C189" s="43">
        <v>4017990</v>
      </c>
      <c r="D189" s="56" t="s">
        <v>317</v>
      </c>
      <c r="E189" s="56" t="s">
        <v>318</v>
      </c>
      <c r="F189" s="45">
        <v>11999</v>
      </c>
      <c r="G189" s="45">
        <v>10399</v>
      </c>
      <c r="H189" s="45">
        <v>10899</v>
      </c>
      <c r="I189" s="45">
        <v>10899</v>
      </c>
      <c r="J189" s="45">
        <v>10799</v>
      </c>
      <c r="K189" s="45">
        <v>10799</v>
      </c>
      <c r="L189" s="45">
        <v>10799</v>
      </c>
      <c r="M189" s="45">
        <v>10799</v>
      </c>
      <c r="N189" s="45">
        <v>10799</v>
      </c>
      <c r="O189" s="45">
        <v>10699</v>
      </c>
      <c r="P189" s="46">
        <v>10599</v>
      </c>
      <c r="Q189" s="46">
        <v>10499</v>
      </c>
      <c r="R189" s="45">
        <v>10699</v>
      </c>
      <c r="S189" s="45">
        <v>10599</v>
      </c>
      <c r="T189" s="45">
        <v>10499</v>
      </c>
      <c r="U189" s="45">
        <v>10499</v>
      </c>
      <c r="V189" s="45">
        <v>10499</v>
      </c>
      <c r="W189" s="45">
        <v>10499</v>
      </c>
      <c r="X189" s="45">
        <v>10399</v>
      </c>
      <c r="Y189" s="45">
        <v>9999</v>
      </c>
      <c r="Z189" s="45">
        <v>9999</v>
      </c>
      <c r="AA189" s="45">
        <v>8999</v>
      </c>
      <c r="AB189" s="45"/>
      <c r="AC189" s="45"/>
      <c r="AD189" s="45"/>
      <c r="AE189" s="45"/>
      <c r="AF189" s="45"/>
      <c r="AG189" s="45"/>
      <c r="AH189" s="45"/>
      <c r="AI189" s="45"/>
      <c r="AJ189" s="45"/>
      <c r="AK189" s="45"/>
      <c r="AL189" s="45"/>
      <c r="AM189" s="45"/>
      <c r="AN189" s="45"/>
      <c r="AO189" s="45"/>
      <c r="AP189" s="45"/>
      <c r="AQ189" s="45"/>
      <c r="AR189" s="45"/>
      <c r="AS189" s="45"/>
      <c r="AT189" s="45"/>
      <c r="AU189" s="45"/>
      <c r="AV189" s="47"/>
      <c r="AW189" s="48" t="s">
        <v>67</v>
      </c>
      <c r="AX189" s="49" t="s">
        <v>68</v>
      </c>
      <c r="AY189" s="50">
        <f t="shared" si="10"/>
        <v>220.15979999999999</v>
      </c>
      <c r="AZ189" s="50">
        <f t="shared" si="11"/>
        <v>198.36180000000002</v>
      </c>
      <c r="BA189" s="51">
        <f t="shared" si="12"/>
        <v>112.2597</v>
      </c>
    </row>
    <row r="190" spans="1:53" ht="22.5" customHeight="1">
      <c r="A190" s="41" t="s">
        <v>63</v>
      </c>
      <c r="B190" s="42" t="s">
        <v>64</v>
      </c>
      <c r="C190" s="43">
        <v>4017991</v>
      </c>
      <c r="D190" s="56" t="s">
        <v>317</v>
      </c>
      <c r="E190" s="56" t="s">
        <v>319</v>
      </c>
      <c r="F190" s="45">
        <v>11999</v>
      </c>
      <c r="G190" s="45">
        <v>10399</v>
      </c>
      <c r="H190" s="45">
        <v>10899</v>
      </c>
      <c r="I190" s="45">
        <v>10899</v>
      </c>
      <c r="J190" s="45">
        <v>10799</v>
      </c>
      <c r="K190" s="45">
        <v>10799</v>
      </c>
      <c r="L190" s="45">
        <v>10799</v>
      </c>
      <c r="M190" s="45">
        <v>10799</v>
      </c>
      <c r="N190" s="45">
        <v>10799</v>
      </c>
      <c r="O190" s="45">
        <v>10699</v>
      </c>
      <c r="P190" s="46">
        <v>10599</v>
      </c>
      <c r="Q190" s="46">
        <v>10499</v>
      </c>
      <c r="R190" s="45">
        <v>10699</v>
      </c>
      <c r="S190" s="45">
        <v>10599</v>
      </c>
      <c r="T190" s="45">
        <v>10499</v>
      </c>
      <c r="U190" s="45">
        <v>10499</v>
      </c>
      <c r="V190" s="45">
        <v>10499</v>
      </c>
      <c r="W190" s="45">
        <v>10499</v>
      </c>
      <c r="X190" s="45">
        <v>10399</v>
      </c>
      <c r="Y190" s="45">
        <v>9999</v>
      </c>
      <c r="Z190" s="45">
        <v>9999</v>
      </c>
      <c r="AA190" s="45">
        <v>8999</v>
      </c>
      <c r="AB190" s="45"/>
      <c r="AC190" s="45"/>
      <c r="AD190" s="45"/>
      <c r="AE190" s="45"/>
      <c r="AF190" s="45"/>
      <c r="AG190" s="45"/>
      <c r="AH190" s="45"/>
      <c r="AI190" s="45"/>
      <c r="AJ190" s="45"/>
      <c r="AK190" s="45"/>
      <c r="AL190" s="45"/>
      <c r="AM190" s="45"/>
      <c r="AN190" s="45"/>
      <c r="AO190" s="45"/>
      <c r="AP190" s="45"/>
      <c r="AQ190" s="45"/>
      <c r="AR190" s="45"/>
      <c r="AS190" s="45"/>
      <c r="AT190" s="45"/>
      <c r="AU190" s="45"/>
      <c r="AV190" s="47"/>
      <c r="AW190" s="48" t="s">
        <v>67</v>
      </c>
      <c r="AX190" s="49" t="s">
        <v>68</v>
      </c>
      <c r="AY190" s="50">
        <f t="shared" si="10"/>
        <v>220.15979999999999</v>
      </c>
      <c r="AZ190" s="50">
        <f t="shared" si="11"/>
        <v>198.36180000000002</v>
      </c>
      <c r="BA190" s="51">
        <f t="shared" si="12"/>
        <v>112.2597</v>
      </c>
    </row>
    <row r="191" spans="1:53" ht="22.5" customHeight="1">
      <c r="A191" s="41" t="s">
        <v>63</v>
      </c>
      <c r="B191" s="42" t="s">
        <v>64</v>
      </c>
      <c r="C191" s="43">
        <v>4017960</v>
      </c>
      <c r="D191" s="56" t="s">
        <v>320</v>
      </c>
      <c r="E191" s="56" t="s">
        <v>321</v>
      </c>
      <c r="F191" s="45">
        <v>15999</v>
      </c>
      <c r="G191" s="45">
        <v>13399</v>
      </c>
      <c r="H191" s="45">
        <v>13999</v>
      </c>
      <c r="I191" s="45">
        <v>13999</v>
      </c>
      <c r="J191" s="45">
        <v>13799</v>
      </c>
      <c r="K191" s="45">
        <v>13799</v>
      </c>
      <c r="L191" s="45">
        <v>13799</v>
      </c>
      <c r="M191" s="45">
        <v>13799</v>
      </c>
      <c r="N191" s="45">
        <v>13799</v>
      </c>
      <c r="O191" s="45">
        <v>13699</v>
      </c>
      <c r="P191" s="46">
        <v>13599</v>
      </c>
      <c r="Q191" s="46">
        <v>13499</v>
      </c>
      <c r="R191" s="45">
        <v>13699</v>
      </c>
      <c r="S191" s="45">
        <v>13599</v>
      </c>
      <c r="T191" s="45">
        <v>13499</v>
      </c>
      <c r="U191" s="45">
        <v>13499</v>
      </c>
      <c r="V191" s="45">
        <v>13499</v>
      </c>
      <c r="W191" s="45">
        <v>13499</v>
      </c>
      <c r="X191" s="45">
        <v>13399</v>
      </c>
      <c r="Y191" s="45">
        <v>12999</v>
      </c>
      <c r="Z191" s="45">
        <v>12999</v>
      </c>
      <c r="AA191" s="45">
        <v>11999</v>
      </c>
      <c r="AB191" s="45"/>
      <c r="AC191" s="45"/>
      <c r="AD191" s="45"/>
      <c r="AE191" s="45"/>
      <c r="AF191" s="45"/>
      <c r="AG191" s="45"/>
      <c r="AH191" s="45"/>
      <c r="AI191" s="45"/>
      <c r="AJ191" s="45"/>
      <c r="AK191" s="45"/>
      <c r="AL191" s="45"/>
      <c r="AM191" s="45"/>
      <c r="AN191" s="45"/>
      <c r="AO191" s="45"/>
      <c r="AP191" s="45"/>
      <c r="AQ191" s="45"/>
      <c r="AR191" s="45"/>
      <c r="AS191" s="45"/>
      <c r="AT191" s="45"/>
      <c r="AU191" s="45"/>
      <c r="AV191" s="47"/>
      <c r="AW191" s="48" t="s">
        <v>67</v>
      </c>
      <c r="AX191" s="49" t="s">
        <v>68</v>
      </c>
      <c r="AY191" s="50">
        <f t="shared" si="10"/>
        <v>282.77979999999997</v>
      </c>
      <c r="AZ191" s="50">
        <f t="shared" si="11"/>
        <v>254.7818</v>
      </c>
      <c r="BA191" s="51">
        <f t="shared" si="12"/>
        <v>144.18969999999999</v>
      </c>
    </row>
    <row r="192" spans="1:53" ht="22.5" customHeight="1">
      <c r="A192" s="41" t="s">
        <v>63</v>
      </c>
      <c r="B192" s="42" t="s">
        <v>64</v>
      </c>
      <c r="C192" s="43">
        <v>4017738</v>
      </c>
      <c r="D192" s="57" t="s">
        <v>322</v>
      </c>
      <c r="E192" s="56" t="s">
        <v>323</v>
      </c>
      <c r="F192" s="45">
        <v>8999</v>
      </c>
      <c r="G192" s="45">
        <v>5899</v>
      </c>
      <c r="H192" s="45">
        <v>6599</v>
      </c>
      <c r="I192" s="45">
        <v>6599</v>
      </c>
      <c r="J192" s="45">
        <v>6499</v>
      </c>
      <c r="K192" s="45">
        <v>6499</v>
      </c>
      <c r="L192" s="45">
        <v>6499</v>
      </c>
      <c r="M192" s="45">
        <v>6499</v>
      </c>
      <c r="N192" s="45">
        <v>6499</v>
      </c>
      <c r="O192" s="45">
        <v>6399</v>
      </c>
      <c r="P192" s="46">
        <v>6299</v>
      </c>
      <c r="Q192" s="46">
        <v>5999</v>
      </c>
      <c r="R192" s="45">
        <v>6399</v>
      </c>
      <c r="S192" s="45">
        <v>6299</v>
      </c>
      <c r="T192" s="45">
        <v>5999</v>
      </c>
      <c r="U192" s="45">
        <v>5999</v>
      </c>
      <c r="V192" s="45">
        <v>5999</v>
      </c>
      <c r="W192" s="45">
        <v>5999</v>
      </c>
      <c r="X192" s="45">
        <v>5899</v>
      </c>
      <c r="Y192" s="54">
        <v>5499</v>
      </c>
      <c r="Z192" s="54">
        <v>5499</v>
      </c>
      <c r="AA192" s="54">
        <v>5399</v>
      </c>
      <c r="AB192" s="45"/>
      <c r="AC192" s="45"/>
      <c r="AD192" s="45"/>
      <c r="AE192" s="45"/>
      <c r="AF192" s="45"/>
      <c r="AG192" s="45"/>
      <c r="AH192" s="45"/>
      <c r="AI192" s="45"/>
      <c r="AJ192" s="45"/>
      <c r="AK192" s="45"/>
      <c r="AL192" s="45"/>
      <c r="AM192" s="45"/>
      <c r="AN192" s="45"/>
      <c r="AO192" s="45"/>
      <c r="AP192" s="45"/>
      <c r="AQ192" s="45"/>
      <c r="AR192" s="45"/>
      <c r="AS192" s="45"/>
      <c r="AT192" s="45"/>
      <c r="AU192" s="45"/>
      <c r="AV192" s="47"/>
      <c r="AW192" s="48" t="s">
        <v>67</v>
      </c>
      <c r="AX192" s="49" t="s">
        <v>68</v>
      </c>
      <c r="AY192" s="50">
        <f t="shared" si="10"/>
        <v>133.2998</v>
      </c>
      <c r="AZ192" s="50">
        <f t="shared" si="11"/>
        <v>120.10180000000001</v>
      </c>
      <c r="BA192" s="51">
        <f t="shared" si="12"/>
        <v>67.969700000000003</v>
      </c>
    </row>
    <row r="193" spans="1:53" ht="22.5" customHeight="1">
      <c r="A193" s="55" t="s">
        <v>222</v>
      </c>
      <c r="B193" s="42" t="s">
        <v>64</v>
      </c>
      <c r="C193" s="43">
        <v>4014215</v>
      </c>
      <c r="D193" s="56" t="s">
        <v>324</v>
      </c>
      <c r="E193" s="56" t="s">
        <v>325</v>
      </c>
      <c r="F193" s="45">
        <v>499</v>
      </c>
      <c r="G193" s="45">
        <v>399</v>
      </c>
      <c r="H193" s="45">
        <v>399</v>
      </c>
      <c r="I193" s="45">
        <v>399</v>
      </c>
      <c r="J193" s="45">
        <f t="shared" si="14"/>
        <v>299</v>
      </c>
      <c r="K193" s="45">
        <f t="shared" si="15"/>
        <v>299</v>
      </c>
      <c r="L193" s="45">
        <f t="shared" si="15"/>
        <v>299</v>
      </c>
      <c r="M193" s="45">
        <v>299</v>
      </c>
      <c r="N193" s="45">
        <v>299</v>
      </c>
      <c r="O193" s="45">
        <f t="shared" si="16"/>
        <v>299</v>
      </c>
      <c r="P193" s="46">
        <f t="shared" si="16"/>
        <v>299</v>
      </c>
      <c r="Q193" s="46">
        <f t="shared" si="16"/>
        <v>299</v>
      </c>
      <c r="R193" s="45">
        <v>299</v>
      </c>
      <c r="S193" s="45">
        <v>299</v>
      </c>
      <c r="T193" s="45">
        <v>299</v>
      </c>
      <c r="U193" s="45">
        <v>299</v>
      </c>
      <c r="V193" s="45">
        <v>299</v>
      </c>
      <c r="W193" s="45">
        <v>299</v>
      </c>
      <c r="X193" s="45">
        <v>299</v>
      </c>
      <c r="Y193" s="45">
        <v>299</v>
      </c>
      <c r="Z193" s="45">
        <v>299</v>
      </c>
      <c r="AA193" s="45">
        <v>299</v>
      </c>
      <c r="AB193" s="45"/>
      <c r="AC193" s="45"/>
      <c r="AD193" s="45"/>
      <c r="AE193" s="45"/>
      <c r="AF193" s="45"/>
      <c r="AG193" s="45"/>
      <c r="AH193" s="45"/>
      <c r="AI193" s="45"/>
      <c r="AJ193" s="45"/>
      <c r="AK193" s="45"/>
      <c r="AL193" s="45"/>
      <c r="AM193" s="45"/>
      <c r="AN193" s="45"/>
      <c r="AO193" s="45"/>
      <c r="AP193" s="45"/>
      <c r="AQ193" s="45"/>
      <c r="AR193" s="45"/>
      <c r="AS193" s="45"/>
      <c r="AT193" s="45"/>
      <c r="AU193" s="45"/>
      <c r="AV193" s="47"/>
      <c r="AW193" s="48" t="s">
        <v>67</v>
      </c>
      <c r="AX193" s="49" t="s">
        <v>230</v>
      </c>
      <c r="AY193" s="50">
        <f t="shared" si="10"/>
        <v>8.0597999999999992</v>
      </c>
      <c r="AZ193" s="50">
        <f t="shared" si="11"/>
        <v>7.2618</v>
      </c>
      <c r="BA193" s="51">
        <f t="shared" si="12"/>
        <v>4.1097000000000001</v>
      </c>
    </row>
    <row r="194" spans="1:53" ht="22.5" customHeight="1">
      <c r="A194" s="55" t="s">
        <v>222</v>
      </c>
      <c r="B194" s="42" t="s">
        <v>64</v>
      </c>
      <c r="C194" s="43">
        <v>4014569</v>
      </c>
      <c r="D194" s="56" t="s">
        <v>326</v>
      </c>
      <c r="E194" s="56" t="s">
        <v>327</v>
      </c>
      <c r="F194" s="45">
        <v>299</v>
      </c>
      <c r="G194" s="45">
        <v>199</v>
      </c>
      <c r="H194" s="45">
        <v>199</v>
      </c>
      <c r="I194" s="45">
        <v>199</v>
      </c>
      <c r="J194" s="45">
        <f t="shared" si="14"/>
        <v>199</v>
      </c>
      <c r="K194" s="45">
        <f t="shared" si="15"/>
        <v>199</v>
      </c>
      <c r="L194" s="45">
        <f t="shared" si="15"/>
        <v>199</v>
      </c>
      <c r="M194" s="45">
        <v>199</v>
      </c>
      <c r="N194" s="45">
        <v>199</v>
      </c>
      <c r="O194" s="45">
        <f t="shared" si="16"/>
        <v>199</v>
      </c>
      <c r="P194" s="46">
        <f t="shared" si="16"/>
        <v>199</v>
      </c>
      <c r="Q194" s="46">
        <f t="shared" si="16"/>
        <v>199</v>
      </c>
      <c r="R194" s="45">
        <v>199</v>
      </c>
      <c r="S194" s="45">
        <v>199</v>
      </c>
      <c r="T194" s="45">
        <v>199</v>
      </c>
      <c r="U194" s="45">
        <v>199</v>
      </c>
      <c r="V194" s="45">
        <v>199</v>
      </c>
      <c r="W194" s="45">
        <v>199</v>
      </c>
      <c r="X194" s="45">
        <v>199</v>
      </c>
      <c r="Y194" s="45">
        <v>199</v>
      </c>
      <c r="Z194" s="45">
        <v>199</v>
      </c>
      <c r="AA194" s="45">
        <v>199</v>
      </c>
      <c r="AB194" s="45"/>
      <c r="AC194" s="45"/>
      <c r="AD194" s="45"/>
      <c r="AE194" s="45"/>
      <c r="AF194" s="45"/>
      <c r="AG194" s="45"/>
      <c r="AH194" s="45"/>
      <c r="AI194" s="45"/>
      <c r="AJ194" s="45"/>
      <c r="AK194" s="45"/>
      <c r="AL194" s="45"/>
      <c r="AM194" s="45"/>
      <c r="AN194" s="45"/>
      <c r="AO194" s="45"/>
      <c r="AP194" s="45"/>
      <c r="AQ194" s="45"/>
      <c r="AR194" s="45"/>
      <c r="AS194" s="45"/>
      <c r="AT194" s="45"/>
      <c r="AU194" s="45"/>
      <c r="AV194" s="47"/>
      <c r="AW194" s="48" t="s">
        <v>67</v>
      </c>
      <c r="AX194" s="49" t="s">
        <v>230</v>
      </c>
      <c r="AY194" s="50">
        <f t="shared" si="10"/>
        <v>4.0198</v>
      </c>
      <c r="AZ194" s="50">
        <f t="shared" si="11"/>
        <v>3.6218000000000004</v>
      </c>
      <c r="BA194" s="51">
        <f t="shared" si="12"/>
        <v>2.0497000000000001</v>
      </c>
    </row>
    <row r="195" spans="1:53" ht="22.5" customHeight="1">
      <c r="A195" s="55" t="s">
        <v>222</v>
      </c>
      <c r="B195" s="42" t="s">
        <v>64</v>
      </c>
      <c r="C195" s="43">
        <v>4017883</v>
      </c>
      <c r="D195" s="56" t="s">
        <v>328</v>
      </c>
      <c r="E195" s="56" t="s">
        <v>329</v>
      </c>
      <c r="F195" s="45">
        <v>1899</v>
      </c>
      <c r="G195" s="45">
        <v>1499</v>
      </c>
      <c r="H195" s="45">
        <v>1499</v>
      </c>
      <c r="I195" s="45">
        <v>1499</v>
      </c>
      <c r="J195" s="45">
        <v>1399</v>
      </c>
      <c r="K195" s="45">
        <v>1299</v>
      </c>
      <c r="L195" s="45">
        <v>1299</v>
      </c>
      <c r="M195" s="45">
        <v>1399</v>
      </c>
      <c r="N195" s="45">
        <v>1299</v>
      </c>
      <c r="O195" s="45">
        <v>1199</v>
      </c>
      <c r="P195" s="46">
        <v>1099</v>
      </c>
      <c r="Q195" s="46">
        <v>899</v>
      </c>
      <c r="R195" s="45">
        <v>1199</v>
      </c>
      <c r="S195" s="45">
        <v>1099</v>
      </c>
      <c r="T195" s="45">
        <v>899</v>
      </c>
      <c r="U195" s="45">
        <v>899</v>
      </c>
      <c r="V195" s="45">
        <v>899</v>
      </c>
      <c r="W195" s="45">
        <v>899</v>
      </c>
      <c r="X195" s="45">
        <v>799</v>
      </c>
      <c r="Y195" s="45">
        <v>699</v>
      </c>
      <c r="Z195" s="45">
        <v>699</v>
      </c>
      <c r="AA195" s="45">
        <v>699</v>
      </c>
      <c r="AB195" s="45"/>
      <c r="AC195" s="45"/>
      <c r="AD195" s="45"/>
      <c r="AE195" s="45"/>
      <c r="AF195" s="45"/>
      <c r="AG195" s="45"/>
      <c r="AH195" s="45"/>
      <c r="AI195" s="45"/>
      <c r="AJ195" s="45"/>
      <c r="AK195" s="45"/>
      <c r="AL195" s="45"/>
      <c r="AM195" s="45"/>
      <c r="AN195" s="45"/>
      <c r="AO195" s="45"/>
      <c r="AP195" s="45"/>
      <c r="AQ195" s="45"/>
      <c r="AR195" s="45"/>
      <c r="AS195" s="45"/>
      <c r="AT195" s="45"/>
      <c r="AU195" s="45"/>
      <c r="AV195" s="47"/>
      <c r="AW195" s="48" t="s">
        <v>67</v>
      </c>
      <c r="AX195" s="49" t="s">
        <v>68</v>
      </c>
      <c r="AY195" s="50">
        <f t="shared" si="10"/>
        <v>30.279799999999998</v>
      </c>
      <c r="AZ195" s="50">
        <f t="shared" si="11"/>
        <v>27.2818</v>
      </c>
      <c r="BA195" s="51">
        <f t="shared" si="12"/>
        <v>15.4397</v>
      </c>
    </row>
    <row r="196" spans="1:53" ht="22.5" customHeight="1">
      <c r="A196" s="55" t="s">
        <v>222</v>
      </c>
      <c r="B196" s="42" t="s">
        <v>64</v>
      </c>
      <c r="C196" s="43">
        <v>4014160</v>
      </c>
      <c r="D196" s="43" t="s">
        <v>330</v>
      </c>
      <c r="E196" s="59" t="s">
        <v>331</v>
      </c>
      <c r="F196" s="45">
        <v>159</v>
      </c>
      <c r="G196" s="45">
        <v>149</v>
      </c>
      <c r="H196" s="45">
        <v>149</v>
      </c>
      <c r="I196" s="45">
        <v>149</v>
      </c>
      <c r="J196" s="45">
        <f t="shared" si="14"/>
        <v>149</v>
      </c>
      <c r="K196" s="45">
        <f t="shared" si="15"/>
        <v>149</v>
      </c>
      <c r="L196" s="45">
        <f t="shared" si="15"/>
        <v>149</v>
      </c>
      <c r="M196" s="45">
        <v>149</v>
      </c>
      <c r="N196" s="45">
        <v>149</v>
      </c>
      <c r="O196" s="45">
        <f t="shared" ref="O196:Q201" si="17">R196</f>
        <v>149</v>
      </c>
      <c r="P196" s="46">
        <f t="shared" si="17"/>
        <v>149</v>
      </c>
      <c r="Q196" s="46">
        <f t="shared" si="17"/>
        <v>149</v>
      </c>
      <c r="R196" s="45">
        <v>149</v>
      </c>
      <c r="S196" s="45">
        <v>149</v>
      </c>
      <c r="T196" s="45">
        <v>149</v>
      </c>
      <c r="U196" s="45">
        <v>149</v>
      </c>
      <c r="V196" s="45">
        <v>149</v>
      </c>
      <c r="W196" s="45">
        <v>149</v>
      </c>
      <c r="X196" s="45">
        <v>149</v>
      </c>
      <c r="Y196" s="45">
        <v>149</v>
      </c>
      <c r="Z196" s="45">
        <v>149</v>
      </c>
      <c r="AA196" s="45">
        <v>149</v>
      </c>
      <c r="AB196" s="45"/>
      <c r="AC196" s="45"/>
      <c r="AD196" s="45"/>
      <c r="AE196" s="45"/>
      <c r="AF196" s="45"/>
      <c r="AG196" s="45"/>
      <c r="AH196" s="45"/>
      <c r="AI196" s="45"/>
      <c r="AJ196" s="45"/>
      <c r="AK196" s="45"/>
      <c r="AL196" s="45"/>
      <c r="AM196" s="45"/>
      <c r="AN196" s="45"/>
      <c r="AO196" s="45"/>
      <c r="AP196" s="45"/>
      <c r="AQ196" s="45"/>
      <c r="AR196" s="45"/>
      <c r="AS196" s="45"/>
      <c r="AT196" s="45"/>
      <c r="AU196" s="45"/>
      <c r="AV196" s="47"/>
      <c r="AW196" s="48" t="s">
        <v>67</v>
      </c>
      <c r="AX196" s="49" t="s">
        <v>230</v>
      </c>
      <c r="AY196" s="50">
        <f t="shared" si="10"/>
        <v>3.0097999999999998</v>
      </c>
      <c r="AZ196" s="50">
        <f t="shared" si="11"/>
        <v>2.7118000000000002</v>
      </c>
      <c r="BA196" s="51">
        <f t="shared" si="12"/>
        <v>1.5347</v>
      </c>
    </row>
    <row r="197" spans="1:53" ht="22.5" customHeight="1">
      <c r="A197" s="55" t="s">
        <v>222</v>
      </c>
      <c r="B197" s="42" t="s">
        <v>64</v>
      </c>
      <c r="C197" s="43">
        <v>4015002</v>
      </c>
      <c r="D197" s="43" t="s">
        <v>332</v>
      </c>
      <c r="E197" s="59" t="s">
        <v>333</v>
      </c>
      <c r="F197" s="45">
        <v>699</v>
      </c>
      <c r="G197" s="45">
        <v>499</v>
      </c>
      <c r="H197" s="45">
        <v>699</v>
      </c>
      <c r="I197" s="45">
        <v>699</v>
      </c>
      <c r="J197" s="45">
        <v>349</v>
      </c>
      <c r="K197" s="45">
        <v>349</v>
      </c>
      <c r="L197" s="45">
        <v>349</v>
      </c>
      <c r="M197" s="45">
        <v>349</v>
      </c>
      <c r="N197" s="45">
        <v>349</v>
      </c>
      <c r="O197" s="45">
        <v>349</v>
      </c>
      <c r="P197" s="45">
        <v>349</v>
      </c>
      <c r="Q197" s="45">
        <v>349</v>
      </c>
      <c r="R197" s="45">
        <v>349</v>
      </c>
      <c r="S197" s="45">
        <v>349</v>
      </c>
      <c r="T197" s="45">
        <v>349</v>
      </c>
      <c r="U197" s="45">
        <v>349</v>
      </c>
      <c r="V197" s="45">
        <v>349</v>
      </c>
      <c r="W197" s="45">
        <v>349</v>
      </c>
      <c r="X197" s="45">
        <v>349</v>
      </c>
      <c r="Y197" s="45">
        <v>349</v>
      </c>
      <c r="Z197" s="45">
        <v>349</v>
      </c>
      <c r="AA197" s="45">
        <v>349</v>
      </c>
      <c r="AB197" s="45"/>
      <c r="AC197" s="45"/>
      <c r="AD197" s="45"/>
      <c r="AE197" s="45"/>
      <c r="AF197" s="45"/>
      <c r="AG197" s="45"/>
      <c r="AH197" s="45"/>
      <c r="AI197" s="45"/>
      <c r="AJ197" s="45"/>
      <c r="AK197" s="45"/>
      <c r="AL197" s="45"/>
      <c r="AM197" s="45"/>
      <c r="AN197" s="45"/>
      <c r="AO197" s="45"/>
      <c r="AP197" s="45"/>
      <c r="AQ197" s="45"/>
      <c r="AR197" s="45"/>
      <c r="AS197" s="45"/>
      <c r="AT197" s="45"/>
      <c r="AU197" s="45"/>
      <c r="AV197" s="47"/>
      <c r="AW197" s="48" t="s">
        <v>67</v>
      </c>
      <c r="AX197" s="49" t="s">
        <v>230</v>
      </c>
      <c r="AY197" s="50">
        <f t="shared" si="10"/>
        <v>14.1198</v>
      </c>
      <c r="AZ197" s="50">
        <f t="shared" si="11"/>
        <v>12.7218</v>
      </c>
      <c r="BA197" s="51">
        <f t="shared" si="12"/>
        <v>7.1997</v>
      </c>
    </row>
    <row r="198" spans="1:53" ht="22.5" customHeight="1">
      <c r="A198" s="55" t="s">
        <v>222</v>
      </c>
      <c r="B198" s="42" t="s">
        <v>64</v>
      </c>
      <c r="C198" s="43">
        <v>4015007</v>
      </c>
      <c r="D198" s="43" t="s">
        <v>332</v>
      </c>
      <c r="E198" s="59" t="s">
        <v>334</v>
      </c>
      <c r="F198" s="45">
        <v>699</v>
      </c>
      <c r="G198" s="45">
        <v>499</v>
      </c>
      <c r="H198" s="45">
        <v>699</v>
      </c>
      <c r="I198" s="45">
        <v>699</v>
      </c>
      <c r="J198" s="45">
        <v>349</v>
      </c>
      <c r="K198" s="45">
        <v>349</v>
      </c>
      <c r="L198" s="45">
        <v>349</v>
      </c>
      <c r="M198" s="45">
        <v>349</v>
      </c>
      <c r="N198" s="45">
        <v>349</v>
      </c>
      <c r="O198" s="45">
        <v>349</v>
      </c>
      <c r="P198" s="45">
        <v>349</v>
      </c>
      <c r="Q198" s="45">
        <v>349</v>
      </c>
      <c r="R198" s="45">
        <v>349</v>
      </c>
      <c r="S198" s="45">
        <v>349</v>
      </c>
      <c r="T198" s="45">
        <v>349</v>
      </c>
      <c r="U198" s="45">
        <v>349</v>
      </c>
      <c r="V198" s="45">
        <v>349</v>
      </c>
      <c r="W198" s="45">
        <v>349</v>
      </c>
      <c r="X198" s="45">
        <v>349</v>
      </c>
      <c r="Y198" s="45">
        <v>349</v>
      </c>
      <c r="Z198" s="45">
        <v>349</v>
      </c>
      <c r="AA198" s="45">
        <v>349</v>
      </c>
      <c r="AB198" s="45"/>
      <c r="AC198" s="45"/>
      <c r="AD198" s="45"/>
      <c r="AE198" s="45"/>
      <c r="AF198" s="45"/>
      <c r="AG198" s="45"/>
      <c r="AH198" s="45"/>
      <c r="AI198" s="45"/>
      <c r="AJ198" s="45"/>
      <c r="AK198" s="45"/>
      <c r="AL198" s="45"/>
      <c r="AM198" s="45"/>
      <c r="AN198" s="45"/>
      <c r="AO198" s="45"/>
      <c r="AP198" s="45"/>
      <c r="AQ198" s="45"/>
      <c r="AR198" s="45"/>
      <c r="AS198" s="45"/>
      <c r="AT198" s="45"/>
      <c r="AU198" s="45"/>
      <c r="AV198" s="47"/>
      <c r="AW198" s="48" t="s">
        <v>67</v>
      </c>
      <c r="AX198" s="49" t="s">
        <v>230</v>
      </c>
      <c r="AY198" s="50">
        <f t="shared" si="10"/>
        <v>14.1198</v>
      </c>
      <c r="AZ198" s="50">
        <f t="shared" si="11"/>
        <v>12.7218</v>
      </c>
      <c r="BA198" s="51">
        <f t="shared" si="12"/>
        <v>7.1997</v>
      </c>
    </row>
    <row r="199" spans="1:53" ht="22.5" customHeight="1">
      <c r="A199" s="55" t="s">
        <v>222</v>
      </c>
      <c r="B199" s="42" t="s">
        <v>64</v>
      </c>
      <c r="C199" s="43">
        <v>4015000</v>
      </c>
      <c r="D199" s="43" t="s">
        <v>332</v>
      </c>
      <c r="E199" s="56" t="s">
        <v>335</v>
      </c>
      <c r="F199" s="45">
        <v>699</v>
      </c>
      <c r="G199" s="45">
        <v>499</v>
      </c>
      <c r="H199" s="45">
        <v>699</v>
      </c>
      <c r="I199" s="45">
        <v>699</v>
      </c>
      <c r="J199" s="45">
        <v>349</v>
      </c>
      <c r="K199" s="45">
        <v>349</v>
      </c>
      <c r="L199" s="45">
        <v>349</v>
      </c>
      <c r="M199" s="45">
        <v>349</v>
      </c>
      <c r="N199" s="45">
        <v>349</v>
      </c>
      <c r="O199" s="45">
        <v>349</v>
      </c>
      <c r="P199" s="45">
        <v>349</v>
      </c>
      <c r="Q199" s="45">
        <v>349</v>
      </c>
      <c r="R199" s="45">
        <v>349</v>
      </c>
      <c r="S199" s="45">
        <v>349</v>
      </c>
      <c r="T199" s="45">
        <v>349</v>
      </c>
      <c r="U199" s="45">
        <v>349</v>
      </c>
      <c r="V199" s="45">
        <v>349</v>
      </c>
      <c r="W199" s="45">
        <v>349</v>
      </c>
      <c r="X199" s="45">
        <v>349</v>
      </c>
      <c r="Y199" s="45">
        <v>349</v>
      </c>
      <c r="Z199" s="45">
        <v>349</v>
      </c>
      <c r="AA199" s="45">
        <v>349</v>
      </c>
      <c r="AB199" s="45"/>
      <c r="AC199" s="45"/>
      <c r="AD199" s="45"/>
      <c r="AE199" s="45"/>
      <c r="AF199" s="45"/>
      <c r="AG199" s="45"/>
      <c r="AH199" s="45"/>
      <c r="AI199" s="45"/>
      <c r="AJ199" s="45"/>
      <c r="AK199" s="45"/>
      <c r="AL199" s="45"/>
      <c r="AM199" s="45"/>
      <c r="AN199" s="45"/>
      <c r="AO199" s="45"/>
      <c r="AP199" s="45"/>
      <c r="AQ199" s="45"/>
      <c r="AR199" s="45"/>
      <c r="AS199" s="45"/>
      <c r="AT199" s="45"/>
      <c r="AU199" s="45"/>
      <c r="AV199" s="47"/>
      <c r="AW199" s="48" t="s">
        <v>67</v>
      </c>
      <c r="AX199" s="49" t="s">
        <v>230</v>
      </c>
      <c r="AY199" s="50">
        <f t="shared" si="10"/>
        <v>14.1198</v>
      </c>
      <c r="AZ199" s="50">
        <f t="shared" si="11"/>
        <v>12.7218</v>
      </c>
      <c r="BA199" s="51">
        <f t="shared" si="12"/>
        <v>7.1997</v>
      </c>
    </row>
    <row r="200" spans="1:53" ht="22.5" customHeight="1">
      <c r="A200" s="55" t="s">
        <v>222</v>
      </c>
      <c r="B200" s="42" t="s">
        <v>64</v>
      </c>
      <c r="C200" s="43">
        <v>4014434</v>
      </c>
      <c r="D200" s="56" t="s">
        <v>336</v>
      </c>
      <c r="E200" s="56" t="s">
        <v>337</v>
      </c>
      <c r="F200" s="45">
        <v>499</v>
      </c>
      <c r="G200" s="45">
        <v>349</v>
      </c>
      <c r="H200" s="45">
        <v>499</v>
      </c>
      <c r="I200" s="45">
        <v>499</v>
      </c>
      <c r="J200" s="45">
        <f t="shared" ref="J200:J226" si="18">M200</f>
        <v>399</v>
      </c>
      <c r="K200" s="45">
        <f t="shared" ref="K200:L226" si="19">M200</f>
        <v>399</v>
      </c>
      <c r="L200" s="45">
        <f t="shared" si="19"/>
        <v>399</v>
      </c>
      <c r="M200" s="45">
        <v>399</v>
      </c>
      <c r="N200" s="45">
        <v>399</v>
      </c>
      <c r="O200" s="45">
        <f t="shared" si="17"/>
        <v>349</v>
      </c>
      <c r="P200" s="46">
        <f t="shared" si="17"/>
        <v>349</v>
      </c>
      <c r="Q200" s="46">
        <f t="shared" si="17"/>
        <v>349</v>
      </c>
      <c r="R200" s="45">
        <v>349</v>
      </c>
      <c r="S200" s="45">
        <v>349</v>
      </c>
      <c r="T200" s="45">
        <v>349</v>
      </c>
      <c r="U200" s="45">
        <v>349</v>
      </c>
      <c r="V200" s="45">
        <v>349</v>
      </c>
      <c r="W200" s="45">
        <v>349</v>
      </c>
      <c r="X200" s="45">
        <v>349</v>
      </c>
      <c r="Y200" s="45">
        <v>349</v>
      </c>
      <c r="Z200" s="45">
        <v>349</v>
      </c>
      <c r="AA200" s="45">
        <v>349</v>
      </c>
      <c r="AB200" s="45"/>
      <c r="AC200" s="45"/>
      <c r="AD200" s="45"/>
      <c r="AE200" s="45"/>
      <c r="AF200" s="45"/>
      <c r="AG200" s="45"/>
      <c r="AH200" s="45"/>
      <c r="AI200" s="45"/>
      <c r="AJ200" s="45"/>
      <c r="AK200" s="45"/>
      <c r="AL200" s="45"/>
      <c r="AM200" s="45"/>
      <c r="AN200" s="45"/>
      <c r="AO200" s="45"/>
      <c r="AP200" s="45"/>
      <c r="AQ200" s="45"/>
      <c r="AR200" s="45"/>
      <c r="AS200" s="45"/>
      <c r="AT200" s="45"/>
      <c r="AU200" s="45"/>
      <c r="AV200" s="47"/>
      <c r="AW200" s="48" t="s">
        <v>67</v>
      </c>
      <c r="AX200" s="49" t="s">
        <v>230</v>
      </c>
      <c r="AY200" s="50">
        <f t="shared" si="10"/>
        <v>10.079799999999999</v>
      </c>
      <c r="AZ200" s="50">
        <f t="shared" si="11"/>
        <v>9.0818000000000012</v>
      </c>
      <c r="BA200" s="51">
        <f t="shared" si="12"/>
        <v>5.1397000000000004</v>
      </c>
    </row>
    <row r="201" spans="1:53" ht="22.5" customHeight="1">
      <c r="A201" s="55" t="s">
        <v>222</v>
      </c>
      <c r="B201" s="42" t="s">
        <v>64</v>
      </c>
      <c r="C201" s="43">
        <v>4014440</v>
      </c>
      <c r="D201" s="56" t="s">
        <v>336</v>
      </c>
      <c r="E201" s="56" t="s">
        <v>338</v>
      </c>
      <c r="F201" s="45">
        <v>499</v>
      </c>
      <c r="G201" s="45">
        <v>349</v>
      </c>
      <c r="H201" s="45">
        <v>499</v>
      </c>
      <c r="I201" s="45">
        <v>499</v>
      </c>
      <c r="J201" s="45">
        <f t="shared" si="18"/>
        <v>399</v>
      </c>
      <c r="K201" s="45">
        <f t="shared" si="19"/>
        <v>399</v>
      </c>
      <c r="L201" s="45">
        <f t="shared" si="19"/>
        <v>399</v>
      </c>
      <c r="M201" s="45">
        <v>399</v>
      </c>
      <c r="N201" s="45">
        <v>399</v>
      </c>
      <c r="O201" s="45">
        <f t="shared" si="17"/>
        <v>349</v>
      </c>
      <c r="P201" s="46">
        <f t="shared" si="17"/>
        <v>349</v>
      </c>
      <c r="Q201" s="46">
        <f t="shared" si="17"/>
        <v>349</v>
      </c>
      <c r="R201" s="45">
        <v>349</v>
      </c>
      <c r="S201" s="45">
        <v>349</v>
      </c>
      <c r="T201" s="45">
        <v>349</v>
      </c>
      <c r="U201" s="45">
        <v>349</v>
      </c>
      <c r="V201" s="45">
        <v>349</v>
      </c>
      <c r="W201" s="45">
        <v>349</v>
      </c>
      <c r="X201" s="45">
        <v>349</v>
      </c>
      <c r="Y201" s="45">
        <v>349</v>
      </c>
      <c r="Z201" s="45">
        <v>349</v>
      </c>
      <c r="AA201" s="45">
        <v>349</v>
      </c>
      <c r="AB201" s="45"/>
      <c r="AC201" s="45"/>
      <c r="AD201" s="45"/>
      <c r="AE201" s="45"/>
      <c r="AF201" s="45"/>
      <c r="AG201" s="45"/>
      <c r="AH201" s="45"/>
      <c r="AI201" s="45"/>
      <c r="AJ201" s="45"/>
      <c r="AK201" s="45"/>
      <c r="AL201" s="45"/>
      <c r="AM201" s="45"/>
      <c r="AN201" s="45"/>
      <c r="AO201" s="45"/>
      <c r="AP201" s="45"/>
      <c r="AQ201" s="45"/>
      <c r="AR201" s="45"/>
      <c r="AS201" s="45"/>
      <c r="AT201" s="45"/>
      <c r="AU201" s="45"/>
      <c r="AV201" s="47"/>
      <c r="AW201" s="48" t="s">
        <v>67</v>
      </c>
      <c r="AX201" s="49" t="s">
        <v>230</v>
      </c>
      <c r="AY201" s="50">
        <f t="shared" si="10"/>
        <v>10.079799999999999</v>
      </c>
      <c r="AZ201" s="50">
        <f t="shared" si="11"/>
        <v>9.0818000000000012</v>
      </c>
      <c r="BA201" s="51">
        <f t="shared" si="12"/>
        <v>5.1397000000000004</v>
      </c>
    </row>
    <row r="202" spans="1:53" ht="22.5" customHeight="1">
      <c r="A202" s="55" t="s">
        <v>222</v>
      </c>
      <c r="B202" s="42" t="s">
        <v>64</v>
      </c>
      <c r="C202" s="43">
        <v>4015992</v>
      </c>
      <c r="D202" s="56" t="s">
        <v>339</v>
      </c>
      <c r="E202" s="56" t="s">
        <v>340</v>
      </c>
      <c r="F202" s="45">
        <v>641</v>
      </c>
      <c r="G202" s="45">
        <v>441</v>
      </c>
      <c r="H202" s="45">
        <v>641</v>
      </c>
      <c r="I202" s="45">
        <v>641</v>
      </c>
      <c r="J202" s="45">
        <v>309</v>
      </c>
      <c r="K202" s="45">
        <v>309</v>
      </c>
      <c r="L202" s="45">
        <v>309</v>
      </c>
      <c r="M202" s="45">
        <v>309</v>
      </c>
      <c r="N202" s="45">
        <v>309</v>
      </c>
      <c r="O202" s="45">
        <v>309</v>
      </c>
      <c r="P202" s="45">
        <v>309</v>
      </c>
      <c r="Q202" s="45">
        <v>309</v>
      </c>
      <c r="R202" s="45">
        <v>309</v>
      </c>
      <c r="S202" s="45">
        <v>309</v>
      </c>
      <c r="T202" s="45">
        <v>309</v>
      </c>
      <c r="U202" s="45">
        <v>309</v>
      </c>
      <c r="V202" s="45">
        <v>309</v>
      </c>
      <c r="W202" s="45">
        <v>309</v>
      </c>
      <c r="X202" s="45">
        <v>309</v>
      </c>
      <c r="Y202" s="45">
        <v>309</v>
      </c>
      <c r="Z202" s="45">
        <v>309</v>
      </c>
      <c r="AA202" s="45">
        <v>309</v>
      </c>
      <c r="AB202" s="45"/>
      <c r="AC202" s="45"/>
      <c r="AD202" s="45"/>
      <c r="AE202" s="45"/>
      <c r="AF202" s="45"/>
      <c r="AG202" s="45"/>
      <c r="AH202" s="45"/>
      <c r="AI202" s="45"/>
      <c r="AJ202" s="45"/>
      <c r="AK202" s="45"/>
      <c r="AL202" s="45"/>
      <c r="AM202" s="45"/>
      <c r="AN202" s="45"/>
      <c r="AO202" s="45"/>
      <c r="AP202" s="45"/>
      <c r="AQ202" s="45"/>
      <c r="AR202" s="45"/>
      <c r="AS202" s="45"/>
      <c r="AT202" s="45"/>
      <c r="AU202" s="45"/>
      <c r="AV202" s="47"/>
      <c r="AW202" s="48" t="s">
        <v>67</v>
      </c>
      <c r="AX202" s="49" t="s">
        <v>230</v>
      </c>
      <c r="AY202" s="50">
        <f t="shared" si="10"/>
        <v>12.9482</v>
      </c>
      <c r="AZ202" s="50">
        <f t="shared" si="11"/>
        <v>11.6662</v>
      </c>
      <c r="BA202" s="51">
        <f t="shared" si="12"/>
        <v>6.6023000000000005</v>
      </c>
    </row>
    <row r="203" spans="1:53" ht="22.5" customHeight="1">
      <c r="A203" s="55" t="s">
        <v>222</v>
      </c>
      <c r="B203" s="42" t="s">
        <v>64</v>
      </c>
      <c r="C203" s="43">
        <v>4015995</v>
      </c>
      <c r="D203" s="56" t="s">
        <v>339</v>
      </c>
      <c r="E203" s="56" t="s">
        <v>341</v>
      </c>
      <c r="F203" s="45">
        <v>641</v>
      </c>
      <c r="G203" s="45">
        <v>441</v>
      </c>
      <c r="H203" s="45">
        <v>641</v>
      </c>
      <c r="I203" s="45">
        <v>641</v>
      </c>
      <c r="J203" s="45">
        <v>309</v>
      </c>
      <c r="K203" s="45">
        <v>309</v>
      </c>
      <c r="L203" s="45">
        <v>309</v>
      </c>
      <c r="M203" s="45">
        <v>309</v>
      </c>
      <c r="N203" s="45">
        <v>309</v>
      </c>
      <c r="O203" s="45">
        <v>309</v>
      </c>
      <c r="P203" s="45">
        <v>309</v>
      </c>
      <c r="Q203" s="45">
        <v>309</v>
      </c>
      <c r="R203" s="45">
        <v>309</v>
      </c>
      <c r="S203" s="45">
        <v>309</v>
      </c>
      <c r="T203" s="45">
        <v>309</v>
      </c>
      <c r="U203" s="45">
        <v>309</v>
      </c>
      <c r="V203" s="45">
        <v>309</v>
      </c>
      <c r="W203" s="45">
        <v>309</v>
      </c>
      <c r="X203" s="45">
        <v>309</v>
      </c>
      <c r="Y203" s="45">
        <v>309</v>
      </c>
      <c r="Z203" s="45">
        <v>309</v>
      </c>
      <c r="AA203" s="45">
        <v>309</v>
      </c>
      <c r="AB203" s="45"/>
      <c r="AC203" s="45"/>
      <c r="AD203" s="45"/>
      <c r="AE203" s="45"/>
      <c r="AF203" s="45"/>
      <c r="AG203" s="45"/>
      <c r="AH203" s="45"/>
      <c r="AI203" s="45"/>
      <c r="AJ203" s="45"/>
      <c r="AK203" s="45"/>
      <c r="AL203" s="45"/>
      <c r="AM203" s="45"/>
      <c r="AN203" s="45"/>
      <c r="AO203" s="45"/>
      <c r="AP203" s="45"/>
      <c r="AQ203" s="45"/>
      <c r="AR203" s="45"/>
      <c r="AS203" s="45"/>
      <c r="AT203" s="45"/>
      <c r="AU203" s="45"/>
      <c r="AV203" s="47"/>
      <c r="AW203" s="48" t="s">
        <v>67</v>
      </c>
      <c r="AX203" s="49" t="s">
        <v>230</v>
      </c>
      <c r="AY203" s="50">
        <f t="shared" si="10"/>
        <v>12.9482</v>
      </c>
      <c r="AZ203" s="50">
        <f t="shared" si="11"/>
        <v>11.6662</v>
      </c>
      <c r="BA203" s="51">
        <f t="shared" si="12"/>
        <v>6.6023000000000005</v>
      </c>
    </row>
    <row r="204" spans="1:53" ht="22.5" customHeight="1">
      <c r="A204" s="55" t="s">
        <v>222</v>
      </c>
      <c r="B204" s="42" t="s">
        <v>64</v>
      </c>
      <c r="C204" s="43">
        <v>4016000</v>
      </c>
      <c r="D204" s="56" t="s">
        <v>342</v>
      </c>
      <c r="E204" s="56" t="s">
        <v>343</v>
      </c>
      <c r="F204" s="45">
        <v>999</v>
      </c>
      <c r="G204" s="45">
        <v>899</v>
      </c>
      <c r="H204" s="45">
        <v>899</v>
      </c>
      <c r="I204" s="45">
        <v>899</v>
      </c>
      <c r="J204" s="45">
        <v>799</v>
      </c>
      <c r="K204" s="45">
        <v>799</v>
      </c>
      <c r="L204" s="45">
        <v>799</v>
      </c>
      <c r="M204" s="45">
        <v>799</v>
      </c>
      <c r="N204" s="45">
        <v>799</v>
      </c>
      <c r="O204" s="45">
        <v>749</v>
      </c>
      <c r="P204" s="46">
        <v>749</v>
      </c>
      <c r="Q204" s="46">
        <v>749</v>
      </c>
      <c r="R204" s="45">
        <v>749</v>
      </c>
      <c r="S204" s="45">
        <v>749</v>
      </c>
      <c r="T204" s="45">
        <v>749</v>
      </c>
      <c r="U204" s="45">
        <v>749</v>
      </c>
      <c r="V204" s="45">
        <v>749</v>
      </c>
      <c r="W204" s="45">
        <v>749</v>
      </c>
      <c r="X204" s="45">
        <v>749</v>
      </c>
      <c r="Y204" s="45">
        <v>749</v>
      </c>
      <c r="Z204" s="45">
        <v>749</v>
      </c>
      <c r="AA204" s="45">
        <v>749</v>
      </c>
      <c r="AB204" s="45"/>
      <c r="AC204" s="45"/>
      <c r="AD204" s="45"/>
      <c r="AE204" s="45"/>
      <c r="AF204" s="45"/>
      <c r="AG204" s="45"/>
      <c r="AH204" s="45"/>
      <c r="AI204" s="45"/>
      <c r="AJ204" s="45"/>
      <c r="AK204" s="45"/>
      <c r="AL204" s="45"/>
      <c r="AM204" s="45"/>
      <c r="AN204" s="45"/>
      <c r="AO204" s="45"/>
      <c r="AP204" s="45"/>
      <c r="AQ204" s="45"/>
      <c r="AR204" s="45"/>
      <c r="AS204" s="45"/>
      <c r="AT204" s="45"/>
      <c r="AU204" s="45"/>
      <c r="AV204" s="47"/>
      <c r="AW204" s="48" t="s">
        <v>67</v>
      </c>
      <c r="AX204" s="49" t="s">
        <v>230</v>
      </c>
      <c r="AY204" s="50">
        <f t="shared" si="10"/>
        <v>18.159800000000001</v>
      </c>
      <c r="AZ204" s="50">
        <f t="shared" si="11"/>
        <v>16.361800000000002</v>
      </c>
      <c r="BA204" s="51">
        <f t="shared" si="12"/>
        <v>9.2597000000000005</v>
      </c>
    </row>
    <row r="205" spans="1:53" ht="22.5" customHeight="1">
      <c r="A205" s="55" t="s">
        <v>222</v>
      </c>
      <c r="B205" s="42" t="s">
        <v>64</v>
      </c>
      <c r="C205" s="43">
        <v>4016003</v>
      </c>
      <c r="D205" s="56" t="s">
        <v>342</v>
      </c>
      <c r="E205" s="56" t="s">
        <v>344</v>
      </c>
      <c r="F205" s="45">
        <v>999</v>
      </c>
      <c r="G205" s="45">
        <v>899</v>
      </c>
      <c r="H205" s="45">
        <v>899</v>
      </c>
      <c r="I205" s="45">
        <v>899</v>
      </c>
      <c r="J205" s="45">
        <v>799</v>
      </c>
      <c r="K205" s="45">
        <v>799</v>
      </c>
      <c r="L205" s="45">
        <v>799</v>
      </c>
      <c r="M205" s="45">
        <v>799</v>
      </c>
      <c r="N205" s="45">
        <v>799</v>
      </c>
      <c r="O205" s="45">
        <v>749</v>
      </c>
      <c r="P205" s="46">
        <v>749</v>
      </c>
      <c r="Q205" s="46">
        <v>749</v>
      </c>
      <c r="R205" s="45">
        <v>749</v>
      </c>
      <c r="S205" s="45">
        <v>749</v>
      </c>
      <c r="T205" s="45">
        <v>749</v>
      </c>
      <c r="U205" s="45">
        <v>749</v>
      </c>
      <c r="V205" s="45">
        <v>749</v>
      </c>
      <c r="W205" s="45">
        <v>749</v>
      </c>
      <c r="X205" s="45">
        <v>749</v>
      </c>
      <c r="Y205" s="45">
        <v>749</v>
      </c>
      <c r="Z205" s="45">
        <v>749</v>
      </c>
      <c r="AA205" s="45">
        <v>749</v>
      </c>
      <c r="AB205" s="45"/>
      <c r="AC205" s="45"/>
      <c r="AD205" s="45"/>
      <c r="AE205" s="45"/>
      <c r="AF205" s="45"/>
      <c r="AG205" s="45"/>
      <c r="AH205" s="45"/>
      <c r="AI205" s="45"/>
      <c r="AJ205" s="45"/>
      <c r="AK205" s="45"/>
      <c r="AL205" s="45"/>
      <c r="AM205" s="45"/>
      <c r="AN205" s="45"/>
      <c r="AO205" s="45"/>
      <c r="AP205" s="45"/>
      <c r="AQ205" s="45"/>
      <c r="AR205" s="45"/>
      <c r="AS205" s="45"/>
      <c r="AT205" s="45"/>
      <c r="AU205" s="45"/>
      <c r="AV205" s="47"/>
      <c r="AW205" s="48" t="s">
        <v>67</v>
      </c>
      <c r="AX205" s="49" t="s">
        <v>230</v>
      </c>
      <c r="AY205" s="50">
        <f t="shared" si="10"/>
        <v>18.159800000000001</v>
      </c>
      <c r="AZ205" s="50">
        <f t="shared" si="11"/>
        <v>16.361800000000002</v>
      </c>
      <c r="BA205" s="51">
        <f t="shared" si="12"/>
        <v>9.2597000000000005</v>
      </c>
    </row>
    <row r="206" spans="1:53" ht="22.5" customHeight="1">
      <c r="A206" s="55" t="s">
        <v>222</v>
      </c>
      <c r="B206" s="42" t="s">
        <v>64</v>
      </c>
      <c r="C206" s="43">
        <v>4016641</v>
      </c>
      <c r="D206" s="56" t="s">
        <v>345</v>
      </c>
      <c r="E206" s="56" t="s">
        <v>346</v>
      </c>
      <c r="F206" s="45">
        <v>899</v>
      </c>
      <c r="G206" s="45">
        <v>899</v>
      </c>
      <c r="H206" s="45">
        <v>899</v>
      </c>
      <c r="I206" s="45">
        <v>899</v>
      </c>
      <c r="J206" s="45">
        <v>799</v>
      </c>
      <c r="K206" s="45">
        <v>799</v>
      </c>
      <c r="L206" s="45">
        <v>799</v>
      </c>
      <c r="M206" s="45">
        <v>799</v>
      </c>
      <c r="N206" s="45">
        <v>799</v>
      </c>
      <c r="O206" s="45">
        <v>699</v>
      </c>
      <c r="P206" s="46">
        <v>699</v>
      </c>
      <c r="Q206" s="45">
        <v>699</v>
      </c>
      <c r="R206" s="45">
        <v>699</v>
      </c>
      <c r="S206" s="45">
        <v>699</v>
      </c>
      <c r="T206" s="45">
        <v>699</v>
      </c>
      <c r="U206" s="45">
        <v>699</v>
      </c>
      <c r="V206" s="45">
        <v>699</v>
      </c>
      <c r="W206" s="45">
        <v>699</v>
      </c>
      <c r="X206" s="45">
        <v>699</v>
      </c>
      <c r="Y206" s="45">
        <v>699</v>
      </c>
      <c r="Z206" s="45">
        <v>699</v>
      </c>
      <c r="AA206" s="45">
        <v>699</v>
      </c>
      <c r="AB206" s="45"/>
      <c r="AC206" s="45"/>
      <c r="AD206" s="45"/>
      <c r="AE206" s="45"/>
      <c r="AF206" s="45"/>
      <c r="AG206" s="45"/>
      <c r="AH206" s="45"/>
      <c r="AI206" s="45"/>
      <c r="AJ206" s="45"/>
      <c r="AK206" s="45"/>
      <c r="AL206" s="45"/>
      <c r="AM206" s="45"/>
      <c r="AN206" s="45"/>
      <c r="AO206" s="45"/>
      <c r="AP206" s="45"/>
      <c r="AQ206" s="45"/>
      <c r="AR206" s="45"/>
      <c r="AS206" s="45"/>
      <c r="AT206" s="45"/>
      <c r="AU206" s="45"/>
      <c r="AV206" s="47"/>
      <c r="AW206" s="48" t="s">
        <v>67</v>
      </c>
      <c r="AX206" s="49" t="s">
        <v>230</v>
      </c>
      <c r="AY206" s="50">
        <f t="shared" ref="AY206:AY269" si="20">$H206*AY$11</f>
        <v>18.159800000000001</v>
      </c>
      <c r="AZ206" s="50">
        <f t="shared" ref="AZ206:AZ269" si="21">($H206*AZ$11)</f>
        <v>16.361800000000002</v>
      </c>
      <c r="BA206" s="51">
        <f t="shared" ref="BA206:BA269" si="22">$H206*BA$11</f>
        <v>9.2597000000000005</v>
      </c>
    </row>
    <row r="207" spans="1:53" ht="22.5" customHeight="1">
      <c r="A207" s="55" t="s">
        <v>222</v>
      </c>
      <c r="B207" s="42" t="s">
        <v>64</v>
      </c>
      <c r="C207" s="43">
        <v>4016642</v>
      </c>
      <c r="D207" s="56" t="s">
        <v>345</v>
      </c>
      <c r="E207" s="56" t="s">
        <v>347</v>
      </c>
      <c r="F207" s="45">
        <v>899</v>
      </c>
      <c r="G207" s="45">
        <v>899</v>
      </c>
      <c r="H207" s="45">
        <v>899</v>
      </c>
      <c r="I207" s="45">
        <v>899</v>
      </c>
      <c r="J207" s="45">
        <v>799</v>
      </c>
      <c r="K207" s="45">
        <v>799</v>
      </c>
      <c r="L207" s="45">
        <v>799</v>
      </c>
      <c r="M207" s="45">
        <v>799</v>
      </c>
      <c r="N207" s="45">
        <v>799</v>
      </c>
      <c r="O207" s="45">
        <v>699</v>
      </c>
      <c r="P207" s="46">
        <v>699</v>
      </c>
      <c r="Q207" s="45">
        <v>699</v>
      </c>
      <c r="R207" s="45">
        <v>699</v>
      </c>
      <c r="S207" s="45">
        <v>699</v>
      </c>
      <c r="T207" s="45">
        <v>699</v>
      </c>
      <c r="U207" s="45">
        <v>699</v>
      </c>
      <c r="V207" s="45">
        <v>699</v>
      </c>
      <c r="W207" s="45">
        <v>699</v>
      </c>
      <c r="X207" s="45">
        <v>699</v>
      </c>
      <c r="Y207" s="45">
        <v>699</v>
      </c>
      <c r="Z207" s="45">
        <v>699</v>
      </c>
      <c r="AA207" s="45">
        <v>699</v>
      </c>
      <c r="AB207" s="45"/>
      <c r="AC207" s="45"/>
      <c r="AD207" s="45"/>
      <c r="AE207" s="45"/>
      <c r="AF207" s="45"/>
      <c r="AG207" s="45"/>
      <c r="AH207" s="45"/>
      <c r="AI207" s="45"/>
      <c r="AJ207" s="45"/>
      <c r="AK207" s="45"/>
      <c r="AL207" s="45"/>
      <c r="AM207" s="45"/>
      <c r="AN207" s="45"/>
      <c r="AO207" s="45"/>
      <c r="AP207" s="45"/>
      <c r="AQ207" s="45"/>
      <c r="AR207" s="45"/>
      <c r="AS207" s="45"/>
      <c r="AT207" s="45"/>
      <c r="AU207" s="45"/>
      <c r="AV207" s="47"/>
      <c r="AW207" s="48" t="s">
        <v>67</v>
      </c>
      <c r="AX207" s="49" t="s">
        <v>230</v>
      </c>
      <c r="AY207" s="50">
        <f t="shared" si="20"/>
        <v>18.159800000000001</v>
      </c>
      <c r="AZ207" s="50">
        <f t="shared" si="21"/>
        <v>16.361800000000002</v>
      </c>
      <c r="BA207" s="51">
        <f t="shared" si="22"/>
        <v>9.2597000000000005</v>
      </c>
    </row>
    <row r="208" spans="1:53" ht="22.5" customHeight="1">
      <c r="A208" s="55" t="s">
        <v>222</v>
      </c>
      <c r="B208" s="42" t="s">
        <v>64</v>
      </c>
      <c r="C208" s="43">
        <v>4016976</v>
      </c>
      <c r="D208" s="56" t="s">
        <v>348</v>
      </c>
      <c r="E208" s="56" t="s">
        <v>349</v>
      </c>
      <c r="F208" s="45">
        <v>1099</v>
      </c>
      <c r="G208" s="45">
        <v>829</v>
      </c>
      <c r="H208" s="45">
        <v>829</v>
      </c>
      <c r="I208" s="45">
        <v>829</v>
      </c>
      <c r="J208" s="45">
        <v>799</v>
      </c>
      <c r="K208" s="45">
        <v>699</v>
      </c>
      <c r="L208" s="45">
        <v>699</v>
      </c>
      <c r="M208" s="45">
        <v>799</v>
      </c>
      <c r="N208" s="45">
        <v>699</v>
      </c>
      <c r="O208" s="45">
        <v>699</v>
      </c>
      <c r="P208" s="46">
        <v>699</v>
      </c>
      <c r="Q208" s="45">
        <v>699</v>
      </c>
      <c r="R208" s="45">
        <v>699</v>
      </c>
      <c r="S208" s="45">
        <v>699</v>
      </c>
      <c r="T208" s="45">
        <v>699</v>
      </c>
      <c r="U208" s="45">
        <v>699</v>
      </c>
      <c r="V208" s="45">
        <v>699</v>
      </c>
      <c r="W208" s="45">
        <v>699</v>
      </c>
      <c r="X208" s="45">
        <v>699</v>
      </c>
      <c r="Y208" s="45">
        <v>699</v>
      </c>
      <c r="Z208" s="45">
        <v>699</v>
      </c>
      <c r="AA208" s="45">
        <v>699</v>
      </c>
      <c r="AB208" s="45">
        <v>799</v>
      </c>
      <c r="AC208" s="45">
        <v>799</v>
      </c>
      <c r="AD208" s="45">
        <v>799</v>
      </c>
      <c r="AE208" s="45">
        <v>799</v>
      </c>
      <c r="AF208" s="45">
        <v>699</v>
      </c>
      <c r="AG208" s="45">
        <v>699</v>
      </c>
      <c r="AH208" s="45">
        <v>699</v>
      </c>
      <c r="AI208" s="45">
        <v>699</v>
      </c>
      <c r="AJ208" s="45">
        <v>699</v>
      </c>
      <c r="AK208" s="45">
        <v>699</v>
      </c>
      <c r="AL208" s="45">
        <v>699</v>
      </c>
      <c r="AM208" s="45"/>
      <c r="AN208" s="45"/>
      <c r="AO208" s="45"/>
      <c r="AP208" s="45"/>
      <c r="AQ208" s="45"/>
      <c r="AR208" s="45"/>
      <c r="AS208" s="45"/>
      <c r="AT208" s="45"/>
      <c r="AU208" s="45"/>
      <c r="AV208" s="47"/>
      <c r="AW208" s="48" t="s">
        <v>67</v>
      </c>
      <c r="AX208" s="49" t="s">
        <v>68</v>
      </c>
      <c r="AY208" s="50">
        <f t="shared" si="20"/>
        <v>16.745799999999999</v>
      </c>
      <c r="AZ208" s="50">
        <f t="shared" si="21"/>
        <v>15.087800000000001</v>
      </c>
      <c r="BA208" s="51">
        <f t="shared" si="22"/>
        <v>8.5387000000000004</v>
      </c>
    </row>
    <row r="209" spans="1:53" ht="22.5" customHeight="1">
      <c r="A209" s="55" t="s">
        <v>222</v>
      </c>
      <c r="B209" s="42" t="s">
        <v>64</v>
      </c>
      <c r="C209" s="43">
        <v>4016987</v>
      </c>
      <c r="D209" s="56" t="s">
        <v>348</v>
      </c>
      <c r="E209" s="56" t="s">
        <v>350</v>
      </c>
      <c r="F209" s="45">
        <v>1099</v>
      </c>
      <c r="G209" s="45">
        <v>829</v>
      </c>
      <c r="H209" s="45">
        <v>829</v>
      </c>
      <c r="I209" s="45">
        <v>829</v>
      </c>
      <c r="J209" s="45">
        <v>799</v>
      </c>
      <c r="K209" s="45">
        <v>699</v>
      </c>
      <c r="L209" s="45">
        <v>699</v>
      </c>
      <c r="M209" s="45">
        <v>799</v>
      </c>
      <c r="N209" s="45">
        <v>699</v>
      </c>
      <c r="O209" s="45">
        <v>699</v>
      </c>
      <c r="P209" s="46">
        <v>699</v>
      </c>
      <c r="Q209" s="45">
        <v>699</v>
      </c>
      <c r="R209" s="45">
        <v>699</v>
      </c>
      <c r="S209" s="45">
        <v>699</v>
      </c>
      <c r="T209" s="45">
        <v>699</v>
      </c>
      <c r="U209" s="45">
        <v>699</v>
      </c>
      <c r="V209" s="45">
        <v>699</v>
      </c>
      <c r="W209" s="45">
        <v>699</v>
      </c>
      <c r="X209" s="45">
        <v>699</v>
      </c>
      <c r="Y209" s="45">
        <v>699</v>
      </c>
      <c r="Z209" s="45">
        <v>699</v>
      </c>
      <c r="AA209" s="45">
        <v>699</v>
      </c>
      <c r="AB209" s="45">
        <v>799</v>
      </c>
      <c r="AC209" s="45">
        <v>799</v>
      </c>
      <c r="AD209" s="45">
        <v>799</v>
      </c>
      <c r="AE209" s="45">
        <v>799</v>
      </c>
      <c r="AF209" s="45">
        <v>699</v>
      </c>
      <c r="AG209" s="45">
        <v>699</v>
      </c>
      <c r="AH209" s="45">
        <v>699</v>
      </c>
      <c r="AI209" s="45">
        <v>699</v>
      </c>
      <c r="AJ209" s="45">
        <v>699</v>
      </c>
      <c r="AK209" s="45">
        <v>699</v>
      </c>
      <c r="AL209" s="45">
        <v>699</v>
      </c>
      <c r="AM209" s="45"/>
      <c r="AN209" s="45"/>
      <c r="AO209" s="45"/>
      <c r="AP209" s="45"/>
      <c r="AQ209" s="45"/>
      <c r="AR209" s="45"/>
      <c r="AS209" s="45"/>
      <c r="AT209" s="45"/>
      <c r="AU209" s="45"/>
      <c r="AV209" s="47"/>
      <c r="AW209" s="48" t="s">
        <v>67</v>
      </c>
      <c r="AX209" s="49" t="s">
        <v>68</v>
      </c>
      <c r="AY209" s="50">
        <f t="shared" si="20"/>
        <v>16.745799999999999</v>
      </c>
      <c r="AZ209" s="50">
        <f t="shared" si="21"/>
        <v>15.087800000000001</v>
      </c>
      <c r="BA209" s="51">
        <f t="shared" si="22"/>
        <v>8.5387000000000004</v>
      </c>
    </row>
    <row r="210" spans="1:53" ht="22.5" customHeight="1">
      <c r="A210" s="55" t="s">
        <v>222</v>
      </c>
      <c r="B210" s="42" t="s">
        <v>64</v>
      </c>
      <c r="C210" s="43">
        <v>4016981</v>
      </c>
      <c r="D210" s="56" t="s">
        <v>348</v>
      </c>
      <c r="E210" s="56" t="s">
        <v>351</v>
      </c>
      <c r="F210" s="45">
        <v>1099</v>
      </c>
      <c r="G210" s="45">
        <v>829</v>
      </c>
      <c r="H210" s="45">
        <v>829</v>
      </c>
      <c r="I210" s="45">
        <v>829</v>
      </c>
      <c r="J210" s="45">
        <v>799</v>
      </c>
      <c r="K210" s="45">
        <v>699</v>
      </c>
      <c r="L210" s="45">
        <v>699</v>
      </c>
      <c r="M210" s="45">
        <v>799</v>
      </c>
      <c r="N210" s="45">
        <v>699</v>
      </c>
      <c r="O210" s="45">
        <v>699</v>
      </c>
      <c r="P210" s="46">
        <v>699</v>
      </c>
      <c r="Q210" s="45">
        <v>699</v>
      </c>
      <c r="R210" s="45">
        <v>699</v>
      </c>
      <c r="S210" s="45">
        <v>699</v>
      </c>
      <c r="T210" s="45">
        <v>699</v>
      </c>
      <c r="U210" s="45">
        <v>699</v>
      </c>
      <c r="V210" s="45">
        <v>699</v>
      </c>
      <c r="W210" s="45">
        <v>699</v>
      </c>
      <c r="X210" s="45">
        <v>699</v>
      </c>
      <c r="Y210" s="45">
        <v>699</v>
      </c>
      <c r="Z210" s="45">
        <v>699</v>
      </c>
      <c r="AA210" s="45">
        <v>699</v>
      </c>
      <c r="AB210" s="45">
        <v>799</v>
      </c>
      <c r="AC210" s="45">
        <v>799</v>
      </c>
      <c r="AD210" s="45">
        <v>799</v>
      </c>
      <c r="AE210" s="45">
        <v>799</v>
      </c>
      <c r="AF210" s="45">
        <v>699</v>
      </c>
      <c r="AG210" s="45">
        <v>699</v>
      </c>
      <c r="AH210" s="45">
        <v>699</v>
      </c>
      <c r="AI210" s="45">
        <v>699</v>
      </c>
      <c r="AJ210" s="45">
        <v>699</v>
      </c>
      <c r="AK210" s="45">
        <v>699</v>
      </c>
      <c r="AL210" s="45">
        <v>699</v>
      </c>
      <c r="AM210" s="45"/>
      <c r="AN210" s="45"/>
      <c r="AO210" s="45"/>
      <c r="AP210" s="45"/>
      <c r="AQ210" s="45"/>
      <c r="AR210" s="45"/>
      <c r="AS210" s="45"/>
      <c r="AT210" s="45"/>
      <c r="AU210" s="45"/>
      <c r="AV210" s="47"/>
      <c r="AW210" s="48" t="s">
        <v>67</v>
      </c>
      <c r="AX210" s="49" t="s">
        <v>68</v>
      </c>
      <c r="AY210" s="50">
        <f t="shared" si="20"/>
        <v>16.745799999999999</v>
      </c>
      <c r="AZ210" s="50">
        <f t="shared" si="21"/>
        <v>15.087800000000001</v>
      </c>
      <c r="BA210" s="51">
        <f t="shared" si="22"/>
        <v>8.5387000000000004</v>
      </c>
    </row>
    <row r="211" spans="1:53" ht="22.5" customHeight="1">
      <c r="A211" s="55" t="s">
        <v>222</v>
      </c>
      <c r="B211" s="42" t="s">
        <v>64</v>
      </c>
      <c r="C211" s="43">
        <v>4016995</v>
      </c>
      <c r="D211" s="56" t="s">
        <v>348</v>
      </c>
      <c r="E211" s="56" t="s">
        <v>352</v>
      </c>
      <c r="F211" s="45">
        <v>1099</v>
      </c>
      <c r="G211" s="45">
        <v>829</v>
      </c>
      <c r="H211" s="45">
        <v>829</v>
      </c>
      <c r="I211" s="45">
        <v>829</v>
      </c>
      <c r="J211" s="45">
        <v>799</v>
      </c>
      <c r="K211" s="45">
        <v>699</v>
      </c>
      <c r="L211" s="45">
        <v>699</v>
      </c>
      <c r="M211" s="45">
        <v>799</v>
      </c>
      <c r="N211" s="45">
        <v>699</v>
      </c>
      <c r="O211" s="45">
        <v>699</v>
      </c>
      <c r="P211" s="46">
        <v>699</v>
      </c>
      <c r="Q211" s="45">
        <v>699</v>
      </c>
      <c r="R211" s="45">
        <v>699</v>
      </c>
      <c r="S211" s="45">
        <v>699</v>
      </c>
      <c r="T211" s="45">
        <v>699</v>
      </c>
      <c r="U211" s="45">
        <v>699</v>
      </c>
      <c r="V211" s="45">
        <v>699</v>
      </c>
      <c r="W211" s="45">
        <v>699</v>
      </c>
      <c r="X211" s="45">
        <v>699</v>
      </c>
      <c r="Y211" s="45">
        <v>699</v>
      </c>
      <c r="Z211" s="45">
        <v>699</v>
      </c>
      <c r="AA211" s="45">
        <v>699</v>
      </c>
      <c r="AB211" s="45">
        <v>799</v>
      </c>
      <c r="AC211" s="45">
        <v>799</v>
      </c>
      <c r="AD211" s="45">
        <v>799</v>
      </c>
      <c r="AE211" s="45">
        <v>799</v>
      </c>
      <c r="AF211" s="45">
        <v>699</v>
      </c>
      <c r="AG211" s="45">
        <v>699</v>
      </c>
      <c r="AH211" s="45">
        <v>699</v>
      </c>
      <c r="AI211" s="45">
        <v>699</v>
      </c>
      <c r="AJ211" s="45">
        <v>699</v>
      </c>
      <c r="AK211" s="45">
        <v>699</v>
      </c>
      <c r="AL211" s="45">
        <v>699</v>
      </c>
      <c r="AM211" s="45"/>
      <c r="AN211" s="45"/>
      <c r="AO211" s="45"/>
      <c r="AP211" s="45"/>
      <c r="AQ211" s="45"/>
      <c r="AR211" s="45"/>
      <c r="AS211" s="45"/>
      <c r="AT211" s="45"/>
      <c r="AU211" s="45"/>
      <c r="AV211" s="47"/>
      <c r="AW211" s="48" t="s">
        <v>67</v>
      </c>
      <c r="AX211" s="49" t="s">
        <v>68</v>
      </c>
      <c r="AY211" s="50">
        <f t="shared" si="20"/>
        <v>16.745799999999999</v>
      </c>
      <c r="AZ211" s="50">
        <f t="shared" si="21"/>
        <v>15.087800000000001</v>
      </c>
      <c r="BA211" s="51">
        <f t="shared" si="22"/>
        <v>8.5387000000000004</v>
      </c>
    </row>
    <row r="212" spans="1:53" ht="22.5" customHeight="1">
      <c r="A212" s="55" t="s">
        <v>222</v>
      </c>
      <c r="B212" s="42" t="s">
        <v>64</v>
      </c>
      <c r="C212" s="60">
        <v>4017375</v>
      </c>
      <c r="D212" s="56" t="s">
        <v>353</v>
      </c>
      <c r="E212" s="56" t="s">
        <v>354</v>
      </c>
      <c r="F212" s="45">
        <v>1049</v>
      </c>
      <c r="G212" s="45">
        <v>849</v>
      </c>
      <c r="H212" s="45">
        <v>969</v>
      </c>
      <c r="I212" s="45">
        <v>969</v>
      </c>
      <c r="J212" s="45">
        <v>899</v>
      </c>
      <c r="K212" s="45">
        <v>799</v>
      </c>
      <c r="L212" s="45">
        <v>799</v>
      </c>
      <c r="M212" s="45">
        <v>899</v>
      </c>
      <c r="N212" s="45">
        <v>799</v>
      </c>
      <c r="O212" s="45">
        <v>749</v>
      </c>
      <c r="P212" s="46">
        <v>749</v>
      </c>
      <c r="Q212" s="45">
        <v>699</v>
      </c>
      <c r="R212" s="45">
        <v>749</v>
      </c>
      <c r="S212" s="45">
        <v>749</v>
      </c>
      <c r="T212" s="45">
        <v>699</v>
      </c>
      <c r="U212" s="45">
        <v>699</v>
      </c>
      <c r="V212" s="45">
        <v>699</v>
      </c>
      <c r="W212" s="45">
        <v>699</v>
      </c>
      <c r="X212" s="45">
        <v>699</v>
      </c>
      <c r="Y212" s="45">
        <v>699</v>
      </c>
      <c r="Z212" s="45">
        <v>699</v>
      </c>
      <c r="AA212" s="45">
        <v>699</v>
      </c>
      <c r="AB212" s="45">
        <v>799</v>
      </c>
      <c r="AC212" s="45">
        <v>799</v>
      </c>
      <c r="AD212" s="45">
        <v>799</v>
      </c>
      <c r="AE212" s="45">
        <v>749</v>
      </c>
      <c r="AF212" s="45">
        <v>749</v>
      </c>
      <c r="AG212" s="45">
        <v>749</v>
      </c>
      <c r="AH212" s="45">
        <v>699</v>
      </c>
      <c r="AI212" s="45">
        <v>699</v>
      </c>
      <c r="AJ212" s="45">
        <v>699</v>
      </c>
      <c r="AK212" s="45">
        <v>699</v>
      </c>
      <c r="AL212" s="45">
        <v>699</v>
      </c>
      <c r="AM212" s="45"/>
      <c r="AN212" s="45"/>
      <c r="AO212" s="45"/>
      <c r="AP212" s="45"/>
      <c r="AQ212" s="45"/>
      <c r="AR212" s="45"/>
      <c r="AS212" s="45"/>
      <c r="AT212" s="45"/>
      <c r="AU212" s="45"/>
      <c r="AV212" s="47"/>
      <c r="AW212" s="48" t="s">
        <v>67</v>
      </c>
      <c r="AX212" s="49" t="s">
        <v>68</v>
      </c>
      <c r="AY212" s="50">
        <f t="shared" si="20"/>
        <v>19.573799999999999</v>
      </c>
      <c r="AZ212" s="50">
        <f t="shared" si="21"/>
        <v>17.6358</v>
      </c>
      <c r="BA212" s="51">
        <f t="shared" si="22"/>
        <v>9.9807000000000006</v>
      </c>
    </row>
    <row r="213" spans="1:53" ht="22.5" customHeight="1">
      <c r="A213" s="55" t="s">
        <v>222</v>
      </c>
      <c r="B213" s="42" t="s">
        <v>64</v>
      </c>
      <c r="C213" s="60">
        <v>4017537</v>
      </c>
      <c r="D213" s="56" t="s">
        <v>353</v>
      </c>
      <c r="E213" s="56" t="s">
        <v>355</v>
      </c>
      <c r="F213" s="45">
        <v>1049</v>
      </c>
      <c r="G213" s="45">
        <v>849</v>
      </c>
      <c r="H213" s="45">
        <v>969</v>
      </c>
      <c r="I213" s="45">
        <v>969</v>
      </c>
      <c r="J213" s="45">
        <v>899</v>
      </c>
      <c r="K213" s="45">
        <v>799</v>
      </c>
      <c r="L213" s="45">
        <v>799</v>
      </c>
      <c r="M213" s="45">
        <v>899</v>
      </c>
      <c r="N213" s="45">
        <v>799</v>
      </c>
      <c r="O213" s="45">
        <v>749</v>
      </c>
      <c r="P213" s="46">
        <v>749</v>
      </c>
      <c r="Q213" s="45">
        <v>699</v>
      </c>
      <c r="R213" s="45">
        <v>749</v>
      </c>
      <c r="S213" s="45">
        <v>749</v>
      </c>
      <c r="T213" s="45">
        <v>699</v>
      </c>
      <c r="U213" s="45">
        <v>699</v>
      </c>
      <c r="V213" s="45">
        <v>699</v>
      </c>
      <c r="W213" s="45">
        <v>699</v>
      </c>
      <c r="X213" s="45">
        <v>699</v>
      </c>
      <c r="Y213" s="45">
        <v>699</v>
      </c>
      <c r="Z213" s="45">
        <v>699</v>
      </c>
      <c r="AA213" s="45">
        <v>699</v>
      </c>
      <c r="AB213" s="45">
        <v>799</v>
      </c>
      <c r="AC213" s="45">
        <v>799</v>
      </c>
      <c r="AD213" s="45">
        <v>799</v>
      </c>
      <c r="AE213" s="45">
        <v>749</v>
      </c>
      <c r="AF213" s="45">
        <v>749</v>
      </c>
      <c r="AG213" s="45">
        <v>749</v>
      </c>
      <c r="AH213" s="45">
        <v>699</v>
      </c>
      <c r="AI213" s="45">
        <v>699</v>
      </c>
      <c r="AJ213" s="45">
        <v>699</v>
      </c>
      <c r="AK213" s="45">
        <v>699</v>
      </c>
      <c r="AL213" s="45">
        <v>699</v>
      </c>
      <c r="AM213" s="45"/>
      <c r="AN213" s="45"/>
      <c r="AO213" s="45"/>
      <c r="AP213" s="45"/>
      <c r="AQ213" s="45"/>
      <c r="AR213" s="45"/>
      <c r="AS213" s="45"/>
      <c r="AT213" s="45"/>
      <c r="AU213" s="45"/>
      <c r="AV213" s="47"/>
      <c r="AW213" s="48" t="s">
        <v>67</v>
      </c>
      <c r="AX213" s="49" t="s">
        <v>68</v>
      </c>
      <c r="AY213" s="50">
        <f t="shared" si="20"/>
        <v>19.573799999999999</v>
      </c>
      <c r="AZ213" s="50">
        <f t="shared" si="21"/>
        <v>17.6358</v>
      </c>
      <c r="BA213" s="51">
        <f t="shared" si="22"/>
        <v>9.9807000000000006</v>
      </c>
    </row>
    <row r="214" spans="1:53" ht="22.5" customHeight="1">
      <c r="A214" s="55" t="s">
        <v>222</v>
      </c>
      <c r="B214" s="42" t="s">
        <v>64</v>
      </c>
      <c r="C214" s="43">
        <v>4017541</v>
      </c>
      <c r="D214" s="56" t="s">
        <v>356</v>
      </c>
      <c r="E214" s="56" t="s">
        <v>357</v>
      </c>
      <c r="F214" s="45">
        <v>1099</v>
      </c>
      <c r="G214" s="45">
        <v>1069</v>
      </c>
      <c r="H214" s="45">
        <v>1069</v>
      </c>
      <c r="I214" s="45">
        <v>1069</v>
      </c>
      <c r="J214" s="45">
        <v>999</v>
      </c>
      <c r="K214" s="45">
        <v>949</v>
      </c>
      <c r="L214" s="45">
        <v>849</v>
      </c>
      <c r="M214" s="45">
        <v>999</v>
      </c>
      <c r="N214" s="45">
        <v>949</v>
      </c>
      <c r="O214" s="45">
        <v>799</v>
      </c>
      <c r="P214" s="46">
        <v>799</v>
      </c>
      <c r="Q214" s="45">
        <v>799</v>
      </c>
      <c r="R214" s="45">
        <v>799</v>
      </c>
      <c r="S214" s="45">
        <v>799</v>
      </c>
      <c r="T214" s="45">
        <v>799</v>
      </c>
      <c r="U214" s="45">
        <v>799</v>
      </c>
      <c r="V214" s="45">
        <v>799</v>
      </c>
      <c r="W214" s="45">
        <v>799</v>
      </c>
      <c r="X214" s="45">
        <v>799</v>
      </c>
      <c r="Y214" s="45">
        <v>799</v>
      </c>
      <c r="Z214" s="45">
        <v>799</v>
      </c>
      <c r="AA214" s="45">
        <v>799</v>
      </c>
      <c r="AB214" s="45"/>
      <c r="AC214" s="45"/>
      <c r="AD214" s="45"/>
      <c r="AE214" s="45"/>
      <c r="AF214" s="45"/>
      <c r="AG214" s="45"/>
      <c r="AH214" s="45"/>
      <c r="AI214" s="45"/>
      <c r="AJ214" s="45"/>
      <c r="AK214" s="45"/>
      <c r="AL214" s="45"/>
      <c r="AM214" s="45"/>
      <c r="AN214" s="45"/>
      <c r="AO214" s="45"/>
      <c r="AP214" s="45"/>
      <c r="AQ214" s="45"/>
      <c r="AR214" s="45"/>
      <c r="AS214" s="45"/>
      <c r="AT214" s="45"/>
      <c r="AU214" s="45"/>
      <c r="AV214" s="47"/>
      <c r="AW214" s="48" t="s">
        <v>67</v>
      </c>
      <c r="AX214" s="49" t="s">
        <v>230</v>
      </c>
      <c r="AY214" s="50">
        <f t="shared" si="20"/>
        <v>21.593799999999998</v>
      </c>
      <c r="AZ214" s="50">
        <f t="shared" si="21"/>
        <v>19.4558</v>
      </c>
      <c r="BA214" s="51">
        <f t="shared" si="22"/>
        <v>11.0107</v>
      </c>
    </row>
    <row r="215" spans="1:53" ht="22.5" customHeight="1">
      <c r="A215" s="55" t="s">
        <v>222</v>
      </c>
      <c r="B215" s="42" t="s">
        <v>64</v>
      </c>
      <c r="C215" s="43">
        <v>4017544</v>
      </c>
      <c r="D215" s="56" t="s">
        <v>356</v>
      </c>
      <c r="E215" s="56" t="s">
        <v>358</v>
      </c>
      <c r="F215" s="45">
        <v>1099</v>
      </c>
      <c r="G215" s="45">
        <v>1069</v>
      </c>
      <c r="H215" s="45">
        <v>1069</v>
      </c>
      <c r="I215" s="45">
        <v>1069</v>
      </c>
      <c r="J215" s="45">
        <v>999</v>
      </c>
      <c r="K215" s="45">
        <v>949</v>
      </c>
      <c r="L215" s="45">
        <v>849</v>
      </c>
      <c r="M215" s="45">
        <v>999</v>
      </c>
      <c r="N215" s="45">
        <v>949</v>
      </c>
      <c r="O215" s="45">
        <v>799</v>
      </c>
      <c r="P215" s="46">
        <v>799</v>
      </c>
      <c r="Q215" s="45">
        <v>799</v>
      </c>
      <c r="R215" s="45">
        <v>799</v>
      </c>
      <c r="S215" s="45">
        <v>799</v>
      </c>
      <c r="T215" s="45">
        <v>799</v>
      </c>
      <c r="U215" s="45">
        <v>799</v>
      </c>
      <c r="V215" s="45">
        <v>799</v>
      </c>
      <c r="W215" s="45">
        <v>799</v>
      </c>
      <c r="X215" s="45">
        <v>799</v>
      </c>
      <c r="Y215" s="45">
        <v>799</v>
      </c>
      <c r="Z215" s="45">
        <v>799</v>
      </c>
      <c r="AA215" s="45">
        <v>799</v>
      </c>
      <c r="AB215" s="45"/>
      <c r="AC215" s="45"/>
      <c r="AD215" s="45"/>
      <c r="AE215" s="45"/>
      <c r="AF215" s="45"/>
      <c r="AG215" s="45"/>
      <c r="AH215" s="45"/>
      <c r="AI215" s="45"/>
      <c r="AJ215" s="45"/>
      <c r="AK215" s="45"/>
      <c r="AL215" s="45"/>
      <c r="AM215" s="45"/>
      <c r="AN215" s="45"/>
      <c r="AO215" s="45"/>
      <c r="AP215" s="45"/>
      <c r="AQ215" s="45"/>
      <c r="AR215" s="45"/>
      <c r="AS215" s="45"/>
      <c r="AT215" s="45"/>
      <c r="AU215" s="45"/>
      <c r="AV215" s="47"/>
      <c r="AW215" s="48" t="s">
        <v>67</v>
      </c>
      <c r="AX215" s="49" t="s">
        <v>230</v>
      </c>
      <c r="AY215" s="50">
        <f t="shared" si="20"/>
        <v>21.593799999999998</v>
      </c>
      <c r="AZ215" s="50">
        <f t="shared" si="21"/>
        <v>19.4558</v>
      </c>
      <c r="BA215" s="51">
        <f t="shared" si="22"/>
        <v>11.0107</v>
      </c>
    </row>
    <row r="216" spans="1:53" ht="22.5" customHeight="1">
      <c r="A216" s="55" t="s">
        <v>222</v>
      </c>
      <c r="B216" s="42" t="s">
        <v>64</v>
      </c>
      <c r="C216" s="43">
        <v>4017566</v>
      </c>
      <c r="D216" s="56" t="s">
        <v>356</v>
      </c>
      <c r="E216" s="56" t="s">
        <v>359</v>
      </c>
      <c r="F216" s="45">
        <v>1099</v>
      </c>
      <c r="G216" s="45">
        <v>1069</v>
      </c>
      <c r="H216" s="45">
        <v>1069</v>
      </c>
      <c r="I216" s="45">
        <v>1069</v>
      </c>
      <c r="J216" s="45">
        <v>999</v>
      </c>
      <c r="K216" s="45">
        <v>949</v>
      </c>
      <c r="L216" s="45">
        <v>849</v>
      </c>
      <c r="M216" s="45">
        <v>999</v>
      </c>
      <c r="N216" s="45">
        <v>949</v>
      </c>
      <c r="O216" s="45">
        <v>799</v>
      </c>
      <c r="P216" s="46">
        <v>799</v>
      </c>
      <c r="Q216" s="45">
        <v>799</v>
      </c>
      <c r="R216" s="45">
        <v>799</v>
      </c>
      <c r="S216" s="45">
        <v>799</v>
      </c>
      <c r="T216" s="45">
        <v>799</v>
      </c>
      <c r="U216" s="45">
        <v>799</v>
      </c>
      <c r="V216" s="45">
        <v>799</v>
      </c>
      <c r="W216" s="45">
        <v>799</v>
      </c>
      <c r="X216" s="45">
        <v>799</v>
      </c>
      <c r="Y216" s="45">
        <v>799</v>
      </c>
      <c r="Z216" s="45">
        <v>799</v>
      </c>
      <c r="AA216" s="45">
        <v>799</v>
      </c>
      <c r="AB216" s="45"/>
      <c r="AC216" s="45"/>
      <c r="AD216" s="45"/>
      <c r="AE216" s="45"/>
      <c r="AF216" s="45"/>
      <c r="AG216" s="45"/>
      <c r="AH216" s="45"/>
      <c r="AI216" s="45"/>
      <c r="AJ216" s="45"/>
      <c r="AK216" s="45"/>
      <c r="AL216" s="45"/>
      <c r="AM216" s="45"/>
      <c r="AN216" s="45"/>
      <c r="AO216" s="45"/>
      <c r="AP216" s="45"/>
      <c r="AQ216" s="45"/>
      <c r="AR216" s="45"/>
      <c r="AS216" s="45"/>
      <c r="AT216" s="45"/>
      <c r="AU216" s="45"/>
      <c r="AV216" s="47"/>
      <c r="AW216" s="48" t="s">
        <v>67</v>
      </c>
      <c r="AX216" s="49" t="s">
        <v>230</v>
      </c>
      <c r="AY216" s="50">
        <f t="shared" si="20"/>
        <v>21.593799999999998</v>
      </c>
      <c r="AZ216" s="50">
        <f t="shared" si="21"/>
        <v>19.4558</v>
      </c>
      <c r="BA216" s="51">
        <f t="shared" si="22"/>
        <v>11.0107</v>
      </c>
    </row>
    <row r="217" spans="1:53" ht="22.5" customHeight="1">
      <c r="A217" s="55" t="s">
        <v>222</v>
      </c>
      <c r="B217" s="42" t="s">
        <v>64</v>
      </c>
      <c r="C217" s="43">
        <v>4018003</v>
      </c>
      <c r="D217" s="56" t="s">
        <v>360</v>
      </c>
      <c r="E217" s="56" t="s">
        <v>361</v>
      </c>
      <c r="F217" s="45">
        <v>1399</v>
      </c>
      <c r="G217" s="45">
        <v>1199</v>
      </c>
      <c r="H217" s="45">
        <v>1199</v>
      </c>
      <c r="I217" s="45">
        <v>1199</v>
      </c>
      <c r="J217" s="45">
        <v>1099</v>
      </c>
      <c r="K217" s="45">
        <v>999</v>
      </c>
      <c r="L217" s="45">
        <v>999</v>
      </c>
      <c r="M217" s="45">
        <v>1099</v>
      </c>
      <c r="N217" s="45">
        <v>999</v>
      </c>
      <c r="O217" s="45">
        <v>949</v>
      </c>
      <c r="P217" s="46">
        <v>949</v>
      </c>
      <c r="Q217" s="45">
        <v>899</v>
      </c>
      <c r="R217" s="45">
        <v>949</v>
      </c>
      <c r="S217" s="45">
        <v>949</v>
      </c>
      <c r="T217" s="45">
        <v>899</v>
      </c>
      <c r="U217" s="45">
        <v>899</v>
      </c>
      <c r="V217" s="45">
        <v>899</v>
      </c>
      <c r="W217" s="45">
        <v>899</v>
      </c>
      <c r="X217" s="45">
        <v>899</v>
      </c>
      <c r="Y217" s="45">
        <v>799</v>
      </c>
      <c r="Z217" s="45">
        <v>799</v>
      </c>
      <c r="AA217" s="45">
        <v>799</v>
      </c>
      <c r="AB217" s="45"/>
      <c r="AC217" s="45"/>
      <c r="AD217" s="45"/>
      <c r="AE217" s="45"/>
      <c r="AF217" s="45"/>
      <c r="AG217" s="45"/>
      <c r="AH217" s="45"/>
      <c r="AI217" s="45"/>
      <c r="AJ217" s="45"/>
      <c r="AK217" s="45"/>
      <c r="AL217" s="45"/>
      <c r="AM217" s="45"/>
      <c r="AN217" s="45"/>
      <c r="AO217" s="45"/>
      <c r="AP217" s="45"/>
      <c r="AQ217" s="45"/>
      <c r="AR217" s="45"/>
      <c r="AS217" s="45"/>
      <c r="AT217" s="45"/>
      <c r="AU217" s="45"/>
      <c r="AV217" s="47"/>
      <c r="AW217" s="48" t="s">
        <v>67</v>
      </c>
      <c r="AX217" s="49" t="s">
        <v>68</v>
      </c>
      <c r="AY217" s="50">
        <f t="shared" si="20"/>
        <v>24.219799999999999</v>
      </c>
      <c r="AZ217" s="50">
        <f t="shared" si="21"/>
        <v>21.8218</v>
      </c>
      <c r="BA217" s="51">
        <f t="shared" si="22"/>
        <v>12.3497</v>
      </c>
    </row>
    <row r="218" spans="1:53" ht="22.5" customHeight="1">
      <c r="A218" s="55" t="s">
        <v>222</v>
      </c>
      <c r="B218" s="42" t="s">
        <v>64</v>
      </c>
      <c r="C218" s="43">
        <v>4014848</v>
      </c>
      <c r="D218" s="56" t="s">
        <v>362</v>
      </c>
      <c r="E218" s="56" t="s">
        <v>363</v>
      </c>
      <c r="F218" s="45">
        <v>699</v>
      </c>
      <c r="G218" s="45">
        <v>599</v>
      </c>
      <c r="H218" s="45">
        <v>599</v>
      </c>
      <c r="I218" s="45">
        <v>599</v>
      </c>
      <c r="J218" s="45">
        <f t="shared" si="18"/>
        <v>499</v>
      </c>
      <c r="K218" s="45">
        <f t="shared" si="19"/>
        <v>499</v>
      </c>
      <c r="L218" s="45">
        <f t="shared" si="19"/>
        <v>499</v>
      </c>
      <c r="M218" s="45">
        <v>499</v>
      </c>
      <c r="N218" s="45">
        <v>499</v>
      </c>
      <c r="O218" s="45">
        <f t="shared" ref="O218:Q261" si="23">R218</f>
        <v>449</v>
      </c>
      <c r="P218" s="46">
        <f t="shared" si="23"/>
        <v>449</v>
      </c>
      <c r="Q218" s="46">
        <f t="shared" si="23"/>
        <v>399</v>
      </c>
      <c r="R218" s="45">
        <v>449</v>
      </c>
      <c r="S218" s="45">
        <v>449</v>
      </c>
      <c r="T218" s="45">
        <v>399</v>
      </c>
      <c r="U218" s="45">
        <v>399</v>
      </c>
      <c r="V218" s="45">
        <v>399</v>
      </c>
      <c r="W218" s="45">
        <v>399</v>
      </c>
      <c r="X218" s="45">
        <v>399</v>
      </c>
      <c r="Y218" s="45">
        <v>399</v>
      </c>
      <c r="Z218" s="45">
        <v>399</v>
      </c>
      <c r="AA218" s="45">
        <v>399</v>
      </c>
      <c r="AB218" s="45"/>
      <c r="AC218" s="45"/>
      <c r="AD218" s="45"/>
      <c r="AE218" s="45"/>
      <c r="AF218" s="45"/>
      <c r="AG218" s="45"/>
      <c r="AH218" s="45"/>
      <c r="AI218" s="45"/>
      <c r="AJ218" s="45"/>
      <c r="AK218" s="45"/>
      <c r="AL218" s="45"/>
      <c r="AM218" s="45"/>
      <c r="AN218" s="45"/>
      <c r="AO218" s="45"/>
      <c r="AP218" s="45"/>
      <c r="AQ218" s="45"/>
      <c r="AR218" s="45"/>
      <c r="AS218" s="45"/>
      <c r="AT218" s="45"/>
      <c r="AU218" s="45"/>
      <c r="AV218" s="47"/>
      <c r="AW218" s="48" t="s">
        <v>67</v>
      </c>
      <c r="AX218" s="49" t="s">
        <v>230</v>
      </c>
      <c r="AY218" s="50">
        <f t="shared" si="20"/>
        <v>12.0998</v>
      </c>
      <c r="AZ218" s="50">
        <f t="shared" si="21"/>
        <v>10.9018</v>
      </c>
      <c r="BA218" s="51">
        <f t="shared" si="22"/>
        <v>6.1696999999999997</v>
      </c>
    </row>
    <row r="219" spans="1:53" ht="22.5" customHeight="1">
      <c r="A219" s="55" t="s">
        <v>222</v>
      </c>
      <c r="B219" s="42" t="s">
        <v>64</v>
      </c>
      <c r="C219" s="43">
        <v>4014844</v>
      </c>
      <c r="D219" s="56" t="s">
        <v>362</v>
      </c>
      <c r="E219" s="56" t="s">
        <v>364</v>
      </c>
      <c r="F219" s="45">
        <v>699</v>
      </c>
      <c r="G219" s="45">
        <v>599</v>
      </c>
      <c r="H219" s="45">
        <v>599</v>
      </c>
      <c r="I219" s="45">
        <v>599</v>
      </c>
      <c r="J219" s="45">
        <f t="shared" si="18"/>
        <v>499</v>
      </c>
      <c r="K219" s="45">
        <f t="shared" si="19"/>
        <v>499</v>
      </c>
      <c r="L219" s="45">
        <f t="shared" si="19"/>
        <v>499</v>
      </c>
      <c r="M219" s="45">
        <v>499</v>
      </c>
      <c r="N219" s="45">
        <v>499</v>
      </c>
      <c r="O219" s="45">
        <f t="shared" si="23"/>
        <v>449</v>
      </c>
      <c r="P219" s="46">
        <f t="shared" si="23"/>
        <v>449</v>
      </c>
      <c r="Q219" s="46">
        <f t="shared" si="23"/>
        <v>399</v>
      </c>
      <c r="R219" s="45">
        <v>449</v>
      </c>
      <c r="S219" s="45">
        <v>449</v>
      </c>
      <c r="T219" s="45">
        <v>399</v>
      </c>
      <c r="U219" s="45">
        <v>399</v>
      </c>
      <c r="V219" s="45">
        <v>399</v>
      </c>
      <c r="W219" s="45">
        <v>399</v>
      </c>
      <c r="X219" s="45">
        <v>399</v>
      </c>
      <c r="Y219" s="45">
        <v>399</v>
      </c>
      <c r="Z219" s="45">
        <v>399</v>
      </c>
      <c r="AA219" s="45">
        <v>399</v>
      </c>
      <c r="AB219" s="45"/>
      <c r="AC219" s="45"/>
      <c r="AD219" s="45"/>
      <c r="AE219" s="45"/>
      <c r="AF219" s="45"/>
      <c r="AG219" s="45"/>
      <c r="AH219" s="45"/>
      <c r="AI219" s="45"/>
      <c r="AJ219" s="45"/>
      <c r="AK219" s="45"/>
      <c r="AL219" s="45"/>
      <c r="AM219" s="45"/>
      <c r="AN219" s="45"/>
      <c r="AO219" s="45"/>
      <c r="AP219" s="45"/>
      <c r="AQ219" s="45"/>
      <c r="AR219" s="45"/>
      <c r="AS219" s="45"/>
      <c r="AT219" s="45"/>
      <c r="AU219" s="45"/>
      <c r="AV219" s="47"/>
      <c r="AW219" s="48" t="s">
        <v>67</v>
      </c>
      <c r="AX219" s="49" t="s">
        <v>230</v>
      </c>
      <c r="AY219" s="50">
        <f t="shared" si="20"/>
        <v>12.0998</v>
      </c>
      <c r="AZ219" s="50">
        <f t="shared" si="21"/>
        <v>10.9018</v>
      </c>
      <c r="BA219" s="51">
        <f t="shared" si="22"/>
        <v>6.1696999999999997</v>
      </c>
    </row>
    <row r="220" spans="1:53" ht="22.5" customHeight="1">
      <c r="A220" s="55" t="s">
        <v>222</v>
      </c>
      <c r="B220" s="42" t="s">
        <v>64</v>
      </c>
      <c r="C220" s="43">
        <v>4015256</v>
      </c>
      <c r="D220" s="56" t="s">
        <v>365</v>
      </c>
      <c r="E220" s="56" t="s">
        <v>366</v>
      </c>
      <c r="F220" s="45">
        <v>1056</v>
      </c>
      <c r="G220" s="45">
        <v>856</v>
      </c>
      <c r="H220" s="45">
        <v>1056</v>
      </c>
      <c r="I220" s="45">
        <v>1056</v>
      </c>
      <c r="J220" s="45">
        <v>599</v>
      </c>
      <c r="K220" s="45">
        <v>599</v>
      </c>
      <c r="L220" s="45">
        <v>599</v>
      </c>
      <c r="M220" s="45">
        <v>599</v>
      </c>
      <c r="N220" s="45">
        <v>599</v>
      </c>
      <c r="O220" s="45">
        <v>599</v>
      </c>
      <c r="P220" s="45">
        <v>599</v>
      </c>
      <c r="Q220" s="45">
        <v>599</v>
      </c>
      <c r="R220" s="45">
        <v>599</v>
      </c>
      <c r="S220" s="45">
        <v>599</v>
      </c>
      <c r="T220" s="45">
        <v>599</v>
      </c>
      <c r="U220" s="45">
        <v>599</v>
      </c>
      <c r="V220" s="45">
        <v>599</v>
      </c>
      <c r="W220" s="45">
        <v>599</v>
      </c>
      <c r="X220" s="45">
        <v>599</v>
      </c>
      <c r="Y220" s="45">
        <v>599</v>
      </c>
      <c r="Z220" s="45">
        <v>599</v>
      </c>
      <c r="AA220" s="45">
        <v>599</v>
      </c>
      <c r="AB220" s="45"/>
      <c r="AC220" s="45"/>
      <c r="AD220" s="45"/>
      <c r="AE220" s="45"/>
      <c r="AF220" s="45"/>
      <c r="AG220" s="45"/>
      <c r="AH220" s="45"/>
      <c r="AI220" s="45"/>
      <c r="AJ220" s="45"/>
      <c r="AK220" s="45"/>
      <c r="AL220" s="45"/>
      <c r="AM220" s="45"/>
      <c r="AN220" s="45"/>
      <c r="AO220" s="45"/>
      <c r="AP220" s="45"/>
      <c r="AQ220" s="45"/>
      <c r="AR220" s="45"/>
      <c r="AS220" s="45"/>
      <c r="AT220" s="45"/>
      <c r="AU220" s="45"/>
      <c r="AV220" s="47"/>
      <c r="AW220" s="48" t="s">
        <v>67</v>
      </c>
      <c r="AX220" s="49" t="s">
        <v>68</v>
      </c>
      <c r="AY220" s="50">
        <f t="shared" si="20"/>
        <v>21.331199999999999</v>
      </c>
      <c r="AZ220" s="50">
        <f t="shared" si="21"/>
        <v>19.219200000000001</v>
      </c>
      <c r="BA220" s="51">
        <f t="shared" si="22"/>
        <v>10.876799999999999</v>
      </c>
    </row>
    <row r="221" spans="1:53" ht="22.5" customHeight="1">
      <c r="A221" s="55" t="s">
        <v>222</v>
      </c>
      <c r="B221" s="42" t="s">
        <v>64</v>
      </c>
      <c r="C221" s="43">
        <v>4015257</v>
      </c>
      <c r="D221" s="56" t="s">
        <v>365</v>
      </c>
      <c r="E221" s="56" t="s">
        <v>367</v>
      </c>
      <c r="F221" s="45">
        <v>1056</v>
      </c>
      <c r="G221" s="45">
        <v>856</v>
      </c>
      <c r="H221" s="45">
        <v>1056</v>
      </c>
      <c r="I221" s="45">
        <v>1056</v>
      </c>
      <c r="J221" s="45">
        <v>599</v>
      </c>
      <c r="K221" s="45">
        <v>599</v>
      </c>
      <c r="L221" s="45">
        <v>599</v>
      </c>
      <c r="M221" s="45">
        <v>599</v>
      </c>
      <c r="N221" s="45">
        <v>599</v>
      </c>
      <c r="O221" s="45">
        <v>599</v>
      </c>
      <c r="P221" s="45">
        <v>599</v>
      </c>
      <c r="Q221" s="45">
        <v>599</v>
      </c>
      <c r="R221" s="45">
        <v>599</v>
      </c>
      <c r="S221" s="45">
        <v>599</v>
      </c>
      <c r="T221" s="45">
        <v>599</v>
      </c>
      <c r="U221" s="45">
        <v>599</v>
      </c>
      <c r="V221" s="45">
        <v>599</v>
      </c>
      <c r="W221" s="45">
        <v>599</v>
      </c>
      <c r="X221" s="45">
        <v>599</v>
      </c>
      <c r="Y221" s="45">
        <v>599</v>
      </c>
      <c r="Z221" s="45">
        <v>599</v>
      </c>
      <c r="AA221" s="45">
        <v>599</v>
      </c>
      <c r="AB221" s="45"/>
      <c r="AC221" s="45"/>
      <c r="AD221" s="45"/>
      <c r="AE221" s="45"/>
      <c r="AF221" s="45"/>
      <c r="AG221" s="45"/>
      <c r="AH221" s="45"/>
      <c r="AI221" s="45"/>
      <c r="AJ221" s="45"/>
      <c r="AK221" s="45"/>
      <c r="AL221" s="45"/>
      <c r="AM221" s="45"/>
      <c r="AN221" s="45"/>
      <c r="AO221" s="45"/>
      <c r="AP221" s="45"/>
      <c r="AQ221" s="45"/>
      <c r="AR221" s="45"/>
      <c r="AS221" s="45"/>
      <c r="AT221" s="45"/>
      <c r="AU221" s="45"/>
      <c r="AV221" s="47"/>
      <c r="AW221" s="48" t="s">
        <v>67</v>
      </c>
      <c r="AX221" s="49" t="s">
        <v>68</v>
      </c>
      <c r="AY221" s="50">
        <f t="shared" si="20"/>
        <v>21.331199999999999</v>
      </c>
      <c r="AZ221" s="50">
        <f t="shared" si="21"/>
        <v>19.219200000000001</v>
      </c>
      <c r="BA221" s="51">
        <f t="shared" si="22"/>
        <v>10.876799999999999</v>
      </c>
    </row>
    <row r="222" spans="1:53" ht="22.5" customHeight="1">
      <c r="A222" s="55" t="s">
        <v>222</v>
      </c>
      <c r="B222" s="42" t="s">
        <v>64</v>
      </c>
      <c r="C222" s="43">
        <v>4015259</v>
      </c>
      <c r="D222" s="56" t="s">
        <v>365</v>
      </c>
      <c r="E222" s="56" t="s">
        <v>368</v>
      </c>
      <c r="F222" s="45">
        <v>1056</v>
      </c>
      <c r="G222" s="45">
        <v>856</v>
      </c>
      <c r="H222" s="45">
        <v>1056</v>
      </c>
      <c r="I222" s="45">
        <v>1056</v>
      </c>
      <c r="J222" s="45">
        <v>599</v>
      </c>
      <c r="K222" s="45">
        <v>599</v>
      </c>
      <c r="L222" s="45">
        <v>599</v>
      </c>
      <c r="M222" s="45">
        <v>599</v>
      </c>
      <c r="N222" s="45">
        <v>599</v>
      </c>
      <c r="O222" s="45">
        <v>599</v>
      </c>
      <c r="P222" s="45">
        <v>599</v>
      </c>
      <c r="Q222" s="45">
        <v>599</v>
      </c>
      <c r="R222" s="45">
        <v>599</v>
      </c>
      <c r="S222" s="45">
        <v>599</v>
      </c>
      <c r="T222" s="45">
        <v>599</v>
      </c>
      <c r="U222" s="45">
        <v>599</v>
      </c>
      <c r="V222" s="45">
        <v>599</v>
      </c>
      <c r="W222" s="45">
        <v>599</v>
      </c>
      <c r="X222" s="45">
        <v>599</v>
      </c>
      <c r="Y222" s="45">
        <v>599</v>
      </c>
      <c r="Z222" s="45">
        <v>599</v>
      </c>
      <c r="AA222" s="45">
        <v>599</v>
      </c>
      <c r="AB222" s="45"/>
      <c r="AC222" s="45"/>
      <c r="AD222" s="45"/>
      <c r="AE222" s="45"/>
      <c r="AF222" s="45"/>
      <c r="AG222" s="45"/>
      <c r="AH222" s="45"/>
      <c r="AI222" s="45"/>
      <c r="AJ222" s="45"/>
      <c r="AK222" s="45"/>
      <c r="AL222" s="45"/>
      <c r="AM222" s="45"/>
      <c r="AN222" s="45"/>
      <c r="AO222" s="45"/>
      <c r="AP222" s="45"/>
      <c r="AQ222" s="45"/>
      <c r="AR222" s="45"/>
      <c r="AS222" s="45"/>
      <c r="AT222" s="45"/>
      <c r="AU222" s="45"/>
      <c r="AV222" s="47"/>
      <c r="AW222" s="48" t="s">
        <v>67</v>
      </c>
      <c r="AX222" s="49" t="s">
        <v>68</v>
      </c>
      <c r="AY222" s="50">
        <f t="shared" si="20"/>
        <v>21.331199999999999</v>
      </c>
      <c r="AZ222" s="50">
        <f t="shared" si="21"/>
        <v>19.219200000000001</v>
      </c>
      <c r="BA222" s="51">
        <f t="shared" si="22"/>
        <v>10.876799999999999</v>
      </c>
    </row>
    <row r="223" spans="1:53" ht="22" customHeight="1">
      <c r="A223" s="55" t="s">
        <v>222</v>
      </c>
      <c r="B223" s="42" t="s">
        <v>64</v>
      </c>
      <c r="C223" s="43">
        <v>4015563</v>
      </c>
      <c r="D223" s="56" t="s">
        <v>369</v>
      </c>
      <c r="E223" s="56" t="s">
        <v>370</v>
      </c>
      <c r="F223" s="45">
        <v>999</v>
      </c>
      <c r="G223" s="45">
        <v>699</v>
      </c>
      <c r="H223" s="45">
        <v>699</v>
      </c>
      <c r="I223" s="45">
        <v>699</v>
      </c>
      <c r="J223" s="45">
        <f t="shared" si="18"/>
        <v>599</v>
      </c>
      <c r="K223" s="45">
        <f t="shared" si="19"/>
        <v>599</v>
      </c>
      <c r="L223" s="45">
        <f t="shared" si="19"/>
        <v>599</v>
      </c>
      <c r="M223" s="45">
        <v>599</v>
      </c>
      <c r="N223" s="45">
        <v>599</v>
      </c>
      <c r="O223" s="45">
        <f t="shared" si="23"/>
        <v>549</v>
      </c>
      <c r="P223" s="46">
        <f t="shared" si="23"/>
        <v>549</v>
      </c>
      <c r="Q223" s="46">
        <f t="shared" si="23"/>
        <v>499</v>
      </c>
      <c r="R223" s="45">
        <v>549</v>
      </c>
      <c r="S223" s="45">
        <v>549</v>
      </c>
      <c r="T223" s="45">
        <v>499</v>
      </c>
      <c r="U223" s="45">
        <v>499</v>
      </c>
      <c r="V223" s="45">
        <v>499</v>
      </c>
      <c r="W223" s="45">
        <v>499</v>
      </c>
      <c r="X223" s="45">
        <v>499</v>
      </c>
      <c r="Y223" s="45">
        <v>499</v>
      </c>
      <c r="Z223" s="45">
        <v>499</v>
      </c>
      <c r="AA223" s="45">
        <v>499</v>
      </c>
      <c r="AB223" s="45"/>
      <c r="AC223" s="45"/>
      <c r="AD223" s="45"/>
      <c r="AE223" s="45"/>
      <c r="AF223" s="45"/>
      <c r="AG223" s="45"/>
      <c r="AH223" s="45"/>
      <c r="AI223" s="45"/>
      <c r="AJ223" s="45"/>
      <c r="AK223" s="45"/>
      <c r="AL223" s="45"/>
      <c r="AM223" s="45"/>
      <c r="AN223" s="45"/>
      <c r="AO223" s="45"/>
      <c r="AP223" s="45"/>
      <c r="AQ223" s="45"/>
      <c r="AR223" s="45"/>
      <c r="AS223" s="45"/>
      <c r="AT223" s="45"/>
      <c r="AU223" s="45"/>
      <c r="AV223" s="47"/>
      <c r="AW223" s="48" t="s">
        <v>67</v>
      </c>
      <c r="AX223" s="49" t="s">
        <v>68</v>
      </c>
      <c r="AY223" s="50">
        <f t="shared" si="20"/>
        <v>14.1198</v>
      </c>
      <c r="AZ223" s="50">
        <f t="shared" si="21"/>
        <v>12.7218</v>
      </c>
      <c r="BA223" s="51">
        <f t="shared" si="22"/>
        <v>7.1997</v>
      </c>
    </row>
    <row r="224" spans="1:53" ht="22.5" customHeight="1">
      <c r="A224" s="55" t="s">
        <v>222</v>
      </c>
      <c r="B224" s="42" t="s">
        <v>64</v>
      </c>
      <c r="C224" s="43">
        <v>4015565</v>
      </c>
      <c r="D224" s="56" t="s">
        <v>369</v>
      </c>
      <c r="E224" s="56" t="s">
        <v>371</v>
      </c>
      <c r="F224" s="45">
        <v>999</v>
      </c>
      <c r="G224" s="45">
        <v>699</v>
      </c>
      <c r="H224" s="45">
        <v>699</v>
      </c>
      <c r="I224" s="45">
        <v>699</v>
      </c>
      <c r="J224" s="45">
        <f t="shared" si="18"/>
        <v>599</v>
      </c>
      <c r="K224" s="45">
        <f t="shared" si="19"/>
        <v>599</v>
      </c>
      <c r="L224" s="45">
        <f t="shared" si="19"/>
        <v>599</v>
      </c>
      <c r="M224" s="45">
        <v>599</v>
      </c>
      <c r="N224" s="45">
        <v>599</v>
      </c>
      <c r="O224" s="45">
        <f t="shared" si="23"/>
        <v>549</v>
      </c>
      <c r="P224" s="46">
        <f t="shared" si="23"/>
        <v>549</v>
      </c>
      <c r="Q224" s="46">
        <f t="shared" si="23"/>
        <v>499</v>
      </c>
      <c r="R224" s="45">
        <v>549</v>
      </c>
      <c r="S224" s="45">
        <v>549</v>
      </c>
      <c r="T224" s="45">
        <v>499</v>
      </c>
      <c r="U224" s="45">
        <v>499</v>
      </c>
      <c r="V224" s="45">
        <v>499</v>
      </c>
      <c r="W224" s="45">
        <v>499</v>
      </c>
      <c r="X224" s="45">
        <v>499</v>
      </c>
      <c r="Y224" s="45">
        <v>499</v>
      </c>
      <c r="Z224" s="45">
        <v>499</v>
      </c>
      <c r="AA224" s="45">
        <v>499</v>
      </c>
      <c r="AB224" s="45"/>
      <c r="AC224" s="45"/>
      <c r="AD224" s="45"/>
      <c r="AE224" s="45"/>
      <c r="AF224" s="45"/>
      <c r="AG224" s="45"/>
      <c r="AH224" s="45"/>
      <c r="AI224" s="45"/>
      <c r="AJ224" s="45"/>
      <c r="AK224" s="45"/>
      <c r="AL224" s="45"/>
      <c r="AM224" s="45"/>
      <c r="AN224" s="45"/>
      <c r="AO224" s="45"/>
      <c r="AP224" s="45"/>
      <c r="AQ224" s="45"/>
      <c r="AR224" s="45"/>
      <c r="AS224" s="45"/>
      <c r="AT224" s="45"/>
      <c r="AU224" s="45"/>
      <c r="AV224" s="47"/>
      <c r="AW224" s="48" t="s">
        <v>67</v>
      </c>
      <c r="AX224" s="49" t="s">
        <v>68</v>
      </c>
      <c r="AY224" s="50">
        <f t="shared" si="20"/>
        <v>14.1198</v>
      </c>
      <c r="AZ224" s="50">
        <f t="shared" si="21"/>
        <v>12.7218</v>
      </c>
      <c r="BA224" s="51">
        <f t="shared" si="22"/>
        <v>7.1997</v>
      </c>
    </row>
    <row r="225" spans="1:53" ht="22.5" customHeight="1">
      <c r="A225" s="55" t="s">
        <v>222</v>
      </c>
      <c r="B225" s="42" t="s">
        <v>64</v>
      </c>
      <c r="C225" s="43">
        <v>4015567</v>
      </c>
      <c r="D225" s="56" t="s">
        <v>369</v>
      </c>
      <c r="E225" s="56" t="s">
        <v>372</v>
      </c>
      <c r="F225" s="45">
        <v>999</v>
      </c>
      <c r="G225" s="45">
        <v>699</v>
      </c>
      <c r="H225" s="45">
        <v>699</v>
      </c>
      <c r="I225" s="45">
        <v>699</v>
      </c>
      <c r="J225" s="45">
        <f t="shared" si="18"/>
        <v>599</v>
      </c>
      <c r="K225" s="45">
        <f t="shared" si="19"/>
        <v>599</v>
      </c>
      <c r="L225" s="45">
        <f t="shared" si="19"/>
        <v>599</v>
      </c>
      <c r="M225" s="45">
        <v>599</v>
      </c>
      <c r="N225" s="45">
        <v>599</v>
      </c>
      <c r="O225" s="45">
        <f t="shared" si="23"/>
        <v>549</v>
      </c>
      <c r="P225" s="46">
        <f t="shared" si="23"/>
        <v>549</v>
      </c>
      <c r="Q225" s="46">
        <f t="shared" si="23"/>
        <v>499</v>
      </c>
      <c r="R225" s="45">
        <v>549</v>
      </c>
      <c r="S225" s="45">
        <v>549</v>
      </c>
      <c r="T225" s="45">
        <v>499</v>
      </c>
      <c r="U225" s="45">
        <v>499</v>
      </c>
      <c r="V225" s="45">
        <v>499</v>
      </c>
      <c r="W225" s="45">
        <v>499</v>
      </c>
      <c r="X225" s="45">
        <v>499</v>
      </c>
      <c r="Y225" s="45">
        <v>499</v>
      </c>
      <c r="Z225" s="45">
        <v>499</v>
      </c>
      <c r="AA225" s="45">
        <v>499</v>
      </c>
      <c r="AB225" s="45"/>
      <c r="AC225" s="45"/>
      <c r="AD225" s="45"/>
      <c r="AE225" s="45"/>
      <c r="AF225" s="45"/>
      <c r="AG225" s="45"/>
      <c r="AH225" s="45"/>
      <c r="AI225" s="45"/>
      <c r="AJ225" s="45"/>
      <c r="AK225" s="45"/>
      <c r="AL225" s="45"/>
      <c r="AM225" s="45"/>
      <c r="AN225" s="45"/>
      <c r="AO225" s="45"/>
      <c r="AP225" s="45"/>
      <c r="AQ225" s="45"/>
      <c r="AR225" s="45"/>
      <c r="AS225" s="45"/>
      <c r="AT225" s="45"/>
      <c r="AU225" s="45"/>
      <c r="AV225" s="47"/>
      <c r="AW225" s="48" t="s">
        <v>67</v>
      </c>
      <c r="AX225" s="49" t="s">
        <v>68</v>
      </c>
      <c r="AY225" s="50">
        <f t="shared" si="20"/>
        <v>14.1198</v>
      </c>
      <c r="AZ225" s="50">
        <f t="shared" si="21"/>
        <v>12.7218</v>
      </c>
      <c r="BA225" s="51">
        <f t="shared" si="22"/>
        <v>7.1997</v>
      </c>
    </row>
    <row r="226" spans="1:53" ht="22.5" customHeight="1">
      <c r="A226" s="55" t="s">
        <v>222</v>
      </c>
      <c r="B226" s="42" t="s">
        <v>64</v>
      </c>
      <c r="C226" s="43">
        <v>4015569</v>
      </c>
      <c r="D226" s="56" t="s">
        <v>369</v>
      </c>
      <c r="E226" s="56" t="s">
        <v>373</v>
      </c>
      <c r="F226" s="45">
        <v>999</v>
      </c>
      <c r="G226" s="45">
        <v>699</v>
      </c>
      <c r="H226" s="45">
        <v>699</v>
      </c>
      <c r="I226" s="45">
        <v>699</v>
      </c>
      <c r="J226" s="45">
        <f t="shared" si="18"/>
        <v>599</v>
      </c>
      <c r="K226" s="45">
        <f t="shared" si="19"/>
        <v>599</v>
      </c>
      <c r="L226" s="45">
        <f t="shared" si="19"/>
        <v>599</v>
      </c>
      <c r="M226" s="45">
        <v>599</v>
      </c>
      <c r="N226" s="45">
        <v>599</v>
      </c>
      <c r="O226" s="45">
        <f t="shared" si="23"/>
        <v>549</v>
      </c>
      <c r="P226" s="46">
        <f t="shared" si="23"/>
        <v>549</v>
      </c>
      <c r="Q226" s="46">
        <f t="shared" si="23"/>
        <v>499</v>
      </c>
      <c r="R226" s="45">
        <v>549</v>
      </c>
      <c r="S226" s="45">
        <v>549</v>
      </c>
      <c r="T226" s="45">
        <v>499</v>
      </c>
      <c r="U226" s="45">
        <v>499</v>
      </c>
      <c r="V226" s="45">
        <v>499</v>
      </c>
      <c r="W226" s="45">
        <v>499</v>
      </c>
      <c r="X226" s="45">
        <v>499</v>
      </c>
      <c r="Y226" s="45">
        <v>499</v>
      </c>
      <c r="Z226" s="45">
        <v>499</v>
      </c>
      <c r="AA226" s="45">
        <v>499</v>
      </c>
      <c r="AB226" s="45"/>
      <c r="AC226" s="45"/>
      <c r="AD226" s="45"/>
      <c r="AE226" s="45"/>
      <c r="AF226" s="45"/>
      <c r="AG226" s="45"/>
      <c r="AH226" s="45"/>
      <c r="AI226" s="45"/>
      <c r="AJ226" s="45"/>
      <c r="AK226" s="45"/>
      <c r="AL226" s="45"/>
      <c r="AM226" s="45"/>
      <c r="AN226" s="45"/>
      <c r="AO226" s="45"/>
      <c r="AP226" s="45"/>
      <c r="AQ226" s="45"/>
      <c r="AR226" s="45"/>
      <c r="AS226" s="45"/>
      <c r="AT226" s="45"/>
      <c r="AU226" s="45"/>
      <c r="AV226" s="47"/>
      <c r="AW226" s="48" t="s">
        <v>67</v>
      </c>
      <c r="AX226" s="49" t="s">
        <v>68</v>
      </c>
      <c r="AY226" s="50">
        <f t="shared" si="20"/>
        <v>14.1198</v>
      </c>
      <c r="AZ226" s="50">
        <f t="shared" si="21"/>
        <v>12.7218</v>
      </c>
      <c r="BA226" s="51">
        <f t="shared" si="22"/>
        <v>7.1997</v>
      </c>
    </row>
    <row r="227" spans="1:53" ht="22.5" customHeight="1">
      <c r="A227" s="55" t="s">
        <v>222</v>
      </c>
      <c r="B227" s="42" t="s">
        <v>64</v>
      </c>
      <c r="C227" s="43">
        <v>4016078</v>
      </c>
      <c r="D227" s="56" t="s">
        <v>374</v>
      </c>
      <c r="E227" s="56" t="s">
        <v>375</v>
      </c>
      <c r="F227" s="45">
        <v>927</v>
      </c>
      <c r="G227" s="45">
        <v>727</v>
      </c>
      <c r="H227" s="45">
        <v>927</v>
      </c>
      <c r="I227" s="45">
        <v>927</v>
      </c>
      <c r="J227" s="45">
        <v>509</v>
      </c>
      <c r="K227" s="45">
        <v>509</v>
      </c>
      <c r="L227" s="45">
        <v>509</v>
      </c>
      <c r="M227" s="45">
        <v>509</v>
      </c>
      <c r="N227" s="45">
        <v>509</v>
      </c>
      <c r="O227" s="45">
        <v>509</v>
      </c>
      <c r="P227" s="45">
        <v>509</v>
      </c>
      <c r="Q227" s="45">
        <v>509</v>
      </c>
      <c r="R227" s="45">
        <v>509</v>
      </c>
      <c r="S227" s="45">
        <v>509</v>
      </c>
      <c r="T227" s="45">
        <v>509</v>
      </c>
      <c r="U227" s="45">
        <v>509</v>
      </c>
      <c r="V227" s="45">
        <v>509</v>
      </c>
      <c r="W227" s="45">
        <v>509</v>
      </c>
      <c r="X227" s="45">
        <v>509</v>
      </c>
      <c r="Y227" s="45">
        <v>509</v>
      </c>
      <c r="Z227" s="45">
        <v>509</v>
      </c>
      <c r="AA227" s="45">
        <v>509</v>
      </c>
      <c r="AB227" s="45"/>
      <c r="AC227" s="45"/>
      <c r="AD227" s="45"/>
      <c r="AE227" s="45"/>
      <c r="AF227" s="45"/>
      <c r="AG227" s="45"/>
      <c r="AH227" s="45"/>
      <c r="AI227" s="45"/>
      <c r="AJ227" s="45"/>
      <c r="AK227" s="45"/>
      <c r="AL227" s="45"/>
      <c r="AM227" s="45"/>
      <c r="AN227" s="45"/>
      <c r="AO227" s="45"/>
      <c r="AP227" s="45"/>
      <c r="AQ227" s="45"/>
      <c r="AR227" s="45"/>
      <c r="AS227" s="45"/>
      <c r="AT227" s="45"/>
      <c r="AU227" s="45"/>
      <c r="AV227" s="47"/>
      <c r="AW227" s="48" t="s">
        <v>67</v>
      </c>
      <c r="AX227" s="49" t="s">
        <v>68</v>
      </c>
      <c r="AY227" s="50">
        <f t="shared" si="20"/>
        <v>18.7254</v>
      </c>
      <c r="AZ227" s="50">
        <f t="shared" si="21"/>
        <v>16.871400000000001</v>
      </c>
      <c r="BA227" s="51">
        <f t="shared" si="22"/>
        <v>9.5480999999999998</v>
      </c>
    </row>
    <row r="228" spans="1:53" ht="22.5" customHeight="1">
      <c r="A228" s="55" t="s">
        <v>222</v>
      </c>
      <c r="B228" s="42" t="s">
        <v>64</v>
      </c>
      <c r="C228" s="43">
        <v>4016081</v>
      </c>
      <c r="D228" s="56" t="s">
        <v>374</v>
      </c>
      <c r="E228" s="56" t="s">
        <v>376</v>
      </c>
      <c r="F228" s="45">
        <v>927</v>
      </c>
      <c r="G228" s="45">
        <v>727</v>
      </c>
      <c r="H228" s="45">
        <v>927</v>
      </c>
      <c r="I228" s="45">
        <v>927</v>
      </c>
      <c r="J228" s="45">
        <v>509</v>
      </c>
      <c r="K228" s="45">
        <v>509</v>
      </c>
      <c r="L228" s="45">
        <v>509</v>
      </c>
      <c r="M228" s="45">
        <v>509</v>
      </c>
      <c r="N228" s="45">
        <v>509</v>
      </c>
      <c r="O228" s="45">
        <v>509</v>
      </c>
      <c r="P228" s="45">
        <v>509</v>
      </c>
      <c r="Q228" s="45">
        <v>509</v>
      </c>
      <c r="R228" s="45">
        <v>509</v>
      </c>
      <c r="S228" s="45">
        <v>509</v>
      </c>
      <c r="T228" s="45">
        <v>509</v>
      </c>
      <c r="U228" s="45">
        <v>509</v>
      </c>
      <c r="V228" s="45">
        <v>509</v>
      </c>
      <c r="W228" s="45">
        <v>509</v>
      </c>
      <c r="X228" s="45">
        <v>509</v>
      </c>
      <c r="Y228" s="45">
        <v>509</v>
      </c>
      <c r="Z228" s="45">
        <v>509</v>
      </c>
      <c r="AA228" s="45">
        <v>509</v>
      </c>
      <c r="AB228" s="45"/>
      <c r="AC228" s="45"/>
      <c r="AD228" s="45"/>
      <c r="AE228" s="45"/>
      <c r="AF228" s="45"/>
      <c r="AG228" s="45"/>
      <c r="AH228" s="45"/>
      <c r="AI228" s="45"/>
      <c r="AJ228" s="45"/>
      <c r="AK228" s="45"/>
      <c r="AL228" s="45"/>
      <c r="AM228" s="45"/>
      <c r="AN228" s="45"/>
      <c r="AO228" s="45"/>
      <c r="AP228" s="45"/>
      <c r="AQ228" s="45"/>
      <c r="AR228" s="45"/>
      <c r="AS228" s="45"/>
      <c r="AT228" s="45"/>
      <c r="AU228" s="45"/>
      <c r="AV228" s="47"/>
      <c r="AW228" s="48" t="s">
        <v>67</v>
      </c>
      <c r="AX228" s="49" t="s">
        <v>68</v>
      </c>
      <c r="AY228" s="50">
        <f t="shared" si="20"/>
        <v>18.7254</v>
      </c>
      <c r="AZ228" s="50">
        <f t="shared" si="21"/>
        <v>16.871400000000001</v>
      </c>
      <c r="BA228" s="51">
        <f t="shared" si="22"/>
        <v>9.5480999999999998</v>
      </c>
    </row>
    <row r="229" spans="1:53" ht="22.5" customHeight="1">
      <c r="A229" s="55" t="s">
        <v>222</v>
      </c>
      <c r="B229" s="42" t="s">
        <v>64</v>
      </c>
      <c r="C229" s="43">
        <v>4016080</v>
      </c>
      <c r="D229" s="56" t="s">
        <v>374</v>
      </c>
      <c r="E229" s="56" t="s">
        <v>377</v>
      </c>
      <c r="F229" s="45">
        <v>927</v>
      </c>
      <c r="G229" s="45">
        <v>727</v>
      </c>
      <c r="H229" s="45">
        <v>927</v>
      </c>
      <c r="I229" s="45">
        <v>927</v>
      </c>
      <c r="J229" s="45">
        <v>509</v>
      </c>
      <c r="K229" s="45">
        <v>509</v>
      </c>
      <c r="L229" s="45">
        <v>509</v>
      </c>
      <c r="M229" s="45">
        <v>509</v>
      </c>
      <c r="N229" s="45">
        <v>509</v>
      </c>
      <c r="O229" s="45">
        <v>509</v>
      </c>
      <c r="P229" s="45">
        <v>509</v>
      </c>
      <c r="Q229" s="45">
        <v>509</v>
      </c>
      <c r="R229" s="45">
        <v>509</v>
      </c>
      <c r="S229" s="45">
        <v>509</v>
      </c>
      <c r="T229" s="45">
        <v>509</v>
      </c>
      <c r="U229" s="45">
        <v>509</v>
      </c>
      <c r="V229" s="45">
        <v>509</v>
      </c>
      <c r="W229" s="45">
        <v>509</v>
      </c>
      <c r="X229" s="45">
        <v>509</v>
      </c>
      <c r="Y229" s="45">
        <v>509</v>
      </c>
      <c r="Z229" s="45">
        <v>509</v>
      </c>
      <c r="AA229" s="45">
        <v>509</v>
      </c>
      <c r="AB229" s="45"/>
      <c r="AC229" s="45"/>
      <c r="AD229" s="45"/>
      <c r="AE229" s="45"/>
      <c r="AF229" s="45"/>
      <c r="AG229" s="45"/>
      <c r="AH229" s="45"/>
      <c r="AI229" s="45"/>
      <c r="AJ229" s="45"/>
      <c r="AK229" s="45"/>
      <c r="AL229" s="45"/>
      <c r="AM229" s="45"/>
      <c r="AN229" s="45"/>
      <c r="AO229" s="45"/>
      <c r="AP229" s="45"/>
      <c r="AQ229" s="45"/>
      <c r="AR229" s="45"/>
      <c r="AS229" s="45"/>
      <c r="AT229" s="45"/>
      <c r="AU229" s="45"/>
      <c r="AV229" s="47"/>
      <c r="AW229" s="48" t="s">
        <v>67</v>
      </c>
      <c r="AX229" s="49" t="s">
        <v>68</v>
      </c>
      <c r="AY229" s="50">
        <f t="shared" si="20"/>
        <v>18.7254</v>
      </c>
      <c r="AZ229" s="50">
        <f t="shared" si="21"/>
        <v>16.871400000000001</v>
      </c>
      <c r="BA229" s="51">
        <f t="shared" si="22"/>
        <v>9.5480999999999998</v>
      </c>
    </row>
    <row r="230" spans="1:53" ht="22.5" customHeight="1">
      <c r="A230" s="55" t="s">
        <v>222</v>
      </c>
      <c r="B230" s="42" t="s">
        <v>64</v>
      </c>
      <c r="C230" s="43">
        <v>4016086</v>
      </c>
      <c r="D230" s="56" t="s">
        <v>378</v>
      </c>
      <c r="E230" s="56" t="s">
        <v>379</v>
      </c>
      <c r="F230" s="45">
        <v>1041</v>
      </c>
      <c r="G230" s="45">
        <v>841</v>
      </c>
      <c r="H230" s="45">
        <v>1041</v>
      </c>
      <c r="I230" s="45">
        <v>1041</v>
      </c>
      <c r="J230" s="45">
        <v>589</v>
      </c>
      <c r="K230" s="45">
        <v>589</v>
      </c>
      <c r="L230" s="45">
        <v>589</v>
      </c>
      <c r="M230" s="45">
        <v>589</v>
      </c>
      <c r="N230" s="45">
        <v>589</v>
      </c>
      <c r="O230" s="45">
        <v>589</v>
      </c>
      <c r="P230" s="45">
        <v>589</v>
      </c>
      <c r="Q230" s="45">
        <v>589</v>
      </c>
      <c r="R230" s="45">
        <v>589</v>
      </c>
      <c r="S230" s="45">
        <v>589</v>
      </c>
      <c r="T230" s="45">
        <v>589</v>
      </c>
      <c r="U230" s="45">
        <v>589</v>
      </c>
      <c r="V230" s="45">
        <v>589</v>
      </c>
      <c r="W230" s="45">
        <v>589</v>
      </c>
      <c r="X230" s="45">
        <v>589</v>
      </c>
      <c r="Y230" s="45">
        <v>589</v>
      </c>
      <c r="Z230" s="45">
        <v>589</v>
      </c>
      <c r="AA230" s="45">
        <v>589</v>
      </c>
      <c r="AB230" s="45"/>
      <c r="AC230" s="45"/>
      <c r="AD230" s="45"/>
      <c r="AE230" s="45"/>
      <c r="AF230" s="45"/>
      <c r="AG230" s="45"/>
      <c r="AH230" s="45"/>
      <c r="AI230" s="45"/>
      <c r="AJ230" s="45"/>
      <c r="AK230" s="45"/>
      <c r="AL230" s="45"/>
      <c r="AM230" s="45"/>
      <c r="AN230" s="45"/>
      <c r="AO230" s="45"/>
      <c r="AP230" s="45"/>
      <c r="AQ230" s="45"/>
      <c r="AR230" s="45"/>
      <c r="AS230" s="45"/>
      <c r="AT230" s="45"/>
      <c r="AU230" s="45"/>
      <c r="AV230" s="47"/>
      <c r="AW230" s="48" t="s">
        <v>67</v>
      </c>
      <c r="AX230" s="49" t="s">
        <v>68</v>
      </c>
      <c r="AY230" s="50">
        <f t="shared" si="20"/>
        <v>21.028199999999998</v>
      </c>
      <c r="AZ230" s="50">
        <f t="shared" si="21"/>
        <v>18.946200000000001</v>
      </c>
      <c r="BA230" s="51">
        <f t="shared" si="22"/>
        <v>10.722300000000001</v>
      </c>
    </row>
    <row r="231" spans="1:53" ht="22.5" customHeight="1">
      <c r="A231" s="55" t="s">
        <v>222</v>
      </c>
      <c r="B231" s="42" t="s">
        <v>64</v>
      </c>
      <c r="C231" s="43">
        <v>4016089</v>
      </c>
      <c r="D231" s="56" t="s">
        <v>378</v>
      </c>
      <c r="E231" s="56" t="s">
        <v>380</v>
      </c>
      <c r="F231" s="45">
        <v>1041</v>
      </c>
      <c r="G231" s="45">
        <v>841</v>
      </c>
      <c r="H231" s="45">
        <v>1041</v>
      </c>
      <c r="I231" s="45">
        <v>1041</v>
      </c>
      <c r="J231" s="45">
        <v>589</v>
      </c>
      <c r="K231" s="45">
        <v>589</v>
      </c>
      <c r="L231" s="45">
        <v>589</v>
      </c>
      <c r="M231" s="45">
        <v>589</v>
      </c>
      <c r="N231" s="45">
        <v>589</v>
      </c>
      <c r="O231" s="45">
        <v>589</v>
      </c>
      <c r="P231" s="45">
        <v>589</v>
      </c>
      <c r="Q231" s="45">
        <v>589</v>
      </c>
      <c r="R231" s="45">
        <v>589</v>
      </c>
      <c r="S231" s="45">
        <v>589</v>
      </c>
      <c r="T231" s="45">
        <v>589</v>
      </c>
      <c r="U231" s="45">
        <v>589</v>
      </c>
      <c r="V231" s="45">
        <v>589</v>
      </c>
      <c r="W231" s="45">
        <v>589</v>
      </c>
      <c r="X231" s="45">
        <v>589</v>
      </c>
      <c r="Y231" s="45">
        <v>589</v>
      </c>
      <c r="Z231" s="45">
        <v>589</v>
      </c>
      <c r="AA231" s="45">
        <v>589</v>
      </c>
      <c r="AB231" s="45"/>
      <c r="AC231" s="45"/>
      <c r="AD231" s="45"/>
      <c r="AE231" s="45"/>
      <c r="AF231" s="45"/>
      <c r="AG231" s="45"/>
      <c r="AH231" s="45"/>
      <c r="AI231" s="45"/>
      <c r="AJ231" s="45"/>
      <c r="AK231" s="45"/>
      <c r="AL231" s="45"/>
      <c r="AM231" s="45"/>
      <c r="AN231" s="45"/>
      <c r="AO231" s="45"/>
      <c r="AP231" s="45"/>
      <c r="AQ231" s="45"/>
      <c r="AR231" s="45"/>
      <c r="AS231" s="45"/>
      <c r="AT231" s="45"/>
      <c r="AU231" s="45"/>
      <c r="AV231" s="47"/>
      <c r="AW231" s="48" t="s">
        <v>67</v>
      </c>
      <c r="AX231" s="49" t="s">
        <v>68</v>
      </c>
      <c r="AY231" s="50">
        <f t="shared" si="20"/>
        <v>21.028199999999998</v>
      </c>
      <c r="AZ231" s="50">
        <f t="shared" si="21"/>
        <v>18.946200000000001</v>
      </c>
      <c r="BA231" s="51">
        <f t="shared" si="22"/>
        <v>10.722300000000001</v>
      </c>
    </row>
    <row r="232" spans="1:53" ht="22.5" customHeight="1">
      <c r="A232" s="55" t="s">
        <v>222</v>
      </c>
      <c r="B232" s="42" t="s">
        <v>64</v>
      </c>
      <c r="C232" s="43">
        <v>4016084</v>
      </c>
      <c r="D232" s="56" t="s">
        <v>378</v>
      </c>
      <c r="E232" s="56" t="s">
        <v>381</v>
      </c>
      <c r="F232" s="45">
        <v>1041</v>
      </c>
      <c r="G232" s="45">
        <v>841</v>
      </c>
      <c r="H232" s="45">
        <v>1041</v>
      </c>
      <c r="I232" s="45">
        <v>1041</v>
      </c>
      <c r="J232" s="45">
        <v>589</v>
      </c>
      <c r="K232" s="45">
        <v>589</v>
      </c>
      <c r="L232" s="45">
        <v>589</v>
      </c>
      <c r="M232" s="45">
        <v>589</v>
      </c>
      <c r="N232" s="45">
        <v>589</v>
      </c>
      <c r="O232" s="45">
        <v>589</v>
      </c>
      <c r="P232" s="45">
        <v>589</v>
      </c>
      <c r="Q232" s="45">
        <v>589</v>
      </c>
      <c r="R232" s="45">
        <v>589</v>
      </c>
      <c r="S232" s="45">
        <v>589</v>
      </c>
      <c r="T232" s="45">
        <v>589</v>
      </c>
      <c r="U232" s="45">
        <v>589</v>
      </c>
      <c r="V232" s="45">
        <v>589</v>
      </c>
      <c r="W232" s="45">
        <v>589</v>
      </c>
      <c r="X232" s="45">
        <v>589</v>
      </c>
      <c r="Y232" s="45">
        <v>589</v>
      </c>
      <c r="Z232" s="45">
        <v>589</v>
      </c>
      <c r="AA232" s="45">
        <v>589</v>
      </c>
      <c r="AB232" s="45"/>
      <c r="AC232" s="45"/>
      <c r="AD232" s="45"/>
      <c r="AE232" s="45"/>
      <c r="AF232" s="45"/>
      <c r="AG232" s="45"/>
      <c r="AH232" s="45"/>
      <c r="AI232" s="45"/>
      <c r="AJ232" s="45"/>
      <c r="AK232" s="45"/>
      <c r="AL232" s="45"/>
      <c r="AM232" s="45"/>
      <c r="AN232" s="45"/>
      <c r="AO232" s="45"/>
      <c r="AP232" s="45"/>
      <c r="AQ232" s="45"/>
      <c r="AR232" s="45"/>
      <c r="AS232" s="45"/>
      <c r="AT232" s="45"/>
      <c r="AU232" s="45"/>
      <c r="AV232" s="47"/>
      <c r="AW232" s="48" t="s">
        <v>67</v>
      </c>
      <c r="AX232" s="49" t="s">
        <v>68</v>
      </c>
      <c r="AY232" s="50">
        <f t="shared" si="20"/>
        <v>21.028199999999998</v>
      </c>
      <c r="AZ232" s="50">
        <f t="shared" si="21"/>
        <v>18.946200000000001</v>
      </c>
      <c r="BA232" s="51">
        <f t="shared" si="22"/>
        <v>10.722300000000001</v>
      </c>
    </row>
    <row r="233" spans="1:53" ht="22.5" customHeight="1">
      <c r="A233" s="55" t="s">
        <v>222</v>
      </c>
      <c r="B233" s="42" t="s">
        <v>64</v>
      </c>
      <c r="C233" s="43">
        <v>4016087</v>
      </c>
      <c r="D233" s="56" t="s">
        <v>378</v>
      </c>
      <c r="E233" s="56" t="s">
        <v>382</v>
      </c>
      <c r="F233" s="45">
        <v>1041</v>
      </c>
      <c r="G233" s="45">
        <v>841</v>
      </c>
      <c r="H233" s="45">
        <v>1041</v>
      </c>
      <c r="I233" s="45">
        <v>1041</v>
      </c>
      <c r="J233" s="45">
        <v>589</v>
      </c>
      <c r="K233" s="45">
        <v>589</v>
      </c>
      <c r="L233" s="45">
        <v>589</v>
      </c>
      <c r="M233" s="45">
        <v>589</v>
      </c>
      <c r="N233" s="45">
        <v>589</v>
      </c>
      <c r="O233" s="45">
        <v>589</v>
      </c>
      <c r="P233" s="45">
        <v>589</v>
      </c>
      <c r="Q233" s="45">
        <v>589</v>
      </c>
      <c r="R233" s="45">
        <v>589</v>
      </c>
      <c r="S233" s="45">
        <v>589</v>
      </c>
      <c r="T233" s="45">
        <v>589</v>
      </c>
      <c r="U233" s="45">
        <v>589</v>
      </c>
      <c r="V233" s="45">
        <v>589</v>
      </c>
      <c r="W233" s="45">
        <v>589</v>
      </c>
      <c r="X233" s="45">
        <v>589</v>
      </c>
      <c r="Y233" s="45">
        <v>589</v>
      </c>
      <c r="Z233" s="45">
        <v>589</v>
      </c>
      <c r="AA233" s="45">
        <v>589</v>
      </c>
      <c r="AB233" s="45"/>
      <c r="AC233" s="45"/>
      <c r="AD233" s="45"/>
      <c r="AE233" s="45"/>
      <c r="AF233" s="45"/>
      <c r="AG233" s="45"/>
      <c r="AH233" s="45"/>
      <c r="AI233" s="45"/>
      <c r="AJ233" s="45"/>
      <c r="AK233" s="45"/>
      <c r="AL233" s="45"/>
      <c r="AM233" s="45"/>
      <c r="AN233" s="45"/>
      <c r="AO233" s="45"/>
      <c r="AP233" s="45"/>
      <c r="AQ233" s="45"/>
      <c r="AR233" s="45"/>
      <c r="AS233" s="45"/>
      <c r="AT233" s="45"/>
      <c r="AU233" s="45"/>
      <c r="AV233" s="47"/>
      <c r="AW233" s="48" t="s">
        <v>67</v>
      </c>
      <c r="AX233" s="49" t="s">
        <v>68</v>
      </c>
      <c r="AY233" s="50">
        <f t="shared" si="20"/>
        <v>21.028199999999998</v>
      </c>
      <c r="AZ233" s="50">
        <f t="shared" si="21"/>
        <v>18.946200000000001</v>
      </c>
      <c r="BA233" s="51">
        <f t="shared" si="22"/>
        <v>10.722300000000001</v>
      </c>
    </row>
    <row r="234" spans="1:53" ht="22.5" customHeight="1">
      <c r="A234" s="55" t="s">
        <v>222</v>
      </c>
      <c r="B234" s="42" t="s">
        <v>64</v>
      </c>
      <c r="C234" s="43">
        <v>4016668</v>
      </c>
      <c r="D234" s="56" t="s">
        <v>383</v>
      </c>
      <c r="E234" s="56" t="s">
        <v>384</v>
      </c>
      <c r="F234" s="45">
        <v>1599</v>
      </c>
      <c r="G234" s="46">
        <v>1099</v>
      </c>
      <c r="H234" s="46">
        <v>1099</v>
      </c>
      <c r="I234" s="46">
        <v>1099</v>
      </c>
      <c r="J234" s="46">
        <v>999</v>
      </c>
      <c r="K234" s="46">
        <v>799</v>
      </c>
      <c r="L234" s="46">
        <v>799</v>
      </c>
      <c r="M234" s="46">
        <v>999</v>
      </c>
      <c r="N234" s="46">
        <v>799</v>
      </c>
      <c r="O234" s="46">
        <v>799</v>
      </c>
      <c r="P234" s="46">
        <v>799</v>
      </c>
      <c r="Q234" s="46">
        <v>699</v>
      </c>
      <c r="R234" s="46">
        <v>799</v>
      </c>
      <c r="S234" s="46">
        <v>799</v>
      </c>
      <c r="T234" s="46">
        <v>699</v>
      </c>
      <c r="U234" s="46">
        <v>699</v>
      </c>
      <c r="V234" s="46">
        <v>699</v>
      </c>
      <c r="W234" s="46">
        <v>699</v>
      </c>
      <c r="X234" s="46">
        <v>699</v>
      </c>
      <c r="Y234" s="46">
        <v>699</v>
      </c>
      <c r="Z234" s="46">
        <v>699</v>
      </c>
      <c r="AA234" s="46">
        <v>699</v>
      </c>
      <c r="AB234" s="45"/>
      <c r="AC234" s="45"/>
      <c r="AD234" s="45"/>
      <c r="AE234" s="45"/>
      <c r="AF234" s="45"/>
      <c r="AG234" s="45"/>
      <c r="AH234" s="45"/>
      <c r="AI234" s="45"/>
      <c r="AJ234" s="45"/>
      <c r="AK234" s="45"/>
      <c r="AL234" s="45"/>
      <c r="AM234" s="45"/>
      <c r="AN234" s="45"/>
      <c r="AO234" s="45"/>
      <c r="AP234" s="45"/>
      <c r="AQ234" s="45"/>
      <c r="AR234" s="45"/>
      <c r="AS234" s="45"/>
      <c r="AT234" s="45"/>
      <c r="AU234" s="45"/>
      <c r="AV234" s="47"/>
      <c r="AW234" s="48" t="s">
        <v>67</v>
      </c>
      <c r="AX234" s="49" t="s">
        <v>68</v>
      </c>
      <c r="AY234" s="50">
        <f t="shared" si="20"/>
        <v>22.1998</v>
      </c>
      <c r="AZ234" s="50">
        <f t="shared" si="21"/>
        <v>20.001799999999999</v>
      </c>
      <c r="BA234" s="51">
        <f t="shared" si="22"/>
        <v>11.319700000000001</v>
      </c>
    </row>
    <row r="235" spans="1:53" ht="22.5" customHeight="1">
      <c r="A235" s="55" t="s">
        <v>222</v>
      </c>
      <c r="B235" s="42" t="s">
        <v>64</v>
      </c>
      <c r="C235" s="43">
        <v>4016714</v>
      </c>
      <c r="D235" s="56" t="s">
        <v>383</v>
      </c>
      <c r="E235" s="56" t="s">
        <v>385</v>
      </c>
      <c r="F235" s="45">
        <v>1599</v>
      </c>
      <c r="G235" s="46">
        <v>1099</v>
      </c>
      <c r="H235" s="46">
        <v>1099</v>
      </c>
      <c r="I235" s="46">
        <v>1099</v>
      </c>
      <c r="J235" s="46">
        <v>999</v>
      </c>
      <c r="K235" s="46">
        <v>799</v>
      </c>
      <c r="L235" s="46">
        <v>799</v>
      </c>
      <c r="M235" s="46">
        <v>999</v>
      </c>
      <c r="N235" s="46">
        <v>799</v>
      </c>
      <c r="O235" s="46">
        <v>799</v>
      </c>
      <c r="P235" s="46">
        <v>799</v>
      </c>
      <c r="Q235" s="46">
        <v>699</v>
      </c>
      <c r="R235" s="46">
        <v>799</v>
      </c>
      <c r="S235" s="46">
        <v>799</v>
      </c>
      <c r="T235" s="46">
        <v>699</v>
      </c>
      <c r="U235" s="46">
        <v>699</v>
      </c>
      <c r="V235" s="46">
        <v>699</v>
      </c>
      <c r="W235" s="46">
        <v>699</v>
      </c>
      <c r="X235" s="46">
        <v>699</v>
      </c>
      <c r="Y235" s="46">
        <v>699</v>
      </c>
      <c r="Z235" s="46">
        <v>699</v>
      </c>
      <c r="AA235" s="46">
        <v>699</v>
      </c>
      <c r="AB235" s="45"/>
      <c r="AC235" s="45"/>
      <c r="AD235" s="45"/>
      <c r="AE235" s="45"/>
      <c r="AF235" s="45"/>
      <c r="AG235" s="45"/>
      <c r="AH235" s="45"/>
      <c r="AI235" s="45"/>
      <c r="AJ235" s="45"/>
      <c r="AK235" s="45"/>
      <c r="AL235" s="45"/>
      <c r="AM235" s="45"/>
      <c r="AN235" s="45"/>
      <c r="AO235" s="45"/>
      <c r="AP235" s="45"/>
      <c r="AQ235" s="45"/>
      <c r="AR235" s="45"/>
      <c r="AS235" s="45"/>
      <c r="AT235" s="45"/>
      <c r="AU235" s="45"/>
      <c r="AV235" s="47"/>
      <c r="AW235" s="48" t="s">
        <v>67</v>
      </c>
      <c r="AX235" s="49" t="s">
        <v>68</v>
      </c>
      <c r="AY235" s="50">
        <f t="shared" si="20"/>
        <v>22.1998</v>
      </c>
      <c r="AZ235" s="50">
        <f t="shared" si="21"/>
        <v>20.001799999999999</v>
      </c>
      <c r="BA235" s="51">
        <f t="shared" si="22"/>
        <v>11.319700000000001</v>
      </c>
    </row>
    <row r="236" spans="1:53" ht="22.5" customHeight="1">
      <c r="A236" s="55" t="s">
        <v>222</v>
      </c>
      <c r="B236" s="42" t="s">
        <v>64</v>
      </c>
      <c r="C236" s="43">
        <v>4016710</v>
      </c>
      <c r="D236" s="56" t="s">
        <v>383</v>
      </c>
      <c r="E236" s="56" t="s">
        <v>386</v>
      </c>
      <c r="F236" s="45">
        <v>1599</v>
      </c>
      <c r="G236" s="46">
        <v>1099</v>
      </c>
      <c r="H236" s="46">
        <v>1099</v>
      </c>
      <c r="I236" s="46">
        <v>1099</v>
      </c>
      <c r="J236" s="46">
        <v>999</v>
      </c>
      <c r="K236" s="46">
        <v>799</v>
      </c>
      <c r="L236" s="46">
        <v>799</v>
      </c>
      <c r="M236" s="46">
        <v>999</v>
      </c>
      <c r="N236" s="46">
        <v>799</v>
      </c>
      <c r="O236" s="46">
        <v>799</v>
      </c>
      <c r="P236" s="46">
        <v>799</v>
      </c>
      <c r="Q236" s="46">
        <v>699</v>
      </c>
      <c r="R236" s="46">
        <v>799</v>
      </c>
      <c r="S236" s="46">
        <v>799</v>
      </c>
      <c r="T236" s="46">
        <v>699</v>
      </c>
      <c r="U236" s="46">
        <v>699</v>
      </c>
      <c r="V236" s="46">
        <v>699</v>
      </c>
      <c r="W236" s="46">
        <v>699</v>
      </c>
      <c r="X236" s="46">
        <v>699</v>
      </c>
      <c r="Y236" s="46">
        <v>699</v>
      </c>
      <c r="Z236" s="46">
        <v>699</v>
      </c>
      <c r="AA236" s="46">
        <v>699</v>
      </c>
      <c r="AB236" s="45"/>
      <c r="AC236" s="45"/>
      <c r="AD236" s="45"/>
      <c r="AE236" s="45"/>
      <c r="AF236" s="45"/>
      <c r="AG236" s="45"/>
      <c r="AH236" s="45"/>
      <c r="AI236" s="45"/>
      <c r="AJ236" s="45"/>
      <c r="AK236" s="45"/>
      <c r="AL236" s="45"/>
      <c r="AM236" s="45"/>
      <c r="AN236" s="45"/>
      <c r="AO236" s="45"/>
      <c r="AP236" s="45"/>
      <c r="AQ236" s="45"/>
      <c r="AR236" s="45"/>
      <c r="AS236" s="45"/>
      <c r="AT236" s="45"/>
      <c r="AU236" s="45"/>
      <c r="AV236" s="47"/>
      <c r="AW236" s="48" t="s">
        <v>67</v>
      </c>
      <c r="AX236" s="49" t="s">
        <v>68</v>
      </c>
      <c r="AY236" s="50">
        <f t="shared" si="20"/>
        <v>22.1998</v>
      </c>
      <c r="AZ236" s="50">
        <f t="shared" si="21"/>
        <v>20.001799999999999</v>
      </c>
      <c r="BA236" s="51">
        <f t="shared" si="22"/>
        <v>11.319700000000001</v>
      </c>
    </row>
    <row r="237" spans="1:53" ht="22.5" customHeight="1">
      <c r="A237" s="55" t="s">
        <v>222</v>
      </c>
      <c r="B237" s="42" t="s">
        <v>64</v>
      </c>
      <c r="C237" s="43">
        <v>4016716</v>
      </c>
      <c r="D237" s="56" t="s">
        <v>383</v>
      </c>
      <c r="E237" s="56" t="s">
        <v>387</v>
      </c>
      <c r="F237" s="45">
        <v>1599</v>
      </c>
      <c r="G237" s="46">
        <v>1099</v>
      </c>
      <c r="H237" s="46">
        <v>1099</v>
      </c>
      <c r="I237" s="46">
        <v>1099</v>
      </c>
      <c r="J237" s="46">
        <v>999</v>
      </c>
      <c r="K237" s="46">
        <v>799</v>
      </c>
      <c r="L237" s="46">
        <v>799</v>
      </c>
      <c r="M237" s="46">
        <v>999</v>
      </c>
      <c r="N237" s="46">
        <v>799</v>
      </c>
      <c r="O237" s="46">
        <v>799</v>
      </c>
      <c r="P237" s="46">
        <v>799</v>
      </c>
      <c r="Q237" s="46">
        <v>699</v>
      </c>
      <c r="R237" s="46">
        <v>799</v>
      </c>
      <c r="S237" s="46">
        <v>799</v>
      </c>
      <c r="T237" s="46">
        <v>699</v>
      </c>
      <c r="U237" s="46">
        <v>699</v>
      </c>
      <c r="V237" s="46">
        <v>699</v>
      </c>
      <c r="W237" s="46">
        <v>699</v>
      </c>
      <c r="X237" s="46">
        <v>699</v>
      </c>
      <c r="Y237" s="46">
        <v>699</v>
      </c>
      <c r="Z237" s="46">
        <v>699</v>
      </c>
      <c r="AA237" s="46">
        <v>699</v>
      </c>
      <c r="AB237" s="45"/>
      <c r="AC237" s="45"/>
      <c r="AD237" s="45"/>
      <c r="AE237" s="45"/>
      <c r="AF237" s="45"/>
      <c r="AG237" s="45"/>
      <c r="AH237" s="45"/>
      <c r="AI237" s="45"/>
      <c r="AJ237" s="45"/>
      <c r="AK237" s="45"/>
      <c r="AL237" s="45"/>
      <c r="AM237" s="45"/>
      <c r="AN237" s="45"/>
      <c r="AO237" s="45"/>
      <c r="AP237" s="45"/>
      <c r="AQ237" s="45"/>
      <c r="AR237" s="45"/>
      <c r="AS237" s="45"/>
      <c r="AT237" s="45"/>
      <c r="AU237" s="45"/>
      <c r="AV237" s="47"/>
      <c r="AW237" s="48" t="s">
        <v>67</v>
      </c>
      <c r="AX237" s="49" t="s">
        <v>68</v>
      </c>
      <c r="AY237" s="50">
        <f t="shared" si="20"/>
        <v>22.1998</v>
      </c>
      <c r="AZ237" s="50">
        <f t="shared" si="21"/>
        <v>20.001799999999999</v>
      </c>
      <c r="BA237" s="51">
        <f t="shared" si="22"/>
        <v>11.319700000000001</v>
      </c>
    </row>
    <row r="238" spans="1:53" ht="22.5" customHeight="1">
      <c r="A238" s="55" t="s">
        <v>222</v>
      </c>
      <c r="B238" s="42" t="s">
        <v>64</v>
      </c>
      <c r="C238" s="43">
        <v>4016753</v>
      </c>
      <c r="D238" s="56" t="s">
        <v>383</v>
      </c>
      <c r="E238" s="56" t="s">
        <v>388</v>
      </c>
      <c r="F238" s="45">
        <v>1599</v>
      </c>
      <c r="G238" s="46">
        <v>1099</v>
      </c>
      <c r="H238" s="46">
        <v>1099</v>
      </c>
      <c r="I238" s="46">
        <v>1099</v>
      </c>
      <c r="J238" s="46">
        <v>999</v>
      </c>
      <c r="K238" s="46">
        <v>799</v>
      </c>
      <c r="L238" s="46">
        <v>799</v>
      </c>
      <c r="M238" s="46">
        <v>999</v>
      </c>
      <c r="N238" s="46">
        <v>799</v>
      </c>
      <c r="O238" s="46">
        <v>799</v>
      </c>
      <c r="P238" s="46">
        <v>799</v>
      </c>
      <c r="Q238" s="46">
        <v>699</v>
      </c>
      <c r="R238" s="46">
        <v>799</v>
      </c>
      <c r="S238" s="46">
        <v>799</v>
      </c>
      <c r="T238" s="46">
        <v>699</v>
      </c>
      <c r="U238" s="46">
        <v>699</v>
      </c>
      <c r="V238" s="46">
        <v>699</v>
      </c>
      <c r="W238" s="46">
        <v>699</v>
      </c>
      <c r="X238" s="46">
        <v>699</v>
      </c>
      <c r="Y238" s="46">
        <v>699</v>
      </c>
      <c r="Z238" s="46">
        <v>699</v>
      </c>
      <c r="AA238" s="46">
        <v>699</v>
      </c>
      <c r="AB238" s="45"/>
      <c r="AC238" s="45"/>
      <c r="AD238" s="45"/>
      <c r="AE238" s="45"/>
      <c r="AF238" s="45"/>
      <c r="AG238" s="45"/>
      <c r="AH238" s="45"/>
      <c r="AI238" s="45"/>
      <c r="AJ238" s="45"/>
      <c r="AK238" s="45"/>
      <c r="AL238" s="45"/>
      <c r="AM238" s="45"/>
      <c r="AN238" s="45"/>
      <c r="AO238" s="45"/>
      <c r="AP238" s="45"/>
      <c r="AQ238" s="45"/>
      <c r="AR238" s="45"/>
      <c r="AS238" s="45"/>
      <c r="AT238" s="45"/>
      <c r="AU238" s="45"/>
      <c r="AV238" s="47"/>
      <c r="AW238" s="48" t="s">
        <v>67</v>
      </c>
      <c r="AX238" s="49" t="s">
        <v>68</v>
      </c>
      <c r="AY238" s="50">
        <f t="shared" si="20"/>
        <v>22.1998</v>
      </c>
      <c r="AZ238" s="50">
        <f t="shared" si="21"/>
        <v>20.001799999999999</v>
      </c>
      <c r="BA238" s="51">
        <f t="shared" si="22"/>
        <v>11.319700000000001</v>
      </c>
    </row>
    <row r="239" spans="1:53" ht="22.5" customHeight="1">
      <c r="A239" s="55" t="s">
        <v>222</v>
      </c>
      <c r="B239" s="42" t="s">
        <v>64</v>
      </c>
      <c r="C239" s="43">
        <v>4016762</v>
      </c>
      <c r="D239" s="56" t="s">
        <v>383</v>
      </c>
      <c r="E239" s="56" t="s">
        <v>389</v>
      </c>
      <c r="F239" s="45">
        <v>1599</v>
      </c>
      <c r="G239" s="46">
        <v>1099</v>
      </c>
      <c r="H239" s="46">
        <v>1099</v>
      </c>
      <c r="I239" s="46">
        <v>1099</v>
      </c>
      <c r="J239" s="46">
        <v>999</v>
      </c>
      <c r="K239" s="46">
        <v>799</v>
      </c>
      <c r="L239" s="46">
        <v>799</v>
      </c>
      <c r="M239" s="46">
        <v>999</v>
      </c>
      <c r="N239" s="46">
        <v>799</v>
      </c>
      <c r="O239" s="46">
        <v>799</v>
      </c>
      <c r="P239" s="46">
        <v>799</v>
      </c>
      <c r="Q239" s="46">
        <v>699</v>
      </c>
      <c r="R239" s="46">
        <v>799</v>
      </c>
      <c r="S239" s="46">
        <v>799</v>
      </c>
      <c r="T239" s="46">
        <v>699</v>
      </c>
      <c r="U239" s="46">
        <v>699</v>
      </c>
      <c r="V239" s="46">
        <v>699</v>
      </c>
      <c r="W239" s="46">
        <v>699</v>
      </c>
      <c r="X239" s="46">
        <v>699</v>
      </c>
      <c r="Y239" s="46">
        <v>699</v>
      </c>
      <c r="Z239" s="46">
        <v>699</v>
      </c>
      <c r="AA239" s="46">
        <v>699</v>
      </c>
      <c r="AB239" s="45"/>
      <c r="AC239" s="45"/>
      <c r="AD239" s="45"/>
      <c r="AE239" s="45"/>
      <c r="AF239" s="45"/>
      <c r="AG239" s="45"/>
      <c r="AH239" s="45"/>
      <c r="AI239" s="45"/>
      <c r="AJ239" s="45"/>
      <c r="AK239" s="45"/>
      <c r="AL239" s="45"/>
      <c r="AM239" s="45"/>
      <c r="AN239" s="45"/>
      <c r="AO239" s="45"/>
      <c r="AP239" s="45"/>
      <c r="AQ239" s="45"/>
      <c r="AR239" s="45"/>
      <c r="AS239" s="45"/>
      <c r="AT239" s="45"/>
      <c r="AU239" s="45"/>
      <c r="AV239" s="47"/>
      <c r="AW239" s="48" t="s">
        <v>67</v>
      </c>
      <c r="AX239" s="49" t="s">
        <v>68</v>
      </c>
      <c r="AY239" s="50">
        <f t="shared" si="20"/>
        <v>22.1998</v>
      </c>
      <c r="AZ239" s="50">
        <f t="shared" si="21"/>
        <v>20.001799999999999</v>
      </c>
      <c r="BA239" s="51">
        <f t="shared" si="22"/>
        <v>11.319700000000001</v>
      </c>
    </row>
    <row r="240" spans="1:53" ht="22.5" customHeight="1">
      <c r="A240" s="55" t="s">
        <v>222</v>
      </c>
      <c r="B240" s="42" t="s">
        <v>64</v>
      </c>
      <c r="C240" s="43">
        <v>4016667</v>
      </c>
      <c r="D240" s="56" t="s">
        <v>390</v>
      </c>
      <c r="E240" s="56" t="s">
        <v>391</v>
      </c>
      <c r="F240" s="45">
        <v>1899</v>
      </c>
      <c r="G240" s="46">
        <v>1499</v>
      </c>
      <c r="H240" s="46">
        <v>1499</v>
      </c>
      <c r="I240" s="46">
        <v>1499</v>
      </c>
      <c r="J240" s="46">
        <v>1399</v>
      </c>
      <c r="K240" s="46">
        <v>1299</v>
      </c>
      <c r="L240" s="46">
        <v>1299</v>
      </c>
      <c r="M240" s="46">
        <v>1399</v>
      </c>
      <c r="N240" s="46">
        <v>1299</v>
      </c>
      <c r="O240" s="46">
        <v>1249</v>
      </c>
      <c r="P240" s="46">
        <v>1199</v>
      </c>
      <c r="Q240" s="46">
        <v>999</v>
      </c>
      <c r="R240" s="46">
        <v>1249</v>
      </c>
      <c r="S240" s="46">
        <v>1199</v>
      </c>
      <c r="T240" s="46">
        <v>999</v>
      </c>
      <c r="U240" s="46">
        <v>999</v>
      </c>
      <c r="V240" s="46">
        <v>999</v>
      </c>
      <c r="W240" s="46">
        <v>999</v>
      </c>
      <c r="X240" s="46">
        <v>999</v>
      </c>
      <c r="Y240" s="46">
        <v>999</v>
      </c>
      <c r="Z240" s="46">
        <v>999</v>
      </c>
      <c r="AA240" s="46">
        <v>999</v>
      </c>
      <c r="AB240" s="45"/>
      <c r="AC240" s="45"/>
      <c r="AD240" s="45"/>
      <c r="AE240" s="45"/>
      <c r="AF240" s="45"/>
      <c r="AG240" s="45"/>
      <c r="AH240" s="45"/>
      <c r="AI240" s="45"/>
      <c r="AJ240" s="45"/>
      <c r="AK240" s="45"/>
      <c r="AL240" s="45"/>
      <c r="AM240" s="45"/>
      <c r="AN240" s="45"/>
      <c r="AO240" s="45"/>
      <c r="AP240" s="45"/>
      <c r="AQ240" s="45"/>
      <c r="AR240" s="45"/>
      <c r="AS240" s="45"/>
      <c r="AT240" s="45"/>
      <c r="AU240" s="45"/>
      <c r="AV240" s="47"/>
      <c r="AW240" s="48" t="s">
        <v>67</v>
      </c>
      <c r="AX240" s="49" t="s">
        <v>68</v>
      </c>
      <c r="AY240" s="50">
        <f t="shared" si="20"/>
        <v>30.279799999999998</v>
      </c>
      <c r="AZ240" s="50">
        <f t="shared" si="21"/>
        <v>27.2818</v>
      </c>
      <c r="BA240" s="51">
        <f t="shared" si="22"/>
        <v>15.4397</v>
      </c>
    </row>
    <row r="241" spans="1:53" ht="22.5" customHeight="1">
      <c r="A241" s="55" t="s">
        <v>222</v>
      </c>
      <c r="B241" s="42" t="s">
        <v>64</v>
      </c>
      <c r="C241" s="43">
        <v>4016713</v>
      </c>
      <c r="D241" s="56" t="s">
        <v>390</v>
      </c>
      <c r="E241" s="56" t="s">
        <v>392</v>
      </c>
      <c r="F241" s="45">
        <v>1899</v>
      </c>
      <c r="G241" s="46">
        <v>1499</v>
      </c>
      <c r="H241" s="46">
        <v>1499</v>
      </c>
      <c r="I241" s="46">
        <v>1499</v>
      </c>
      <c r="J241" s="46">
        <v>1399</v>
      </c>
      <c r="K241" s="46">
        <v>1299</v>
      </c>
      <c r="L241" s="46">
        <v>1299</v>
      </c>
      <c r="M241" s="46">
        <v>1399</v>
      </c>
      <c r="N241" s="46">
        <v>1299</v>
      </c>
      <c r="O241" s="46">
        <v>1249</v>
      </c>
      <c r="P241" s="46">
        <v>1199</v>
      </c>
      <c r="Q241" s="46">
        <v>999</v>
      </c>
      <c r="R241" s="46">
        <v>1249</v>
      </c>
      <c r="S241" s="46">
        <v>1199</v>
      </c>
      <c r="T241" s="46">
        <v>999</v>
      </c>
      <c r="U241" s="46">
        <v>999</v>
      </c>
      <c r="V241" s="46">
        <v>999</v>
      </c>
      <c r="W241" s="46">
        <v>999</v>
      </c>
      <c r="X241" s="46">
        <v>999</v>
      </c>
      <c r="Y241" s="46">
        <v>999</v>
      </c>
      <c r="Z241" s="46">
        <v>999</v>
      </c>
      <c r="AA241" s="46">
        <v>999</v>
      </c>
      <c r="AB241" s="45"/>
      <c r="AC241" s="45"/>
      <c r="AD241" s="45"/>
      <c r="AE241" s="45"/>
      <c r="AF241" s="45"/>
      <c r="AG241" s="45"/>
      <c r="AH241" s="45"/>
      <c r="AI241" s="45"/>
      <c r="AJ241" s="45"/>
      <c r="AK241" s="45"/>
      <c r="AL241" s="45"/>
      <c r="AM241" s="45"/>
      <c r="AN241" s="45"/>
      <c r="AO241" s="45"/>
      <c r="AP241" s="45"/>
      <c r="AQ241" s="45"/>
      <c r="AR241" s="45"/>
      <c r="AS241" s="45"/>
      <c r="AT241" s="45"/>
      <c r="AU241" s="45"/>
      <c r="AV241" s="47"/>
      <c r="AW241" s="48" t="s">
        <v>67</v>
      </c>
      <c r="AX241" s="49" t="s">
        <v>68</v>
      </c>
      <c r="AY241" s="50">
        <f t="shared" si="20"/>
        <v>30.279799999999998</v>
      </c>
      <c r="AZ241" s="50">
        <f t="shared" si="21"/>
        <v>27.2818</v>
      </c>
      <c r="BA241" s="51">
        <f t="shared" si="22"/>
        <v>15.4397</v>
      </c>
    </row>
    <row r="242" spans="1:53" ht="22.5" customHeight="1">
      <c r="A242" s="55" t="s">
        <v>222</v>
      </c>
      <c r="B242" s="42" t="s">
        <v>64</v>
      </c>
      <c r="C242" s="43">
        <v>4016669</v>
      </c>
      <c r="D242" s="56" t="s">
        <v>390</v>
      </c>
      <c r="E242" s="56" t="s">
        <v>393</v>
      </c>
      <c r="F242" s="45">
        <v>1899</v>
      </c>
      <c r="G242" s="46">
        <v>1499</v>
      </c>
      <c r="H242" s="46">
        <v>1499</v>
      </c>
      <c r="I242" s="46">
        <v>1499</v>
      </c>
      <c r="J242" s="46">
        <v>1399</v>
      </c>
      <c r="K242" s="46">
        <v>1299</v>
      </c>
      <c r="L242" s="46">
        <v>1299</v>
      </c>
      <c r="M242" s="46">
        <v>1399</v>
      </c>
      <c r="N242" s="46">
        <v>1299</v>
      </c>
      <c r="O242" s="46">
        <v>1249</v>
      </c>
      <c r="P242" s="46">
        <v>1199</v>
      </c>
      <c r="Q242" s="46">
        <v>999</v>
      </c>
      <c r="R242" s="46">
        <v>1249</v>
      </c>
      <c r="S242" s="46">
        <v>1199</v>
      </c>
      <c r="T242" s="46">
        <v>999</v>
      </c>
      <c r="U242" s="46">
        <v>999</v>
      </c>
      <c r="V242" s="46">
        <v>999</v>
      </c>
      <c r="W242" s="46">
        <v>999</v>
      </c>
      <c r="X242" s="46">
        <v>999</v>
      </c>
      <c r="Y242" s="46">
        <v>999</v>
      </c>
      <c r="Z242" s="46">
        <v>999</v>
      </c>
      <c r="AA242" s="46">
        <v>999</v>
      </c>
      <c r="AB242" s="45"/>
      <c r="AC242" s="45"/>
      <c r="AD242" s="45"/>
      <c r="AE242" s="45"/>
      <c r="AF242" s="45"/>
      <c r="AG242" s="45"/>
      <c r="AH242" s="45"/>
      <c r="AI242" s="45"/>
      <c r="AJ242" s="45"/>
      <c r="AK242" s="45"/>
      <c r="AL242" s="45"/>
      <c r="AM242" s="45"/>
      <c r="AN242" s="45"/>
      <c r="AO242" s="45"/>
      <c r="AP242" s="45"/>
      <c r="AQ242" s="45"/>
      <c r="AR242" s="45"/>
      <c r="AS242" s="45"/>
      <c r="AT242" s="45"/>
      <c r="AU242" s="45"/>
      <c r="AV242" s="47"/>
      <c r="AW242" s="48" t="s">
        <v>67</v>
      </c>
      <c r="AX242" s="49" t="s">
        <v>68</v>
      </c>
      <c r="AY242" s="50">
        <f t="shared" si="20"/>
        <v>30.279799999999998</v>
      </c>
      <c r="AZ242" s="50">
        <f t="shared" si="21"/>
        <v>27.2818</v>
      </c>
      <c r="BA242" s="51">
        <f t="shared" si="22"/>
        <v>15.4397</v>
      </c>
    </row>
    <row r="243" spans="1:53" ht="22.5" customHeight="1">
      <c r="A243" s="55" t="s">
        <v>222</v>
      </c>
      <c r="B243" s="42" t="s">
        <v>64</v>
      </c>
      <c r="C243" s="43">
        <v>4016715</v>
      </c>
      <c r="D243" s="56" t="s">
        <v>390</v>
      </c>
      <c r="E243" s="56" t="s">
        <v>394</v>
      </c>
      <c r="F243" s="45">
        <v>1899</v>
      </c>
      <c r="G243" s="46">
        <v>1499</v>
      </c>
      <c r="H243" s="46">
        <v>1499</v>
      </c>
      <c r="I243" s="46">
        <v>1499</v>
      </c>
      <c r="J243" s="46">
        <v>1399</v>
      </c>
      <c r="K243" s="46">
        <v>1299</v>
      </c>
      <c r="L243" s="46">
        <v>1299</v>
      </c>
      <c r="M243" s="46">
        <v>1399</v>
      </c>
      <c r="N243" s="46">
        <v>1299</v>
      </c>
      <c r="O243" s="46">
        <v>1249</v>
      </c>
      <c r="P243" s="46">
        <v>1199</v>
      </c>
      <c r="Q243" s="46">
        <v>999</v>
      </c>
      <c r="R243" s="46">
        <v>1249</v>
      </c>
      <c r="S243" s="46">
        <v>1199</v>
      </c>
      <c r="T243" s="46">
        <v>999</v>
      </c>
      <c r="U243" s="46">
        <v>999</v>
      </c>
      <c r="V243" s="46">
        <v>999</v>
      </c>
      <c r="W243" s="46">
        <v>999</v>
      </c>
      <c r="X243" s="46">
        <v>999</v>
      </c>
      <c r="Y243" s="46">
        <v>999</v>
      </c>
      <c r="Z243" s="46">
        <v>999</v>
      </c>
      <c r="AA243" s="46">
        <v>999</v>
      </c>
      <c r="AB243" s="45"/>
      <c r="AC243" s="45"/>
      <c r="AD243" s="45"/>
      <c r="AE243" s="45"/>
      <c r="AF243" s="45"/>
      <c r="AG243" s="45"/>
      <c r="AH243" s="45"/>
      <c r="AI243" s="45"/>
      <c r="AJ243" s="45"/>
      <c r="AK243" s="45"/>
      <c r="AL243" s="45"/>
      <c r="AM243" s="45"/>
      <c r="AN243" s="45"/>
      <c r="AO243" s="45"/>
      <c r="AP243" s="45"/>
      <c r="AQ243" s="45"/>
      <c r="AR243" s="45"/>
      <c r="AS243" s="45"/>
      <c r="AT243" s="45"/>
      <c r="AU243" s="45"/>
      <c r="AV243" s="47"/>
      <c r="AW243" s="48" t="s">
        <v>67</v>
      </c>
      <c r="AX243" s="49" t="s">
        <v>68</v>
      </c>
      <c r="AY243" s="50">
        <f t="shared" si="20"/>
        <v>30.279799999999998</v>
      </c>
      <c r="AZ243" s="50">
        <f t="shared" si="21"/>
        <v>27.2818</v>
      </c>
      <c r="BA243" s="51">
        <f t="shared" si="22"/>
        <v>15.4397</v>
      </c>
    </row>
    <row r="244" spans="1:53" ht="22.5" customHeight="1">
      <c r="A244" s="55" t="s">
        <v>222</v>
      </c>
      <c r="B244" s="42" t="s">
        <v>64</v>
      </c>
      <c r="C244" s="43">
        <v>4017357</v>
      </c>
      <c r="D244" s="56" t="s">
        <v>395</v>
      </c>
      <c r="E244" s="56" t="s">
        <v>396</v>
      </c>
      <c r="F244" s="45">
        <v>1399</v>
      </c>
      <c r="G244" s="45">
        <v>1249</v>
      </c>
      <c r="H244" s="45">
        <v>1249</v>
      </c>
      <c r="I244" s="45">
        <v>1249</v>
      </c>
      <c r="J244" s="45">
        <v>1149</v>
      </c>
      <c r="K244" s="45">
        <v>949</v>
      </c>
      <c r="L244" s="45">
        <v>949</v>
      </c>
      <c r="M244" s="45">
        <v>1149</v>
      </c>
      <c r="N244" s="45">
        <v>949</v>
      </c>
      <c r="O244" s="45">
        <v>899</v>
      </c>
      <c r="P244" s="46">
        <v>899</v>
      </c>
      <c r="Q244" s="46">
        <v>899</v>
      </c>
      <c r="R244" s="45">
        <v>899</v>
      </c>
      <c r="S244" s="45">
        <v>899</v>
      </c>
      <c r="T244" s="45">
        <v>899</v>
      </c>
      <c r="U244" s="45">
        <v>899</v>
      </c>
      <c r="V244" s="45">
        <v>899</v>
      </c>
      <c r="W244" s="45">
        <v>899</v>
      </c>
      <c r="X244" s="45">
        <v>899</v>
      </c>
      <c r="Y244" s="45">
        <v>799</v>
      </c>
      <c r="Z244" s="45">
        <v>799</v>
      </c>
      <c r="AA244" s="45">
        <v>799</v>
      </c>
      <c r="AB244" s="45"/>
      <c r="AC244" s="45"/>
      <c r="AD244" s="45"/>
      <c r="AE244" s="45"/>
      <c r="AF244" s="45"/>
      <c r="AG244" s="45"/>
      <c r="AH244" s="45"/>
      <c r="AI244" s="45"/>
      <c r="AJ244" s="45"/>
      <c r="AK244" s="45"/>
      <c r="AL244" s="45"/>
      <c r="AM244" s="45"/>
      <c r="AN244" s="45"/>
      <c r="AO244" s="45"/>
      <c r="AP244" s="45"/>
      <c r="AQ244" s="45"/>
      <c r="AR244" s="45"/>
      <c r="AS244" s="45"/>
      <c r="AT244" s="45"/>
      <c r="AU244" s="45"/>
      <c r="AV244" s="47"/>
      <c r="AW244" s="48" t="s">
        <v>67</v>
      </c>
      <c r="AX244" s="49" t="s">
        <v>230</v>
      </c>
      <c r="AY244" s="50">
        <f t="shared" si="20"/>
        <v>25.229799999999997</v>
      </c>
      <c r="AZ244" s="50">
        <f t="shared" si="21"/>
        <v>22.7318</v>
      </c>
      <c r="BA244" s="51">
        <f t="shared" si="22"/>
        <v>12.864700000000001</v>
      </c>
    </row>
    <row r="245" spans="1:53" ht="22.5" customHeight="1">
      <c r="A245" s="55" t="s">
        <v>222</v>
      </c>
      <c r="B245" s="42" t="s">
        <v>64</v>
      </c>
      <c r="C245" s="43">
        <v>4017377</v>
      </c>
      <c r="D245" s="56" t="s">
        <v>395</v>
      </c>
      <c r="E245" s="56" t="s">
        <v>397</v>
      </c>
      <c r="F245" s="45">
        <v>1399</v>
      </c>
      <c r="G245" s="45">
        <v>1249</v>
      </c>
      <c r="H245" s="45">
        <v>1249</v>
      </c>
      <c r="I245" s="45">
        <v>1249</v>
      </c>
      <c r="J245" s="45">
        <v>1149</v>
      </c>
      <c r="K245" s="45">
        <v>949</v>
      </c>
      <c r="L245" s="45">
        <v>949</v>
      </c>
      <c r="M245" s="45">
        <v>1149</v>
      </c>
      <c r="N245" s="45">
        <v>949</v>
      </c>
      <c r="O245" s="45">
        <v>899</v>
      </c>
      <c r="P245" s="46">
        <v>899</v>
      </c>
      <c r="Q245" s="46">
        <v>899</v>
      </c>
      <c r="R245" s="45">
        <v>899</v>
      </c>
      <c r="S245" s="45">
        <v>899</v>
      </c>
      <c r="T245" s="45">
        <v>899</v>
      </c>
      <c r="U245" s="45">
        <v>899</v>
      </c>
      <c r="V245" s="45">
        <v>899</v>
      </c>
      <c r="W245" s="45">
        <v>899</v>
      </c>
      <c r="X245" s="45">
        <v>899</v>
      </c>
      <c r="Y245" s="45">
        <v>799</v>
      </c>
      <c r="Z245" s="45">
        <v>799</v>
      </c>
      <c r="AA245" s="45">
        <v>799</v>
      </c>
      <c r="AB245" s="45"/>
      <c r="AC245" s="45"/>
      <c r="AD245" s="45"/>
      <c r="AE245" s="45"/>
      <c r="AF245" s="45"/>
      <c r="AG245" s="45"/>
      <c r="AH245" s="45"/>
      <c r="AI245" s="45"/>
      <c r="AJ245" s="45"/>
      <c r="AK245" s="45"/>
      <c r="AL245" s="45"/>
      <c r="AM245" s="45"/>
      <c r="AN245" s="45"/>
      <c r="AO245" s="45"/>
      <c r="AP245" s="45"/>
      <c r="AQ245" s="45"/>
      <c r="AR245" s="45"/>
      <c r="AS245" s="45"/>
      <c r="AT245" s="45"/>
      <c r="AU245" s="45"/>
      <c r="AV245" s="47"/>
      <c r="AW245" s="48" t="s">
        <v>67</v>
      </c>
      <c r="AX245" s="49" t="s">
        <v>230</v>
      </c>
      <c r="AY245" s="50">
        <f t="shared" si="20"/>
        <v>25.229799999999997</v>
      </c>
      <c r="AZ245" s="50">
        <f t="shared" si="21"/>
        <v>22.7318</v>
      </c>
      <c r="BA245" s="51">
        <f t="shared" si="22"/>
        <v>12.864700000000001</v>
      </c>
    </row>
    <row r="246" spans="1:53" ht="22.5" customHeight="1">
      <c r="A246" s="55" t="s">
        <v>222</v>
      </c>
      <c r="B246" s="42" t="s">
        <v>64</v>
      </c>
      <c r="C246" s="43">
        <v>4017363</v>
      </c>
      <c r="D246" s="56" t="s">
        <v>395</v>
      </c>
      <c r="E246" s="56" t="s">
        <v>398</v>
      </c>
      <c r="F246" s="45">
        <v>1399</v>
      </c>
      <c r="G246" s="45">
        <v>1249</v>
      </c>
      <c r="H246" s="45">
        <v>1249</v>
      </c>
      <c r="I246" s="45">
        <v>1249</v>
      </c>
      <c r="J246" s="45">
        <v>1149</v>
      </c>
      <c r="K246" s="45">
        <v>949</v>
      </c>
      <c r="L246" s="45">
        <v>949</v>
      </c>
      <c r="M246" s="45">
        <v>1149</v>
      </c>
      <c r="N246" s="45">
        <v>949</v>
      </c>
      <c r="O246" s="45">
        <v>899</v>
      </c>
      <c r="P246" s="46">
        <v>899</v>
      </c>
      <c r="Q246" s="46">
        <v>899</v>
      </c>
      <c r="R246" s="45">
        <v>899</v>
      </c>
      <c r="S246" s="45">
        <v>899</v>
      </c>
      <c r="T246" s="45">
        <v>899</v>
      </c>
      <c r="U246" s="45">
        <v>899</v>
      </c>
      <c r="V246" s="45">
        <v>899</v>
      </c>
      <c r="W246" s="45">
        <v>899</v>
      </c>
      <c r="X246" s="45">
        <v>899</v>
      </c>
      <c r="Y246" s="45">
        <v>799</v>
      </c>
      <c r="Z246" s="45">
        <v>799</v>
      </c>
      <c r="AA246" s="45">
        <v>799</v>
      </c>
      <c r="AB246" s="45"/>
      <c r="AC246" s="45"/>
      <c r="AD246" s="45"/>
      <c r="AE246" s="45"/>
      <c r="AF246" s="45"/>
      <c r="AG246" s="45"/>
      <c r="AH246" s="45"/>
      <c r="AI246" s="45"/>
      <c r="AJ246" s="45"/>
      <c r="AK246" s="45"/>
      <c r="AL246" s="45"/>
      <c r="AM246" s="45"/>
      <c r="AN246" s="45"/>
      <c r="AO246" s="45"/>
      <c r="AP246" s="45"/>
      <c r="AQ246" s="45"/>
      <c r="AR246" s="45"/>
      <c r="AS246" s="45"/>
      <c r="AT246" s="45"/>
      <c r="AU246" s="45"/>
      <c r="AV246" s="47"/>
      <c r="AW246" s="48" t="s">
        <v>67</v>
      </c>
      <c r="AX246" s="49" t="s">
        <v>230</v>
      </c>
      <c r="AY246" s="50">
        <f t="shared" si="20"/>
        <v>25.229799999999997</v>
      </c>
      <c r="AZ246" s="50">
        <f t="shared" si="21"/>
        <v>22.7318</v>
      </c>
      <c r="BA246" s="51">
        <f t="shared" si="22"/>
        <v>12.864700000000001</v>
      </c>
    </row>
    <row r="247" spans="1:53" ht="22.5" customHeight="1">
      <c r="A247" s="55" t="s">
        <v>222</v>
      </c>
      <c r="B247" s="42" t="s">
        <v>64</v>
      </c>
      <c r="C247" s="43">
        <v>4017383</v>
      </c>
      <c r="D247" s="56" t="s">
        <v>395</v>
      </c>
      <c r="E247" s="56" t="s">
        <v>399</v>
      </c>
      <c r="F247" s="45">
        <v>1399</v>
      </c>
      <c r="G247" s="45">
        <v>1249</v>
      </c>
      <c r="H247" s="45">
        <v>1249</v>
      </c>
      <c r="I247" s="45">
        <v>1249</v>
      </c>
      <c r="J247" s="45">
        <v>1149</v>
      </c>
      <c r="K247" s="45">
        <v>949</v>
      </c>
      <c r="L247" s="45">
        <v>949</v>
      </c>
      <c r="M247" s="45">
        <v>1149</v>
      </c>
      <c r="N247" s="45">
        <v>949</v>
      </c>
      <c r="O247" s="45">
        <v>899</v>
      </c>
      <c r="P247" s="46">
        <v>899</v>
      </c>
      <c r="Q247" s="46">
        <v>899</v>
      </c>
      <c r="R247" s="45">
        <v>899</v>
      </c>
      <c r="S247" s="45">
        <v>899</v>
      </c>
      <c r="T247" s="45">
        <v>899</v>
      </c>
      <c r="U247" s="45">
        <v>899</v>
      </c>
      <c r="V247" s="45">
        <v>899</v>
      </c>
      <c r="W247" s="45">
        <v>899</v>
      </c>
      <c r="X247" s="45">
        <v>899</v>
      </c>
      <c r="Y247" s="45">
        <v>799</v>
      </c>
      <c r="Z247" s="45">
        <v>799</v>
      </c>
      <c r="AA247" s="45">
        <v>799</v>
      </c>
      <c r="AB247" s="45"/>
      <c r="AC247" s="45"/>
      <c r="AD247" s="45"/>
      <c r="AE247" s="45"/>
      <c r="AF247" s="45"/>
      <c r="AG247" s="45"/>
      <c r="AH247" s="45"/>
      <c r="AI247" s="45"/>
      <c r="AJ247" s="45"/>
      <c r="AK247" s="45"/>
      <c r="AL247" s="45"/>
      <c r="AM247" s="45"/>
      <c r="AN247" s="45"/>
      <c r="AO247" s="45"/>
      <c r="AP247" s="45"/>
      <c r="AQ247" s="45"/>
      <c r="AR247" s="45"/>
      <c r="AS247" s="45"/>
      <c r="AT247" s="45"/>
      <c r="AU247" s="45"/>
      <c r="AV247" s="47"/>
      <c r="AW247" s="48" t="s">
        <v>67</v>
      </c>
      <c r="AX247" s="49" t="s">
        <v>230</v>
      </c>
      <c r="AY247" s="50">
        <f t="shared" si="20"/>
        <v>25.229799999999997</v>
      </c>
      <c r="AZ247" s="50">
        <f t="shared" si="21"/>
        <v>22.7318</v>
      </c>
      <c r="BA247" s="51">
        <f t="shared" si="22"/>
        <v>12.864700000000001</v>
      </c>
    </row>
    <row r="248" spans="1:53" ht="22.5" customHeight="1">
      <c r="A248" s="55" t="s">
        <v>222</v>
      </c>
      <c r="B248" s="42" t="s">
        <v>64</v>
      </c>
      <c r="C248" s="43">
        <v>4017358</v>
      </c>
      <c r="D248" s="56" t="s">
        <v>400</v>
      </c>
      <c r="E248" s="56" t="s">
        <v>401</v>
      </c>
      <c r="F248" s="45">
        <v>1699</v>
      </c>
      <c r="G248" s="45">
        <v>1299</v>
      </c>
      <c r="H248" s="45">
        <v>1299</v>
      </c>
      <c r="I248" s="45">
        <v>1299</v>
      </c>
      <c r="J248" s="45">
        <v>1199</v>
      </c>
      <c r="K248" s="45">
        <v>1049</v>
      </c>
      <c r="L248" s="45">
        <v>1049</v>
      </c>
      <c r="M248" s="45">
        <v>1199</v>
      </c>
      <c r="N248" s="45">
        <v>1049</v>
      </c>
      <c r="O248" s="45">
        <v>999</v>
      </c>
      <c r="P248" s="46">
        <v>999</v>
      </c>
      <c r="Q248" s="46">
        <v>999</v>
      </c>
      <c r="R248" s="45">
        <v>999</v>
      </c>
      <c r="S248" s="45">
        <v>999</v>
      </c>
      <c r="T248" s="45">
        <v>999</v>
      </c>
      <c r="U248" s="45">
        <v>999</v>
      </c>
      <c r="V248" s="45">
        <v>999</v>
      </c>
      <c r="W248" s="45">
        <v>999</v>
      </c>
      <c r="X248" s="45">
        <v>999</v>
      </c>
      <c r="Y248" s="45">
        <v>899</v>
      </c>
      <c r="Z248" s="45">
        <v>899</v>
      </c>
      <c r="AA248" s="45">
        <v>899</v>
      </c>
      <c r="AB248" s="45"/>
      <c r="AC248" s="45"/>
      <c r="AD248" s="45"/>
      <c r="AE248" s="45"/>
      <c r="AF248" s="45"/>
      <c r="AG248" s="45"/>
      <c r="AH248" s="45"/>
      <c r="AI248" s="45"/>
      <c r="AJ248" s="45"/>
      <c r="AK248" s="45"/>
      <c r="AL248" s="45"/>
      <c r="AM248" s="45"/>
      <c r="AN248" s="45"/>
      <c r="AO248" s="45"/>
      <c r="AP248" s="45"/>
      <c r="AQ248" s="45"/>
      <c r="AR248" s="45"/>
      <c r="AS248" s="45"/>
      <c r="AT248" s="45"/>
      <c r="AU248" s="45"/>
      <c r="AV248" s="47"/>
      <c r="AW248" s="48" t="s">
        <v>67</v>
      </c>
      <c r="AX248" s="49" t="s">
        <v>68</v>
      </c>
      <c r="AY248" s="50">
        <f t="shared" si="20"/>
        <v>26.239799999999999</v>
      </c>
      <c r="AZ248" s="50">
        <f t="shared" si="21"/>
        <v>23.6418</v>
      </c>
      <c r="BA248" s="51">
        <f t="shared" si="22"/>
        <v>13.3797</v>
      </c>
    </row>
    <row r="249" spans="1:53" ht="22.5" customHeight="1">
      <c r="A249" s="55" t="s">
        <v>222</v>
      </c>
      <c r="B249" s="42" t="s">
        <v>64</v>
      </c>
      <c r="C249" s="43">
        <v>4017365</v>
      </c>
      <c r="D249" s="56" t="s">
        <v>400</v>
      </c>
      <c r="E249" s="56" t="s">
        <v>402</v>
      </c>
      <c r="F249" s="45">
        <v>1699</v>
      </c>
      <c r="G249" s="45">
        <v>1299</v>
      </c>
      <c r="H249" s="45">
        <v>1299</v>
      </c>
      <c r="I249" s="45">
        <v>1299</v>
      </c>
      <c r="J249" s="45">
        <v>1199</v>
      </c>
      <c r="K249" s="45">
        <v>1049</v>
      </c>
      <c r="L249" s="45">
        <v>1049</v>
      </c>
      <c r="M249" s="45">
        <v>1199</v>
      </c>
      <c r="N249" s="45">
        <v>1049</v>
      </c>
      <c r="O249" s="45">
        <v>999</v>
      </c>
      <c r="P249" s="46">
        <v>999</v>
      </c>
      <c r="Q249" s="46">
        <v>999</v>
      </c>
      <c r="R249" s="45">
        <v>999</v>
      </c>
      <c r="S249" s="45">
        <v>999</v>
      </c>
      <c r="T249" s="45">
        <v>999</v>
      </c>
      <c r="U249" s="45">
        <v>999</v>
      </c>
      <c r="V249" s="45">
        <v>999</v>
      </c>
      <c r="W249" s="45">
        <v>999</v>
      </c>
      <c r="X249" s="45">
        <v>999</v>
      </c>
      <c r="Y249" s="45">
        <v>899</v>
      </c>
      <c r="Z249" s="45">
        <v>899</v>
      </c>
      <c r="AA249" s="45">
        <v>899</v>
      </c>
      <c r="AB249" s="45"/>
      <c r="AC249" s="45"/>
      <c r="AD249" s="45"/>
      <c r="AE249" s="45"/>
      <c r="AF249" s="45"/>
      <c r="AG249" s="45"/>
      <c r="AH249" s="45"/>
      <c r="AI249" s="45"/>
      <c r="AJ249" s="45"/>
      <c r="AK249" s="45"/>
      <c r="AL249" s="45"/>
      <c r="AM249" s="45"/>
      <c r="AN249" s="45"/>
      <c r="AO249" s="45"/>
      <c r="AP249" s="45"/>
      <c r="AQ249" s="45"/>
      <c r="AR249" s="45"/>
      <c r="AS249" s="45"/>
      <c r="AT249" s="45"/>
      <c r="AU249" s="45"/>
      <c r="AV249" s="47"/>
      <c r="AW249" s="48" t="s">
        <v>67</v>
      </c>
      <c r="AX249" s="49" t="s">
        <v>68</v>
      </c>
      <c r="AY249" s="50">
        <f t="shared" si="20"/>
        <v>26.239799999999999</v>
      </c>
      <c r="AZ249" s="50">
        <f t="shared" si="21"/>
        <v>23.6418</v>
      </c>
      <c r="BA249" s="51">
        <f t="shared" si="22"/>
        <v>13.3797</v>
      </c>
    </row>
    <row r="250" spans="1:53" ht="22.5" customHeight="1">
      <c r="A250" s="55" t="s">
        <v>222</v>
      </c>
      <c r="B250" s="42" t="s">
        <v>64</v>
      </c>
      <c r="C250" s="43">
        <v>4017378</v>
      </c>
      <c r="D250" s="56" t="s">
        <v>400</v>
      </c>
      <c r="E250" s="56" t="s">
        <v>403</v>
      </c>
      <c r="F250" s="45">
        <v>1699</v>
      </c>
      <c r="G250" s="45">
        <v>1299</v>
      </c>
      <c r="H250" s="45">
        <v>1299</v>
      </c>
      <c r="I250" s="45">
        <v>1299</v>
      </c>
      <c r="J250" s="45">
        <v>1199</v>
      </c>
      <c r="K250" s="45">
        <v>1049</v>
      </c>
      <c r="L250" s="45">
        <v>1049</v>
      </c>
      <c r="M250" s="45">
        <v>1199</v>
      </c>
      <c r="N250" s="45">
        <v>1049</v>
      </c>
      <c r="O250" s="45">
        <v>999</v>
      </c>
      <c r="P250" s="46">
        <v>999</v>
      </c>
      <c r="Q250" s="46">
        <v>999</v>
      </c>
      <c r="R250" s="45">
        <v>999</v>
      </c>
      <c r="S250" s="45">
        <v>999</v>
      </c>
      <c r="T250" s="45">
        <v>999</v>
      </c>
      <c r="U250" s="45">
        <v>999</v>
      </c>
      <c r="V250" s="45">
        <v>999</v>
      </c>
      <c r="W250" s="45">
        <v>999</v>
      </c>
      <c r="X250" s="45">
        <v>999</v>
      </c>
      <c r="Y250" s="45">
        <v>899</v>
      </c>
      <c r="Z250" s="45">
        <v>899</v>
      </c>
      <c r="AA250" s="45">
        <v>899</v>
      </c>
      <c r="AB250" s="45"/>
      <c r="AC250" s="45"/>
      <c r="AD250" s="45"/>
      <c r="AE250" s="45"/>
      <c r="AF250" s="45"/>
      <c r="AG250" s="45"/>
      <c r="AH250" s="45"/>
      <c r="AI250" s="45"/>
      <c r="AJ250" s="45"/>
      <c r="AK250" s="45"/>
      <c r="AL250" s="45"/>
      <c r="AM250" s="45"/>
      <c r="AN250" s="45"/>
      <c r="AO250" s="45"/>
      <c r="AP250" s="45"/>
      <c r="AQ250" s="45"/>
      <c r="AR250" s="45"/>
      <c r="AS250" s="45"/>
      <c r="AT250" s="45"/>
      <c r="AU250" s="45"/>
      <c r="AV250" s="47"/>
      <c r="AW250" s="48" t="s">
        <v>67</v>
      </c>
      <c r="AX250" s="49" t="s">
        <v>68</v>
      </c>
      <c r="AY250" s="50">
        <f t="shared" si="20"/>
        <v>26.239799999999999</v>
      </c>
      <c r="AZ250" s="50">
        <f t="shared" si="21"/>
        <v>23.6418</v>
      </c>
      <c r="BA250" s="51">
        <f t="shared" si="22"/>
        <v>13.3797</v>
      </c>
    </row>
    <row r="251" spans="1:53" ht="22.5" customHeight="1">
      <c r="A251" s="55" t="s">
        <v>222</v>
      </c>
      <c r="B251" s="42" t="s">
        <v>64</v>
      </c>
      <c r="C251" s="43">
        <v>4017384</v>
      </c>
      <c r="D251" s="56" t="s">
        <v>400</v>
      </c>
      <c r="E251" s="56" t="s">
        <v>404</v>
      </c>
      <c r="F251" s="45">
        <v>1699</v>
      </c>
      <c r="G251" s="45">
        <v>1299</v>
      </c>
      <c r="H251" s="45">
        <v>1299</v>
      </c>
      <c r="I251" s="45">
        <v>1299</v>
      </c>
      <c r="J251" s="45">
        <v>1199</v>
      </c>
      <c r="K251" s="45">
        <v>1049</v>
      </c>
      <c r="L251" s="45">
        <v>1049</v>
      </c>
      <c r="M251" s="45">
        <v>1199</v>
      </c>
      <c r="N251" s="45">
        <v>1049</v>
      </c>
      <c r="O251" s="45">
        <v>999</v>
      </c>
      <c r="P251" s="46">
        <v>999</v>
      </c>
      <c r="Q251" s="46">
        <v>999</v>
      </c>
      <c r="R251" s="45">
        <v>999</v>
      </c>
      <c r="S251" s="45">
        <v>999</v>
      </c>
      <c r="T251" s="45">
        <v>999</v>
      </c>
      <c r="U251" s="45">
        <v>999</v>
      </c>
      <c r="V251" s="45">
        <v>999</v>
      </c>
      <c r="W251" s="45">
        <v>999</v>
      </c>
      <c r="X251" s="45">
        <v>999</v>
      </c>
      <c r="Y251" s="45">
        <v>899</v>
      </c>
      <c r="Z251" s="45">
        <v>899</v>
      </c>
      <c r="AA251" s="45">
        <v>899</v>
      </c>
      <c r="AB251" s="45"/>
      <c r="AC251" s="45"/>
      <c r="AD251" s="45"/>
      <c r="AE251" s="45"/>
      <c r="AF251" s="45"/>
      <c r="AG251" s="45"/>
      <c r="AH251" s="45"/>
      <c r="AI251" s="45"/>
      <c r="AJ251" s="45"/>
      <c r="AK251" s="45"/>
      <c r="AL251" s="45"/>
      <c r="AM251" s="45"/>
      <c r="AN251" s="45"/>
      <c r="AO251" s="45"/>
      <c r="AP251" s="45"/>
      <c r="AQ251" s="45"/>
      <c r="AR251" s="45"/>
      <c r="AS251" s="45"/>
      <c r="AT251" s="45"/>
      <c r="AU251" s="45"/>
      <c r="AV251" s="47"/>
      <c r="AW251" s="48" t="s">
        <v>67</v>
      </c>
      <c r="AX251" s="49" t="s">
        <v>68</v>
      </c>
      <c r="AY251" s="50">
        <f t="shared" si="20"/>
        <v>26.239799999999999</v>
      </c>
      <c r="AZ251" s="50">
        <f t="shared" si="21"/>
        <v>23.6418</v>
      </c>
      <c r="BA251" s="51">
        <f t="shared" si="22"/>
        <v>13.3797</v>
      </c>
    </row>
    <row r="252" spans="1:53" ht="22.5" customHeight="1">
      <c r="A252" s="55" t="s">
        <v>222</v>
      </c>
      <c r="B252" s="42" t="s">
        <v>64</v>
      </c>
      <c r="C252" s="43">
        <v>4017371</v>
      </c>
      <c r="D252" s="56" t="s">
        <v>400</v>
      </c>
      <c r="E252" s="56" t="s">
        <v>405</v>
      </c>
      <c r="F252" s="45">
        <v>1699</v>
      </c>
      <c r="G252" s="45">
        <v>1299</v>
      </c>
      <c r="H252" s="45">
        <v>1299</v>
      </c>
      <c r="I252" s="45">
        <v>1299</v>
      </c>
      <c r="J252" s="45">
        <v>1199</v>
      </c>
      <c r="K252" s="45">
        <v>1049</v>
      </c>
      <c r="L252" s="45">
        <v>1049</v>
      </c>
      <c r="M252" s="45">
        <v>1199</v>
      </c>
      <c r="N252" s="45">
        <v>1049</v>
      </c>
      <c r="O252" s="45">
        <v>999</v>
      </c>
      <c r="P252" s="46">
        <v>999</v>
      </c>
      <c r="Q252" s="46">
        <v>999</v>
      </c>
      <c r="R252" s="45">
        <v>999</v>
      </c>
      <c r="S252" s="45">
        <v>999</v>
      </c>
      <c r="T252" s="45">
        <v>999</v>
      </c>
      <c r="U252" s="45">
        <v>999</v>
      </c>
      <c r="V252" s="45">
        <v>999</v>
      </c>
      <c r="W252" s="45">
        <v>999</v>
      </c>
      <c r="X252" s="45">
        <v>999</v>
      </c>
      <c r="Y252" s="45">
        <v>899</v>
      </c>
      <c r="Z252" s="45">
        <v>899</v>
      </c>
      <c r="AA252" s="45">
        <v>899</v>
      </c>
      <c r="AB252" s="45"/>
      <c r="AC252" s="45"/>
      <c r="AD252" s="45"/>
      <c r="AE252" s="45"/>
      <c r="AF252" s="45"/>
      <c r="AG252" s="45"/>
      <c r="AH252" s="45"/>
      <c r="AI252" s="45"/>
      <c r="AJ252" s="45"/>
      <c r="AK252" s="45"/>
      <c r="AL252" s="45"/>
      <c r="AM252" s="45"/>
      <c r="AN252" s="45"/>
      <c r="AO252" s="45"/>
      <c r="AP252" s="45"/>
      <c r="AQ252" s="45"/>
      <c r="AR252" s="45"/>
      <c r="AS252" s="45"/>
      <c r="AT252" s="45"/>
      <c r="AU252" s="45"/>
      <c r="AV252" s="47"/>
      <c r="AW252" s="48" t="s">
        <v>67</v>
      </c>
      <c r="AX252" s="49" t="s">
        <v>68</v>
      </c>
      <c r="AY252" s="50">
        <f t="shared" si="20"/>
        <v>26.239799999999999</v>
      </c>
      <c r="AZ252" s="50">
        <f t="shared" si="21"/>
        <v>23.6418</v>
      </c>
      <c r="BA252" s="51">
        <f t="shared" si="22"/>
        <v>13.3797</v>
      </c>
    </row>
    <row r="253" spans="1:53" ht="22.5" customHeight="1">
      <c r="A253" s="55" t="s">
        <v>222</v>
      </c>
      <c r="B253" s="42" t="s">
        <v>64</v>
      </c>
      <c r="C253" s="43">
        <v>4017350</v>
      </c>
      <c r="D253" s="56" t="s">
        <v>400</v>
      </c>
      <c r="E253" s="56" t="s">
        <v>406</v>
      </c>
      <c r="F253" s="45">
        <v>1699</v>
      </c>
      <c r="G253" s="45">
        <v>1299</v>
      </c>
      <c r="H253" s="45">
        <v>1299</v>
      </c>
      <c r="I253" s="45">
        <v>1299</v>
      </c>
      <c r="J253" s="45">
        <v>1199</v>
      </c>
      <c r="K253" s="45">
        <v>1049</v>
      </c>
      <c r="L253" s="45">
        <v>1049</v>
      </c>
      <c r="M253" s="45">
        <v>1199</v>
      </c>
      <c r="N253" s="45">
        <v>1049</v>
      </c>
      <c r="O253" s="45">
        <v>999</v>
      </c>
      <c r="P253" s="46">
        <v>999</v>
      </c>
      <c r="Q253" s="46">
        <v>999</v>
      </c>
      <c r="R253" s="45">
        <v>999</v>
      </c>
      <c r="S253" s="45">
        <v>999</v>
      </c>
      <c r="T253" s="45">
        <v>999</v>
      </c>
      <c r="U253" s="45">
        <v>999</v>
      </c>
      <c r="V253" s="45">
        <v>999</v>
      </c>
      <c r="W253" s="45">
        <v>999</v>
      </c>
      <c r="X253" s="45">
        <v>999</v>
      </c>
      <c r="Y253" s="45">
        <v>899</v>
      </c>
      <c r="Z253" s="45">
        <v>899</v>
      </c>
      <c r="AA253" s="45">
        <v>899</v>
      </c>
      <c r="AB253" s="45"/>
      <c r="AC253" s="45"/>
      <c r="AD253" s="45"/>
      <c r="AE253" s="45"/>
      <c r="AF253" s="45"/>
      <c r="AG253" s="45"/>
      <c r="AH253" s="45"/>
      <c r="AI253" s="45"/>
      <c r="AJ253" s="45"/>
      <c r="AK253" s="45"/>
      <c r="AL253" s="45"/>
      <c r="AM253" s="45"/>
      <c r="AN253" s="45"/>
      <c r="AO253" s="45"/>
      <c r="AP253" s="45"/>
      <c r="AQ253" s="45"/>
      <c r="AR253" s="45"/>
      <c r="AS253" s="45"/>
      <c r="AT253" s="45"/>
      <c r="AU253" s="45"/>
      <c r="AV253" s="47"/>
      <c r="AW253" s="48" t="s">
        <v>67</v>
      </c>
      <c r="AX253" s="49" t="s">
        <v>68</v>
      </c>
      <c r="AY253" s="50">
        <f t="shared" si="20"/>
        <v>26.239799999999999</v>
      </c>
      <c r="AZ253" s="50">
        <f t="shared" si="21"/>
        <v>23.6418</v>
      </c>
      <c r="BA253" s="51">
        <f t="shared" si="22"/>
        <v>13.3797</v>
      </c>
    </row>
    <row r="254" spans="1:53" ht="22.5" customHeight="1">
      <c r="A254" s="55" t="s">
        <v>222</v>
      </c>
      <c r="B254" s="42" t="s">
        <v>64</v>
      </c>
      <c r="C254" s="43">
        <v>4017360</v>
      </c>
      <c r="D254" s="56" t="s">
        <v>400</v>
      </c>
      <c r="E254" s="56" t="s">
        <v>407</v>
      </c>
      <c r="F254" s="45">
        <v>1699</v>
      </c>
      <c r="G254" s="45">
        <v>1299</v>
      </c>
      <c r="H254" s="45">
        <v>1299</v>
      </c>
      <c r="I254" s="45">
        <v>1299</v>
      </c>
      <c r="J254" s="45">
        <v>1199</v>
      </c>
      <c r="K254" s="45">
        <v>1049</v>
      </c>
      <c r="L254" s="45">
        <v>1049</v>
      </c>
      <c r="M254" s="45">
        <v>1199</v>
      </c>
      <c r="N254" s="45">
        <v>1049</v>
      </c>
      <c r="O254" s="45">
        <v>999</v>
      </c>
      <c r="P254" s="46">
        <v>999</v>
      </c>
      <c r="Q254" s="46">
        <v>999</v>
      </c>
      <c r="R254" s="45">
        <v>999</v>
      </c>
      <c r="S254" s="45">
        <v>999</v>
      </c>
      <c r="T254" s="45">
        <v>999</v>
      </c>
      <c r="U254" s="45">
        <v>999</v>
      </c>
      <c r="V254" s="45">
        <v>999</v>
      </c>
      <c r="W254" s="45">
        <v>999</v>
      </c>
      <c r="X254" s="45">
        <v>999</v>
      </c>
      <c r="Y254" s="45">
        <v>899</v>
      </c>
      <c r="Z254" s="45">
        <v>899</v>
      </c>
      <c r="AA254" s="45">
        <v>899</v>
      </c>
      <c r="AB254" s="45"/>
      <c r="AC254" s="45"/>
      <c r="AD254" s="45"/>
      <c r="AE254" s="45"/>
      <c r="AF254" s="45"/>
      <c r="AG254" s="45"/>
      <c r="AH254" s="45"/>
      <c r="AI254" s="45"/>
      <c r="AJ254" s="45"/>
      <c r="AK254" s="45"/>
      <c r="AL254" s="45"/>
      <c r="AM254" s="45"/>
      <c r="AN254" s="45"/>
      <c r="AO254" s="45"/>
      <c r="AP254" s="45"/>
      <c r="AQ254" s="45"/>
      <c r="AR254" s="45"/>
      <c r="AS254" s="45"/>
      <c r="AT254" s="45"/>
      <c r="AU254" s="45"/>
      <c r="AV254" s="47"/>
      <c r="AW254" s="48" t="s">
        <v>67</v>
      </c>
      <c r="AX254" s="49" t="s">
        <v>68</v>
      </c>
      <c r="AY254" s="50">
        <f t="shared" si="20"/>
        <v>26.239799999999999</v>
      </c>
      <c r="AZ254" s="50">
        <f t="shared" si="21"/>
        <v>23.6418</v>
      </c>
      <c r="BA254" s="51">
        <f t="shared" si="22"/>
        <v>13.3797</v>
      </c>
    </row>
    <row r="255" spans="1:53" ht="22.5" customHeight="1">
      <c r="A255" s="55" t="s">
        <v>222</v>
      </c>
      <c r="B255" s="42" t="s">
        <v>64</v>
      </c>
      <c r="C255" s="43">
        <v>4017352</v>
      </c>
      <c r="D255" s="56" t="s">
        <v>400</v>
      </c>
      <c r="E255" s="56" t="s">
        <v>408</v>
      </c>
      <c r="F255" s="45">
        <v>1699</v>
      </c>
      <c r="G255" s="45">
        <v>1299</v>
      </c>
      <c r="H255" s="45">
        <v>1299</v>
      </c>
      <c r="I255" s="45">
        <v>1299</v>
      </c>
      <c r="J255" s="45">
        <v>1199</v>
      </c>
      <c r="K255" s="45">
        <v>1049</v>
      </c>
      <c r="L255" s="45">
        <v>1049</v>
      </c>
      <c r="M255" s="45">
        <v>1199</v>
      </c>
      <c r="N255" s="45">
        <v>1049</v>
      </c>
      <c r="O255" s="45">
        <v>999</v>
      </c>
      <c r="P255" s="46">
        <v>999</v>
      </c>
      <c r="Q255" s="46">
        <v>999</v>
      </c>
      <c r="R255" s="45">
        <v>999</v>
      </c>
      <c r="S255" s="45">
        <v>999</v>
      </c>
      <c r="T255" s="45">
        <v>999</v>
      </c>
      <c r="U255" s="45">
        <v>999</v>
      </c>
      <c r="V255" s="45">
        <v>999</v>
      </c>
      <c r="W255" s="45">
        <v>999</v>
      </c>
      <c r="X255" s="45">
        <v>999</v>
      </c>
      <c r="Y255" s="45">
        <v>899</v>
      </c>
      <c r="Z255" s="45">
        <v>899</v>
      </c>
      <c r="AA255" s="45">
        <v>899</v>
      </c>
      <c r="AB255" s="45"/>
      <c r="AC255" s="45"/>
      <c r="AD255" s="45"/>
      <c r="AE255" s="45"/>
      <c r="AF255" s="45"/>
      <c r="AG255" s="45"/>
      <c r="AH255" s="45"/>
      <c r="AI255" s="45"/>
      <c r="AJ255" s="45"/>
      <c r="AK255" s="45"/>
      <c r="AL255" s="45"/>
      <c r="AM255" s="45"/>
      <c r="AN255" s="45"/>
      <c r="AO255" s="45"/>
      <c r="AP255" s="45"/>
      <c r="AQ255" s="45"/>
      <c r="AR255" s="45"/>
      <c r="AS255" s="45"/>
      <c r="AT255" s="45"/>
      <c r="AU255" s="45"/>
      <c r="AV255" s="47"/>
      <c r="AW255" s="48" t="s">
        <v>67</v>
      </c>
      <c r="AX255" s="49" t="s">
        <v>68</v>
      </c>
      <c r="AY255" s="50">
        <f t="shared" si="20"/>
        <v>26.239799999999999</v>
      </c>
      <c r="AZ255" s="50">
        <f t="shared" si="21"/>
        <v>23.6418</v>
      </c>
      <c r="BA255" s="51">
        <f t="shared" si="22"/>
        <v>13.3797</v>
      </c>
    </row>
    <row r="256" spans="1:53" ht="22.5" customHeight="1">
      <c r="A256" s="55" t="s">
        <v>222</v>
      </c>
      <c r="B256" s="42" t="s">
        <v>64</v>
      </c>
      <c r="C256" s="43">
        <v>4017359</v>
      </c>
      <c r="D256" s="56" t="s">
        <v>409</v>
      </c>
      <c r="E256" s="56" t="s">
        <v>410</v>
      </c>
      <c r="F256" s="45">
        <v>1849</v>
      </c>
      <c r="G256" s="45">
        <v>1499</v>
      </c>
      <c r="H256" s="45">
        <v>1499</v>
      </c>
      <c r="I256" s="45">
        <v>1499</v>
      </c>
      <c r="J256" s="45">
        <v>1399</v>
      </c>
      <c r="K256" s="45">
        <v>1399</v>
      </c>
      <c r="L256" s="45">
        <v>1399</v>
      </c>
      <c r="M256" s="45">
        <v>1399</v>
      </c>
      <c r="N256" s="45">
        <v>1399</v>
      </c>
      <c r="O256" s="45">
        <v>1349</v>
      </c>
      <c r="P256" s="46">
        <v>1349</v>
      </c>
      <c r="Q256" s="46">
        <v>1299</v>
      </c>
      <c r="R256" s="45">
        <v>1349</v>
      </c>
      <c r="S256" s="45">
        <v>1349</v>
      </c>
      <c r="T256" s="45">
        <v>1299</v>
      </c>
      <c r="U256" s="45">
        <v>1299</v>
      </c>
      <c r="V256" s="45">
        <v>1299</v>
      </c>
      <c r="W256" s="45">
        <v>1299</v>
      </c>
      <c r="X256" s="45">
        <v>1199</v>
      </c>
      <c r="Y256" s="45">
        <v>1099</v>
      </c>
      <c r="Z256" s="45">
        <v>1099</v>
      </c>
      <c r="AA256" s="45">
        <v>1099</v>
      </c>
      <c r="AB256" s="45"/>
      <c r="AC256" s="45"/>
      <c r="AD256" s="45"/>
      <c r="AE256" s="45"/>
      <c r="AF256" s="45"/>
      <c r="AG256" s="45"/>
      <c r="AH256" s="45"/>
      <c r="AI256" s="45"/>
      <c r="AJ256" s="45"/>
      <c r="AK256" s="45"/>
      <c r="AL256" s="45"/>
      <c r="AM256" s="45"/>
      <c r="AN256" s="45"/>
      <c r="AO256" s="45"/>
      <c r="AP256" s="45"/>
      <c r="AQ256" s="45"/>
      <c r="AR256" s="45"/>
      <c r="AS256" s="45"/>
      <c r="AT256" s="45"/>
      <c r="AU256" s="45"/>
      <c r="AV256" s="47"/>
      <c r="AW256" s="48" t="s">
        <v>67</v>
      </c>
      <c r="AX256" s="49" t="s">
        <v>68</v>
      </c>
      <c r="AY256" s="50">
        <f t="shared" si="20"/>
        <v>30.279799999999998</v>
      </c>
      <c r="AZ256" s="50">
        <f t="shared" si="21"/>
        <v>27.2818</v>
      </c>
      <c r="BA256" s="51">
        <f t="shared" si="22"/>
        <v>15.4397</v>
      </c>
    </row>
    <row r="257" spans="1:53" ht="22.5" customHeight="1">
      <c r="A257" s="55" t="s">
        <v>222</v>
      </c>
      <c r="B257" s="42" t="s">
        <v>64</v>
      </c>
      <c r="C257" s="43">
        <v>4017366</v>
      </c>
      <c r="D257" s="56" t="s">
        <v>409</v>
      </c>
      <c r="E257" s="56" t="s">
        <v>411</v>
      </c>
      <c r="F257" s="45">
        <v>1849</v>
      </c>
      <c r="G257" s="45">
        <v>1499</v>
      </c>
      <c r="H257" s="45">
        <v>1499</v>
      </c>
      <c r="I257" s="45">
        <v>1499</v>
      </c>
      <c r="J257" s="45">
        <v>1399</v>
      </c>
      <c r="K257" s="45">
        <v>1399</v>
      </c>
      <c r="L257" s="45">
        <v>1399</v>
      </c>
      <c r="M257" s="45">
        <v>1399</v>
      </c>
      <c r="N257" s="45">
        <v>1399</v>
      </c>
      <c r="O257" s="45">
        <v>1349</v>
      </c>
      <c r="P257" s="46">
        <v>1349</v>
      </c>
      <c r="Q257" s="46">
        <v>1299</v>
      </c>
      <c r="R257" s="45">
        <v>1349</v>
      </c>
      <c r="S257" s="45">
        <v>1349</v>
      </c>
      <c r="T257" s="45">
        <v>1299</v>
      </c>
      <c r="U257" s="45">
        <v>1299</v>
      </c>
      <c r="V257" s="45">
        <v>1299</v>
      </c>
      <c r="W257" s="45">
        <v>1299</v>
      </c>
      <c r="X257" s="45">
        <v>1199</v>
      </c>
      <c r="Y257" s="45">
        <v>1099</v>
      </c>
      <c r="Z257" s="45">
        <v>1099</v>
      </c>
      <c r="AA257" s="45">
        <v>1099</v>
      </c>
      <c r="AB257" s="45"/>
      <c r="AC257" s="45"/>
      <c r="AD257" s="45"/>
      <c r="AE257" s="45"/>
      <c r="AF257" s="45"/>
      <c r="AG257" s="45"/>
      <c r="AH257" s="45"/>
      <c r="AI257" s="45"/>
      <c r="AJ257" s="45"/>
      <c r="AK257" s="45"/>
      <c r="AL257" s="45"/>
      <c r="AM257" s="45"/>
      <c r="AN257" s="45"/>
      <c r="AO257" s="45"/>
      <c r="AP257" s="45"/>
      <c r="AQ257" s="45"/>
      <c r="AR257" s="45"/>
      <c r="AS257" s="45"/>
      <c r="AT257" s="45"/>
      <c r="AU257" s="45"/>
      <c r="AV257" s="47"/>
      <c r="AW257" s="48" t="s">
        <v>67</v>
      </c>
      <c r="AX257" s="49" t="s">
        <v>68</v>
      </c>
      <c r="AY257" s="50">
        <f t="shared" si="20"/>
        <v>30.279799999999998</v>
      </c>
      <c r="AZ257" s="50">
        <f t="shared" si="21"/>
        <v>27.2818</v>
      </c>
      <c r="BA257" s="51">
        <f t="shared" si="22"/>
        <v>15.4397</v>
      </c>
    </row>
    <row r="258" spans="1:53" ht="22.5" customHeight="1">
      <c r="A258" s="55" t="s">
        <v>222</v>
      </c>
      <c r="B258" s="42" t="s">
        <v>64</v>
      </c>
      <c r="C258" s="43">
        <v>4017379</v>
      </c>
      <c r="D258" s="56" t="s">
        <v>409</v>
      </c>
      <c r="E258" s="56" t="s">
        <v>412</v>
      </c>
      <c r="F258" s="45">
        <v>1849</v>
      </c>
      <c r="G258" s="45">
        <v>1499</v>
      </c>
      <c r="H258" s="45">
        <v>1499</v>
      </c>
      <c r="I258" s="45">
        <v>1499</v>
      </c>
      <c r="J258" s="45">
        <v>1399</v>
      </c>
      <c r="K258" s="45">
        <v>1399</v>
      </c>
      <c r="L258" s="45">
        <v>1399</v>
      </c>
      <c r="M258" s="45">
        <v>1399</v>
      </c>
      <c r="N258" s="45">
        <v>1399</v>
      </c>
      <c r="O258" s="45">
        <v>1349</v>
      </c>
      <c r="P258" s="46">
        <v>1349</v>
      </c>
      <c r="Q258" s="46">
        <v>1299</v>
      </c>
      <c r="R258" s="45">
        <v>1349</v>
      </c>
      <c r="S258" s="45">
        <v>1349</v>
      </c>
      <c r="T258" s="45">
        <v>1299</v>
      </c>
      <c r="U258" s="45">
        <v>1299</v>
      </c>
      <c r="V258" s="45">
        <v>1299</v>
      </c>
      <c r="W258" s="45">
        <v>1299</v>
      </c>
      <c r="X258" s="45">
        <v>1199</v>
      </c>
      <c r="Y258" s="45">
        <v>1099</v>
      </c>
      <c r="Z258" s="45">
        <v>1099</v>
      </c>
      <c r="AA258" s="45">
        <v>1099</v>
      </c>
      <c r="AB258" s="45"/>
      <c r="AC258" s="45"/>
      <c r="AD258" s="45"/>
      <c r="AE258" s="45"/>
      <c r="AF258" s="45"/>
      <c r="AG258" s="45"/>
      <c r="AH258" s="45"/>
      <c r="AI258" s="45"/>
      <c r="AJ258" s="45"/>
      <c r="AK258" s="45"/>
      <c r="AL258" s="45"/>
      <c r="AM258" s="45"/>
      <c r="AN258" s="45"/>
      <c r="AO258" s="45"/>
      <c r="AP258" s="45"/>
      <c r="AQ258" s="45"/>
      <c r="AR258" s="45"/>
      <c r="AS258" s="45"/>
      <c r="AT258" s="45"/>
      <c r="AU258" s="45"/>
      <c r="AV258" s="47"/>
      <c r="AW258" s="48" t="s">
        <v>67</v>
      </c>
      <c r="AX258" s="49" t="s">
        <v>68</v>
      </c>
      <c r="AY258" s="50">
        <f t="shared" si="20"/>
        <v>30.279799999999998</v>
      </c>
      <c r="AZ258" s="50">
        <f t="shared" si="21"/>
        <v>27.2818</v>
      </c>
      <c r="BA258" s="51">
        <f t="shared" si="22"/>
        <v>15.4397</v>
      </c>
    </row>
    <row r="259" spans="1:53" ht="22.5" customHeight="1">
      <c r="A259" s="55" t="s">
        <v>222</v>
      </c>
      <c r="B259" s="42" t="s">
        <v>64</v>
      </c>
      <c r="C259" s="43">
        <v>4017385</v>
      </c>
      <c r="D259" s="56" t="s">
        <v>409</v>
      </c>
      <c r="E259" s="56" t="s">
        <v>413</v>
      </c>
      <c r="F259" s="45">
        <v>1849</v>
      </c>
      <c r="G259" s="45">
        <v>1499</v>
      </c>
      <c r="H259" s="45">
        <v>1499</v>
      </c>
      <c r="I259" s="45">
        <v>1499</v>
      </c>
      <c r="J259" s="45">
        <v>1399</v>
      </c>
      <c r="K259" s="45">
        <v>1399</v>
      </c>
      <c r="L259" s="45">
        <v>1399</v>
      </c>
      <c r="M259" s="45">
        <v>1399</v>
      </c>
      <c r="N259" s="45">
        <v>1399</v>
      </c>
      <c r="O259" s="45">
        <v>1349</v>
      </c>
      <c r="P259" s="46">
        <v>1349</v>
      </c>
      <c r="Q259" s="46">
        <v>1299</v>
      </c>
      <c r="R259" s="45">
        <v>1349</v>
      </c>
      <c r="S259" s="45">
        <v>1349</v>
      </c>
      <c r="T259" s="45">
        <v>1299</v>
      </c>
      <c r="U259" s="45">
        <v>1299</v>
      </c>
      <c r="V259" s="45">
        <v>1299</v>
      </c>
      <c r="W259" s="45">
        <v>1299</v>
      </c>
      <c r="X259" s="45">
        <v>1199</v>
      </c>
      <c r="Y259" s="45">
        <v>1099</v>
      </c>
      <c r="Z259" s="45">
        <v>1099</v>
      </c>
      <c r="AA259" s="45">
        <v>1099</v>
      </c>
      <c r="AB259" s="45"/>
      <c r="AC259" s="45"/>
      <c r="AD259" s="45"/>
      <c r="AE259" s="45"/>
      <c r="AF259" s="45"/>
      <c r="AG259" s="45"/>
      <c r="AH259" s="45"/>
      <c r="AI259" s="45"/>
      <c r="AJ259" s="45"/>
      <c r="AK259" s="45"/>
      <c r="AL259" s="45"/>
      <c r="AM259" s="45"/>
      <c r="AN259" s="45"/>
      <c r="AO259" s="45"/>
      <c r="AP259" s="45"/>
      <c r="AQ259" s="45"/>
      <c r="AR259" s="45"/>
      <c r="AS259" s="45"/>
      <c r="AT259" s="45"/>
      <c r="AU259" s="45"/>
      <c r="AV259" s="47"/>
      <c r="AW259" s="48" t="s">
        <v>67</v>
      </c>
      <c r="AX259" s="49" t="s">
        <v>68</v>
      </c>
      <c r="AY259" s="50">
        <f t="shared" si="20"/>
        <v>30.279799999999998</v>
      </c>
      <c r="AZ259" s="50">
        <f t="shared" si="21"/>
        <v>27.2818</v>
      </c>
      <c r="BA259" s="51">
        <f t="shared" si="22"/>
        <v>15.4397</v>
      </c>
    </row>
    <row r="260" spans="1:53" ht="22.5" customHeight="1">
      <c r="A260" s="55" t="s">
        <v>222</v>
      </c>
      <c r="B260" s="42" t="s">
        <v>64</v>
      </c>
      <c r="C260" s="43">
        <v>4017372</v>
      </c>
      <c r="D260" s="56" t="s">
        <v>409</v>
      </c>
      <c r="E260" s="56" t="s">
        <v>414</v>
      </c>
      <c r="F260" s="45">
        <v>1849</v>
      </c>
      <c r="G260" s="45">
        <v>1499</v>
      </c>
      <c r="H260" s="45">
        <v>1499</v>
      </c>
      <c r="I260" s="45">
        <v>1499</v>
      </c>
      <c r="J260" s="45">
        <v>1399</v>
      </c>
      <c r="K260" s="45">
        <v>1399</v>
      </c>
      <c r="L260" s="45">
        <v>1399</v>
      </c>
      <c r="M260" s="45">
        <v>1399</v>
      </c>
      <c r="N260" s="45">
        <v>1399</v>
      </c>
      <c r="O260" s="45">
        <v>1349</v>
      </c>
      <c r="P260" s="46">
        <v>1349</v>
      </c>
      <c r="Q260" s="46">
        <v>1299</v>
      </c>
      <c r="R260" s="45">
        <v>1349</v>
      </c>
      <c r="S260" s="45">
        <v>1349</v>
      </c>
      <c r="T260" s="45">
        <v>1299</v>
      </c>
      <c r="U260" s="45">
        <v>1299</v>
      </c>
      <c r="V260" s="45">
        <v>1299</v>
      </c>
      <c r="W260" s="45">
        <v>1299</v>
      </c>
      <c r="X260" s="45">
        <v>1199</v>
      </c>
      <c r="Y260" s="45">
        <v>1099</v>
      </c>
      <c r="Z260" s="45">
        <v>1099</v>
      </c>
      <c r="AA260" s="45">
        <v>1099</v>
      </c>
      <c r="AB260" s="45"/>
      <c r="AC260" s="45"/>
      <c r="AD260" s="45"/>
      <c r="AE260" s="45"/>
      <c r="AF260" s="45"/>
      <c r="AG260" s="45"/>
      <c r="AH260" s="45"/>
      <c r="AI260" s="45"/>
      <c r="AJ260" s="45"/>
      <c r="AK260" s="45"/>
      <c r="AL260" s="45"/>
      <c r="AM260" s="45"/>
      <c r="AN260" s="45"/>
      <c r="AO260" s="45"/>
      <c r="AP260" s="45"/>
      <c r="AQ260" s="45"/>
      <c r="AR260" s="45"/>
      <c r="AS260" s="45"/>
      <c r="AT260" s="45"/>
      <c r="AU260" s="45"/>
      <c r="AV260" s="47"/>
      <c r="AW260" s="48" t="s">
        <v>67</v>
      </c>
      <c r="AX260" s="49" t="s">
        <v>68</v>
      </c>
      <c r="AY260" s="50">
        <f t="shared" si="20"/>
        <v>30.279799999999998</v>
      </c>
      <c r="AZ260" s="50">
        <f t="shared" si="21"/>
        <v>27.2818</v>
      </c>
      <c r="BA260" s="51">
        <f t="shared" si="22"/>
        <v>15.4397</v>
      </c>
    </row>
    <row r="261" spans="1:53" ht="22.5" customHeight="1">
      <c r="A261" s="55" t="s">
        <v>222</v>
      </c>
      <c r="B261" s="42" t="s">
        <v>64</v>
      </c>
      <c r="C261" s="43">
        <v>4014679</v>
      </c>
      <c r="D261" s="56" t="s">
        <v>415</v>
      </c>
      <c r="E261" s="56" t="s">
        <v>416</v>
      </c>
      <c r="F261" s="45">
        <v>799</v>
      </c>
      <c r="G261" s="45">
        <v>599</v>
      </c>
      <c r="H261" s="45">
        <v>599</v>
      </c>
      <c r="I261" s="45">
        <v>599</v>
      </c>
      <c r="J261" s="45">
        <f t="shared" ref="J261:J294" si="24">M261</f>
        <v>499</v>
      </c>
      <c r="K261" s="45">
        <f t="shared" ref="K261:L269" si="25">M261</f>
        <v>499</v>
      </c>
      <c r="L261" s="45">
        <f t="shared" si="25"/>
        <v>499</v>
      </c>
      <c r="M261" s="45">
        <v>499</v>
      </c>
      <c r="N261" s="45">
        <v>499</v>
      </c>
      <c r="O261" s="45">
        <f t="shared" si="23"/>
        <v>449</v>
      </c>
      <c r="P261" s="46">
        <f t="shared" si="23"/>
        <v>449</v>
      </c>
      <c r="Q261" s="46">
        <f t="shared" si="23"/>
        <v>449</v>
      </c>
      <c r="R261" s="45">
        <v>449</v>
      </c>
      <c r="S261" s="45">
        <v>449</v>
      </c>
      <c r="T261" s="45">
        <v>449</v>
      </c>
      <c r="U261" s="45">
        <v>449</v>
      </c>
      <c r="V261" s="45">
        <v>449</v>
      </c>
      <c r="W261" s="45">
        <v>449</v>
      </c>
      <c r="X261" s="45">
        <v>449</v>
      </c>
      <c r="Y261" s="45">
        <v>449</v>
      </c>
      <c r="Z261" s="45">
        <v>449</v>
      </c>
      <c r="AA261" s="45">
        <v>449</v>
      </c>
      <c r="AB261" s="45"/>
      <c r="AC261" s="45"/>
      <c r="AD261" s="45"/>
      <c r="AE261" s="45"/>
      <c r="AF261" s="45"/>
      <c r="AG261" s="45"/>
      <c r="AH261" s="45"/>
      <c r="AI261" s="45"/>
      <c r="AJ261" s="45"/>
      <c r="AK261" s="45"/>
      <c r="AL261" s="45"/>
      <c r="AM261" s="45"/>
      <c r="AN261" s="45"/>
      <c r="AO261" s="45"/>
      <c r="AP261" s="45"/>
      <c r="AQ261" s="45"/>
      <c r="AR261" s="45"/>
      <c r="AS261" s="45"/>
      <c r="AT261" s="45"/>
      <c r="AU261" s="45"/>
      <c r="AV261" s="47"/>
      <c r="AW261" s="48" t="s">
        <v>67</v>
      </c>
      <c r="AX261" s="49" t="s">
        <v>68</v>
      </c>
      <c r="AY261" s="50">
        <f t="shared" si="20"/>
        <v>12.0998</v>
      </c>
      <c r="AZ261" s="50">
        <f t="shared" si="21"/>
        <v>10.9018</v>
      </c>
      <c r="BA261" s="51">
        <f t="shared" si="22"/>
        <v>6.1696999999999997</v>
      </c>
    </row>
    <row r="262" spans="1:53" ht="22.5" customHeight="1">
      <c r="A262" s="55" t="s">
        <v>222</v>
      </c>
      <c r="B262" s="42" t="s">
        <v>64</v>
      </c>
      <c r="C262" s="43">
        <v>4015250</v>
      </c>
      <c r="D262" s="56" t="s">
        <v>417</v>
      </c>
      <c r="E262" s="56" t="s">
        <v>418</v>
      </c>
      <c r="F262" s="45">
        <v>1299</v>
      </c>
      <c r="G262" s="45">
        <v>1099</v>
      </c>
      <c r="H262" s="45">
        <v>1299</v>
      </c>
      <c r="I262" s="45">
        <v>1299</v>
      </c>
      <c r="J262" s="45">
        <v>769</v>
      </c>
      <c r="K262" s="45">
        <v>769</v>
      </c>
      <c r="L262" s="45">
        <v>769</v>
      </c>
      <c r="M262" s="45">
        <v>769</v>
      </c>
      <c r="N262" s="45">
        <v>769</v>
      </c>
      <c r="O262" s="45">
        <v>769</v>
      </c>
      <c r="P262" s="45">
        <v>769</v>
      </c>
      <c r="Q262" s="45">
        <v>769</v>
      </c>
      <c r="R262" s="45">
        <v>769</v>
      </c>
      <c r="S262" s="45">
        <v>769</v>
      </c>
      <c r="T262" s="45">
        <v>769</v>
      </c>
      <c r="U262" s="45">
        <v>769</v>
      </c>
      <c r="V262" s="45">
        <v>769</v>
      </c>
      <c r="W262" s="45">
        <v>769</v>
      </c>
      <c r="X262" s="45">
        <v>769</v>
      </c>
      <c r="Y262" s="45">
        <v>769</v>
      </c>
      <c r="Z262" s="45">
        <v>769</v>
      </c>
      <c r="AA262" s="45">
        <v>769</v>
      </c>
      <c r="AB262" s="45"/>
      <c r="AC262" s="45"/>
      <c r="AD262" s="45"/>
      <c r="AE262" s="45"/>
      <c r="AF262" s="45"/>
      <c r="AG262" s="45"/>
      <c r="AH262" s="45"/>
      <c r="AI262" s="45"/>
      <c r="AJ262" s="45"/>
      <c r="AK262" s="45"/>
      <c r="AL262" s="45"/>
      <c r="AM262" s="45"/>
      <c r="AN262" s="45"/>
      <c r="AO262" s="45"/>
      <c r="AP262" s="45"/>
      <c r="AQ262" s="45"/>
      <c r="AR262" s="45"/>
      <c r="AS262" s="45"/>
      <c r="AT262" s="45"/>
      <c r="AU262" s="45"/>
      <c r="AV262" s="47"/>
      <c r="AW262" s="48" t="s">
        <v>67</v>
      </c>
      <c r="AX262" s="49" t="s">
        <v>68</v>
      </c>
      <c r="AY262" s="50">
        <f t="shared" si="20"/>
        <v>26.239799999999999</v>
      </c>
      <c r="AZ262" s="50">
        <f t="shared" si="21"/>
        <v>23.6418</v>
      </c>
      <c r="BA262" s="51">
        <f t="shared" si="22"/>
        <v>13.3797</v>
      </c>
    </row>
    <row r="263" spans="1:53" ht="22.5" customHeight="1">
      <c r="A263" s="55" t="s">
        <v>222</v>
      </c>
      <c r="B263" s="42" t="s">
        <v>64</v>
      </c>
      <c r="C263" s="43">
        <v>4015251</v>
      </c>
      <c r="D263" s="56" t="s">
        <v>417</v>
      </c>
      <c r="E263" s="56" t="s">
        <v>419</v>
      </c>
      <c r="F263" s="45">
        <v>1299</v>
      </c>
      <c r="G263" s="45">
        <v>1099</v>
      </c>
      <c r="H263" s="45">
        <v>1299</v>
      </c>
      <c r="I263" s="45">
        <v>1299</v>
      </c>
      <c r="J263" s="45">
        <v>769</v>
      </c>
      <c r="K263" s="45">
        <v>769</v>
      </c>
      <c r="L263" s="45">
        <v>769</v>
      </c>
      <c r="M263" s="45">
        <v>769</v>
      </c>
      <c r="N263" s="45">
        <v>769</v>
      </c>
      <c r="O263" s="45">
        <v>769</v>
      </c>
      <c r="P263" s="45">
        <v>769</v>
      </c>
      <c r="Q263" s="45">
        <v>769</v>
      </c>
      <c r="R263" s="45">
        <v>769</v>
      </c>
      <c r="S263" s="45">
        <v>769</v>
      </c>
      <c r="T263" s="45">
        <v>769</v>
      </c>
      <c r="U263" s="45">
        <v>769</v>
      </c>
      <c r="V263" s="45">
        <v>769</v>
      </c>
      <c r="W263" s="45">
        <v>769</v>
      </c>
      <c r="X263" s="45">
        <v>769</v>
      </c>
      <c r="Y263" s="45">
        <v>769</v>
      </c>
      <c r="Z263" s="45">
        <v>769</v>
      </c>
      <c r="AA263" s="45">
        <v>769</v>
      </c>
      <c r="AB263" s="45"/>
      <c r="AC263" s="45"/>
      <c r="AD263" s="45"/>
      <c r="AE263" s="45"/>
      <c r="AF263" s="45"/>
      <c r="AG263" s="45"/>
      <c r="AH263" s="45"/>
      <c r="AI263" s="45"/>
      <c r="AJ263" s="45"/>
      <c r="AK263" s="45"/>
      <c r="AL263" s="45"/>
      <c r="AM263" s="45"/>
      <c r="AN263" s="45"/>
      <c r="AO263" s="45"/>
      <c r="AP263" s="45"/>
      <c r="AQ263" s="45"/>
      <c r="AR263" s="45"/>
      <c r="AS263" s="45"/>
      <c r="AT263" s="45"/>
      <c r="AU263" s="45"/>
      <c r="AV263" s="47"/>
      <c r="AW263" s="48" t="s">
        <v>67</v>
      </c>
      <c r="AX263" s="49" t="s">
        <v>68</v>
      </c>
      <c r="AY263" s="50">
        <f t="shared" si="20"/>
        <v>26.239799999999999</v>
      </c>
      <c r="AZ263" s="50">
        <f t="shared" si="21"/>
        <v>23.6418</v>
      </c>
      <c r="BA263" s="51">
        <f t="shared" si="22"/>
        <v>13.3797</v>
      </c>
    </row>
    <row r="264" spans="1:53" ht="22.5" customHeight="1">
      <c r="A264" s="55" t="s">
        <v>222</v>
      </c>
      <c r="B264" s="42" t="s">
        <v>64</v>
      </c>
      <c r="C264" s="43">
        <v>4016092</v>
      </c>
      <c r="D264" s="56" t="s">
        <v>420</v>
      </c>
      <c r="E264" s="56" t="s">
        <v>421</v>
      </c>
      <c r="F264" s="45">
        <v>1199</v>
      </c>
      <c r="G264" s="45">
        <v>999</v>
      </c>
      <c r="H264" s="45">
        <v>1199</v>
      </c>
      <c r="I264" s="45">
        <v>1199</v>
      </c>
      <c r="J264" s="45">
        <v>699</v>
      </c>
      <c r="K264" s="45">
        <v>699</v>
      </c>
      <c r="L264" s="45">
        <v>699</v>
      </c>
      <c r="M264" s="45">
        <v>699</v>
      </c>
      <c r="N264" s="45">
        <v>699</v>
      </c>
      <c r="O264" s="45">
        <v>699</v>
      </c>
      <c r="P264" s="45">
        <v>699</v>
      </c>
      <c r="Q264" s="45">
        <v>699</v>
      </c>
      <c r="R264" s="45">
        <v>699</v>
      </c>
      <c r="S264" s="45">
        <v>699</v>
      </c>
      <c r="T264" s="45">
        <v>699</v>
      </c>
      <c r="U264" s="45">
        <v>699</v>
      </c>
      <c r="V264" s="45">
        <v>699</v>
      </c>
      <c r="W264" s="45">
        <v>699</v>
      </c>
      <c r="X264" s="45">
        <v>699</v>
      </c>
      <c r="Y264" s="45">
        <v>699</v>
      </c>
      <c r="Z264" s="45">
        <v>699</v>
      </c>
      <c r="AA264" s="45">
        <v>699</v>
      </c>
      <c r="AB264" s="45"/>
      <c r="AC264" s="45"/>
      <c r="AD264" s="45"/>
      <c r="AE264" s="45"/>
      <c r="AF264" s="45"/>
      <c r="AG264" s="45"/>
      <c r="AH264" s="45"/>
      <c r="AI264" s="45"/>
      <c r="AJ264" s="45"/>
      <c r="AK264" s="45"/>
      <c r="AL264" s="45"/>
      <c r="AM264" s="45"/>
      <c r="AN264" s="45"/>
      <c r="AO264" s="45"/>
      <c r="AP264" s="45"/>
      <c r="AQ264" s="45"/>
      <c r="AR264" s="45"/>
      <c r="AS264" s="45"/>
      <c r="AT264" s="45"/>
      <c r="AU264" s="45"/>
      <c r="AV264" s="47"/>
      <c r="AW264" s="48" t="s">
        <v>67</v>
      </c>
      <c r="AX264" s="49" t="s">
        <v>68</v>
      </c>
      <c r="AY264" s="50">
        <f t="shared" si="20"/>
        <v>24.219799999999999</v>
      </c>
      <c r="AZ264" s="50">
        <f t="shared" si="21"/>
        <v>21.8218</v>
      </c>
      <c r="BA264" s="51">
        <f t="shared" si="22"/>
        <v>12.3497</v>
      </c>
    </row>
    <row r="265" spans="1:53" ht="22.5" customHeight="1">
      <c r="A265" s="55" t="s">
        <v>222</v>
      </c>
      <c r="B265" s="42" t="s">
        <v>64</v>
      </c>
      <c r="C265" s="43">
        <v>4016095</v>
      </c>
      <c r="D265" s="56" t="s">
        <v>420</v>
      </c>
      <c r="E265" s="56" t="s">
        <v>422</v>
      </c>
      <c r="F265" s="45">
        <v>1199</v>
      </c>
      <c r="G265" s="45">
        <v>999</v>
      </c>
      <c r="H265" s="45">
        <v>1199</v>
      </c>
      <c r="I265" s="45">
        <v>1199</v>
      </c>
      <c r="J265" s="45">
        <v>699</v>
      </c>
      <c r="K265" s="45">
        <v>699</v>
      </c>
      <c r="L265" s="45">
        <v>699</v>
      </c>
      <c r="M265" s="45">
        <v>699</v>
      </c>
      <c r="N265" s="45">
        <v>699</v>
      </c>
      <c r="O265" s="45">
        <v>699</v>
      </c>
      <c r="P265" s="45">
        <v>699</v>
      </c>
      <c r="Q265" s="45">
        <v>699</v>
      </c>
      <c r="R265" s="45">
        <v>699</v>
      </c>
      <c r="S265" s="45">
        <v>699</v>
      </c>
      <c r="T265" s="45">
        <v>699</v>
      </c>
      <c r="U265" s="45">
        <v>699</v>
      </c>
      <c r="V265" s="45">
        <v>699</v>
      </c>
      <c r="W265" s="45">
        <v>699</v>
      </c>
      <c r="X265" s="45">
        <v>699</v>
      </c>
      <c r="Y265" s="45">
        <v>699</v>
      </c>
      <c r="Z265" s="45">
        <v>699</v>
      </c>
      <c r="AA265" s="45">
        <v>699</v>
      </c>
      <c r="AB265" s="45"/>
      <c r="AC265" s="45"/>
      <c r="AD265" s="45"/>
      <c r="AE265" s="45"/>
      <c r="AF265" s="45"/>
      <c r="AG265" s="45"/>
      <c r="AH265" s="45"/>
      <c r="AI265" s="45"/>
      <c r="AJ265" s="45"/>
      <c r="AK265" s="45"/>
      <c r="AL265" s="45"/>
      <c r="AM265" s="45"/>
      <c r="AN265" s="45"/>
      <c r="AO265" s="45"/>
      <c r="AP265" s="45"/>
      <c r="AQ265" s="45"/>
      <c r="AR265" s="45"/>
      <c r="AS265" s="45"/>
      <c r="AT265" s="45"/>
      <c r="AU265" s="45"/>
      <c r="AV265" s="47"/>
      <c r="AW265" s="48" t="s">
        <v>67</v>
      </c>
      <c r="AX265" s="49" t="s">
        <v>68</v>
      </c>
      <c r="AY265" s="50">
        <f t="shared" si="20"/>
        <v>24.219799999999999</v>
      </c>
      <c r="AZ265" s="50">
        <f t="shared" si="21"/>
        <v>21.8218</v>
      </c>
      <c r="BA265" s="51">
        <f t="shared" si="22"/>
        <v>12.3497</v>
      </c>
    </row>
    <row r="266" spans="1:53" ht="22.5" customHeight="1">
      <c r="A266" s="55" t="s">
        <v>222</v>
      </c>
      <c r="B266" s="42" t="s">
        <v>64</v>
      </c>
      <c r="C266" s="43">
        <v>4014161</v>
      </c>
      <c r="D266" s="56" t="s">
        <v>423</v>
      </c>
      <c r="E266" s="56" t="s">
        <v>424</v>
      </c>
      <c r="F266" s="45">
        <v>2699</v>
      </c>
      <c r="G266" s="45">
        <v>699</v>
      </c>
      <c r="H266" s="45">
        <v>699</v>
      </c>
      <c r="I266" s="45">
        <v>699</v>
      </c>
      <c r="J266" s="45">
        <f t="shared" si="24"/>
        <v>599</v>
      </c>
      <c r="K266" s="45">
        <f t="shared" si="25"/>
        <v>599</v>
      </c>
      <c r="L266" s="45">
        <f t="shared" si="25"/>
        <v>599</v>
      </c>
      <c r="M266" s="45">
        <v>599</v>
      </c>
      <c r="N266" s="45">
        <v>599</v>
      </c>
      <c r="O266" s="45">
        <f t="shared" ref="O266:Q290" si="26">R266</f>
        <v>549</v>
      </c>
      <c r="P266" s="46">
        <f t="shared" si="26"/>
        <v>499</v>
      </c>
      <c r="Q266" s="46">
        <f t="shared" si="26"/>
        <v>399</v>
      </c>
      <c r="R266" s="45">
        <v>549</v>
      </c>
      <c r="S266" s="45">
        <v>499</v>
      </c>
      <c r="T266" s="45">
        <v>399</v>
      </c>
      <c r="U266" s="45">
        <v>399</v>
      </c>
      <c r="V266" s="45">
        <v>399</v>
      </c>
      <c r="W266" s="45">
        <v>399</v>
      </c>
      <c r="X266" s="45">
        <v>399</v>
      </c>
      <c r="Y266" s="45">
        <v>399</v>
      </c>
      <c r="Z266" s="45">
        <v>399</v>
      </c>
      <c r="AA266" s="45">
        <v>399</v>
      </c>
      <c r="AB266" s="45"/>
      <c r="AC266" s="45"/>
      <c r="AD266" s="45"/>
      <c r="AE266" s="45"/>
      <c r="AF266" s="45"/>
      <c r="AG266" s="45"/>
      <c r="AH266" s="45"/>
      <c r="AI266" s="45"/>
      <c r="AJ266" s="45"/>
      <c r="AK266" s="45"/>
      <c r="AL266" s="45"/>
      <c r="AM266" s="45"/>
      <c r="AN266" s="45"/>
      <c r="AO266" s="45"/>
      <c r="AP266" s="45"/>
      <c r="AQ266" s="45"/>
      <c r="AR266" s="45"/>
      <c r="AS266" s="45"/>
      <c r="AT266" s="45"/>
      <c r="AU266" s="45"/>
      <c r="AV266" s="47"/>
      <c r="AW266" s="48" t="s">
        <v>67</v>
      </c>
      <c r="AX266" s="49" t="s">
        <v>68</v>
      </c>
      <c r="AY266" s="50">
        <f t="shared" si="20"/>
        <v>14.1198</v>
      </c>
      <c r="AZ266" s="50">
        <f t="shared" si="21"/>
        <v>12.7218</v>
      </c>
      <c r="BA266" s="51">
        <f t="shared" si="22"/>
        <v>7.1997</v>
      </c>
    </row>
    <row r="267" spans="1:53" ht="22.5" customHeight="1">
      <c r="A267" s="55" t="s">
        <v>222</v>
      </c>
      <c r="B267" s="42" t="s">
        <v>64</v>
      </c>
      <c r="C267" s="43">
        <v>4015441</v>
      </c>
      <c r="D267" s="56" t="s">
        <v>425</v>
      </c>
      <c r="E267" s="56" t="s">
        <v>426</v>
      </c>
      <c r="F267" s="45">
        <v>1599</v>
      </c>
      <c r="G267" s="45">
        <v>1299</v>
      </c>
      <c r="H267" s="45">
        <v>1299</v>
      </c>
      <c r="I267" s="45">
        <v>1299</v>
      </c>
      <c r="J267" s="45">
        <f t="shared" si="24"/>
        <v>999</v>
      </c>
      <c r="K267" s="45">
        <f t="shared" si="25"/>
        <v>999</v>
      </c>
      <c r="L267" s="45">
        <f t="shared" si="25"/>
        <v>999</v>
      </c>
      <c r="M267" s="45">
        <v>999</v>
      </c>
      <c r="N267" s="45">
        <v>999</v>
      </c>
      <c r="O267" s="45">
        <f t="shared" si="26"/>
        <v>899</v>
      </c>
      <c r="P267" s="46">
        <f t="shared" si="26"/>
        <v>799</v>
      </c>
      <c r="Q267" s="46">
        <f t="shared" si="26"/>
        <v>699</v>
      </c>
      <c r="R267" s="45">
        <v>899</v>
      </c>
      <c r="S267" s="45">
        <v>799</v>
      </c>
      <c r="T267" s="45">
        <v>699</v>
      </c>
      <c r="U267" s="45">
        <v>699</v>
      </c>
      <c r="V267" s="45">
        <v>699</v>
      </c>
      <c r="W267" s="45">
        <v>699</v>
      </c>
      <c r="X267" s="45">
        <v>649</v>
      </c>
      <c r="Y267" s="45">
        <v>599</v>
      </c>
      <c r="Z267" s="45">
        <v>599</v>
      </c>
      <c r="AA267" s="45">
        <v>579</v>
      </c>
      <c r="AB267" s="45"/>
      <c r="AC267" s="45"/>
      <c r="AD267" s="45"/>
      <c r="AE267" s="45"/>
      <c r="AF267" s="45"/>
      <c r="AG267" s="45"/>
      <c r="AH267" s="45"/>
      <c r="AI267" s="45"/>
      <c r="AJ267" s="45"/>
      <c r="AK267" s="45"/>
      <c r="AL267" s="45"/>
      <c r="AM267" s="45"/>
      <c r="AN267" s="45"/>
      <c r="AO267" s="45"/>
      <c r="AP267" s="45"/>
      <c r="AQ267" s="45"/>
      <c r="AR267" s="45"/>
      <c r="AS267" s="45"/>
      <c r="AT267" s="45"/>
      <c r="AU267" s="45"/>
      <c r="AV267" s="47"/>
      <c r="AW267" s="48" t="s">
        <v>67</v>
      </c>
      <c r="AX267" s="49" t="s">
        <v>68</v>
      </c>
      <c r="AY267" s="50">
        <f t="shared" si="20"/>
        <v>26.239799999999999</v>
      </c>
      <c r="AZ267" s="50">
        <f t="shared" si="21"/>
        <v>23.6418</v>
      </c>
      <c r="BA267" s="51">
        <f t="shared" si="22"/>
        <v>13.3797</v>
      </c>
    </row>
    <row r="268" spans="1:53" ht="22.5" customHeight="1">
      <c r="A268" s="55" t="s">
        <v>222</v>
      </c>
      <c r="B268" s="42" t="s">
        <v>64</v>
      </c>
      <c r="C268" s="43">
        <v>4015447</v>
      </c>
      <c r="D268" s="56" t="s">
        <v>425</v>
      </c>
      <c r="E268" s="56" t="s">
        <v>427</v>
      </c>
      <c r="F268" s="45">
        <v>1599</v>
      </c>
      <c r="G268" s="45">
        <v>1299</v>
      </c>
      <c r="H268" s="45">
        <v>1299</v>
      </c>
      <c r="I268" s="45">
        <v>1299</v>
      </c>
      <c r="J268" s="45">
        <f t="shared" si="24"/>
        <v>999</v>
      </c>
      <c r="K268" s="45">
        <f t="shared" si="25"/>
        <v>999</v>
      </c>
      <c r="L268" s="45">
        <f t="shared" si="25"/>
        <v>999</v>
      </c>
      <c r="M268" s="45">
        <v>999</v>
      </c>
      <c r="N268" s="45">
        <v>999</v>
      </c>
      <c r="O268" s="45">
        <f t="shared" si="26"/>
        <v>899</v>
      </c>
      <c r="P268" s="46">
        <f t="shared" si="26"/>
        <v>799</v>
      </c>
      <c r="Q268" s="46">
        <f t="shared" si="26"/>
        <v>699</v>
      </c>
      <c r="R268" s="45">
        <v>899</v>
      </c>
      <c r="S268" s="45">
        <v>799</v>
      </c>
      <c r="T268" s="45">
        <v>699</v>
      </c>
      <c r="U268" s="45">
        <v>699</v>
      </c>
      <c r="V268" s="45">
        <v>699</v>
      </c>
      <c r="W268" s="45">
        <v>699</v>
      </c>
      <c r="X268" s="45">
        <v>649</v>
      </c>
      <c r="Y268" s="45">
        <v>599</v>
      </c>
      <c r="Z268" s="45">
        <v>599</v>
      </c>
      <c r="AA268" s="45">
        <v>579</v>
      </c>
      <c r="AB268" s="45"/>
      <c r="AC268" s="45"/>
      <c r="AD268" s="45"/>
      <c r="AE268" s="45"/>
      <c r="AF268" s="45"/>
      <c r="AG268" s="45"/>
      <c r="AH268" s="45"/>
      <c r="AI268" s="45"/>
      <c r="AJ268" s="45"/>
      <c r="AK268" s="45"/>
      <c r="AL268" s="45"/>
      <c r="AM268" s="45"/>
      <c r="AN268" s="45"/>
      <c r="AO268" s="45"/>
      <c r="AP268" s="45"/>
      <c r="AQ268" s="45"/>
      <c r="AR268" s="45"/>
      <c r="AS268" s="45"/>
      <c r="AT268" s="45"/>
      <c r="AU268" s="45"/>
      <c r="AV268" s="47"/>
      <c r="AW268" s="48" t="s">
        <v>67</v>
      </c>
      <c r="AX268" s="49" t="s">
        <v>68</v>
      </c>
      <c r="AY268" s="50">
        <f t="shared" si="20"/>
        <v>26.239799999999999</v>
      </c>
      <c r="AZ268" s="50">
        <f t="shared" si="21"/>
        <v>23.6418</v>
      </c>
      <c r="BA268" s="51">
        <f t="shared" si="22"/>
        <v>13.3797</v>
      </c>
    </row>
    <row r="269" spans="1:53" ht="22.5" customHeight="1">
      <c r="A269" s="55" t="s">
        <v>222</v>
      </c>
      <c r="B269" s="42" t="s">
        <v>64</v>
      </c>
      <c r="C269" s="43">
        <v>4015915</v>
      </c>
      <c r="D269" s="56" t="s">
        <v>425</v>
      </c>
      <c r="E269" s="56" t="s">
        <v>428</v>
      </c>
      <c r="F269" s="45">
        <v>1599</v>
      </c>
      <c r="G269" s="45">
        <v>1299</v>
      </c>
      <c r="H269" s="45">
        <v>1299</v>
      </c>
      <c r="I269" s="45">
        <v>1299</v>
      </c>
      <c r="J269" s="45">
        <f t="shared" si="24"/>
        <v>999</v>
      </c>
      <c r="K269" s="45">
        <f t="shared" si="25"/>
        <v>999</v>
      </c>
      <c r="L269" s="45">
        <f t="shared" si="25"/>
        <v>999</v>
      </c>
      <c r="M269" s="45">
        <v>999</v>
      </c>
      <c r="N269" s="45">
        <v>999</v>
      </c>
      <c r="O269" s="45">
        <f t="shared" si="26"/>
        <v>899</v>
      </c>
      <c r="P269" s="46">
        <f t="shared" si="26"/>
        <v>799</v>
      </c>
      <c r="Q269" s="46">
        <f t="shared" si="26"/>
        <v>699</v>
      </c>
      <c r="R269" s="45">
        <v>899</v>
      </c>
      <c r="S269" s="45">
        <v>799</v>
      </c>
      <c r="T269" s="45">
        <v>699</v>
      </c>
      <c r="U269" s="45">
        <v>699</v>
      </c>
      <c r="V269" s="45">
        <v>699</v>
      </c>
      <c r="W269" s="45">
        <v>699</v>
      </c>
      <c r="X269" s="45">
        <v>649</v>
      </c>
      <c r="Y269" s="45">
        <v>599</v>
      </c>
      <c r="Z269" s="45">
        <v>599</v>
      </c>
      <c r="AA269" s="45">
        <v>579</v>
      </c>
      <c r="AB269" s="45"/>
      <c r="AC269" s="45"/>
      <c r="AD269" s="45"/>
      <c r="AE269" s="45"/>
      <c r="AF269" s="45"/>
      <c r="AG269" s="45"/>
      <c r="AH269" s="45"/>
      <c r="AI269" s="45"/>
      <c r="AJ269" s="45"/>
      <c r="AK269" s="45"/>
      <c r="AL269" s="45"/>
      <c r="AM269" s="45"/>
      <c r="AN269" s="45"/>
      <c r="AO269" s="45"/>
      <c r="AP269" s="45"/>
      <c r="AQ269" s="45"/>
      <c r="AR269" s="45"/>
      <c r="AS269" s="45"/>
      <c r="AT269" s="45"/>
      <c r="AU269" s="45"/>
      <c r="AV269" s="47"/>
      <c r="AW269" s="48" t="s">
        <v>67</v>
      </c>
      <c r="AX269" s="49" t="s">
        <v>68</v>
      </c>
      <c r="AY269" s="50">
        <f t="shared" si="20"/>
        <v>26.239799999999999</v>
      </c>
      <c r="AZ269" s="50">
        <f t="shared" si="21"/>
        <v>23.6418</v>
      </c>
      <c r="BA269" s="51">
        <f t="shared" si="22"/>
        <v>13.3797</v>
      </c>
    </row>
    <row r="270" spans="1:53" ht="22.5" customHeight="1">
      <c r="A270" s="55" t="s">
        <v>222</v>
      </c>
      <c r="B270" s="42" t="s">
        <v>64</v>
      </c>
      <c r="C270" s="43">
        <v>4015935</v>
      </c>
      <c r="D270" s="56" t="s">
        <v>429</v>
      </c>
      <c r="E270" s="56" t="s">
        <v>430</v>
      </c>
      <c r="F270" s="45">
        <v>2999</v>
      </c>
      <c r="G270" s="45">
        <v>1649</v>
      </c>
      <c r="H270" s="45">
        <v>1649</v>
      </c>
      <c r="I270" s="45">
        <v>1649</v>
      </c>
      <c r="J270" s="45">
        <v>1599</v>
      </c>
      <c r="K270" s="45">
        <v>1499</v>
      </c>
      <c r="L270" s="45">
        <v>1499</v>
      </c>
      <c r="M270" s="45">
        <v>1599</v>
      </c>
      <c r="N270" s="45">
        <v>1499</v>
      </c>
      <c r="O270" s="45">
        <v>1399</v>
      </c>
      <c r="P270" s="46">
        <v>1299</v>
      </c>
      <c r="Q270" s="46">
        <v>999</v>
      </c>
      <c r="R270" s="45">
        <v>1399</v>
      </c>
      <c r="S270" s="45">
        <v>1299</v>
      </c>
      <c r="T270" s="45">
        <v>999</v>
      </c>
      <c r="U270" s="45">
        <v>999</v>
      </c>
      <c r="V270" s="45">
        <v>999</v>
      </c>
      <c r="W270" s="45">
        <v>999</v>
      </c>
      <c r="X270" s="45">
        <v>999</v>
      </c>
      <c r="Y270" s="45">
        <v>999</v>
      </c>
      <c r="Z270" s="45">
        <v>999</v>
      </c>
      <c r="AA270" s="45">
        <v>999</v>
      </c>
      <c r="AB270" s="45"/>
      <c r="AC270" s="45"/>
      <c r="AD270" s="45"/>
      <c r="AE270" s="45"/>
      <c r="AF270" s="45"/>
      <c r="AG270" s="45"/>
      <c r="AH270" s="45"/>
      <c r="AI270" s="45"/>
      <c r="AJ270" s="45"/>
      <c r="AK270" s="45"/>
      <c r="AL270" s="45"/>
      <c r="AM270" s="45"/>
      <c r="AN270" s="45"/>
      <c r="AO270" s="45"/>
      <c r="AP270" s="45"/>
      <c r="AQ270" s="45"/>
      <c r="AR270" s="45"/>
      <c r="AS270" s="45"/>
      <c r="AT270" s="45"/>
      <c r="AU270" s="45"/>
      <c r="AV270" s="47"/>
      <c r="AW270" s="48" t="s">
        <v>67</v>
      </c>
      <c r="AX270" s="49" t="s">
        <v>68</v>
      </c>
      <c r="AY270" s="50">
        <f t="shared" ref="AY270:AY333" si="27">$H270*AY$11</f>
        <v>33.309799999999996</v>
      </c>
      <c r="AZ270" s="50">
        <f t="shared" ref="AZ270:AZ333" si="28">($H270*AZ$11)</f>
        <v>30.011800000000001</v>
      </c>
      <c r="BA270" s="51">
        <f t="shared" ref="BA270:BA333" si="29">$H270*BA$11</f>
        <v>16.9847</v>
      </c>
    </row>
    <row r="271" spans="1:53" ht="22.5" customHeight="1">
      <c r="A271" s="55" t="s">
        <v>222</v>
      </c>
      <c r="B271" s="42" t="s">
        <v>64</v>
      </c>
      <c r="C271" s="43">
        <v>4016155</v>
      </c>
      <c r="D271" s="56" t="s">
        <v>429</v>
      </c>
      <c r="E271" s="56" t="s">
        <v>431</v>
      </c>
      <c r="F271" s="45">
        <v>2999</v>
      </c>
      <c r="G271" s="45">
        <v>1649</v>
      </c>
      <c r="H271" s="45">
        <v>1649</v>
      </c>
      <c r="I271" s="45">
        <v>1649</v>
      </c>
      <c r="J271" s="45">
        <v>1599</v>
      </c>
      <c r="K271" s="45">
        <v>1499</v>
      </c>
      <c r="L271" s="45">
        <v>1499</v>
      </c>
      <c r="M271" s="45">
        <v>1599</v>
      </c>
      <c r="N271" s="45">
        <v>1499</v>
      </c>
      <c r="O271" s="45">
        <v>1399</v>
      </c>
      <c r="P271" s="46">
        <v>1299</v>
      </c>
      <c r="Q271" s="46">
        <v>999</v>
      </c>
      <c r="R271" s="45">
        <v>1399</v>
      </c>
      <c r="S271" s="45">
        <v>1299</v>
      </c>
      <c r="T271" s="45">
        <v>999</v>
      </c>
      <c r="U271" s="45">
        <v>999</v>
      </c>
      <c r="V271" s="45">
        <v>999</v>
      </c>
      <c r="W271" s="45">
        <v>999</v>
      </c>
      <c r="X271" s="45">
        <v>999</v>
      </c>
      <c r="Y271" s="45">
        <v>999</v>
      </c>
      <c r="Z271" s="45">
        <v>999</v>
      </c>
      <c r="AA271" s="45">
        <v>999</v>
      </c>
      <c r="AB271" s="45"/>
      <c r="AC271" s="45"/>
      <c r="AD271" s="45"/>
      <c r="AE271" s="45"/>
      <c r="AF271" s="45"/>
      <c r="AG271" s="45"/>
      <c r="AH271" s="45"/>
      <c r="AI271" s="45"/>
      <c r="AJ271" s="45"/>
      <c r="AK271" s="45"/>
      <c r="AL271" s="45"/>
      <c r="AM271" s="45"/>
      <c r="AN271" s="45"/>
      <c r="AO271" s="45"/>
      <c r="AP271" s="45"/>
      <c r="AQ271" s="45"/>
      <c r="AR271" s="45"/>
      <c r="AS271" s="45"/>
      <c r="AT271" s="45"/>
      <c r="AU271" s="45"/>
      <c r="AV271" s="47"/>
      <c r="AW271" s="48" t="s">
        <v>67</v>
      </c>
      <c r="AX271" s="49" t="s">
        <v>68</v>
      </c>
      <c r="AY271" s="50">
        <f t="shared" si="27"/>
        <v>33.309799999999996</v>
      </c>
      <c r="AZ271" s="50">
        <f t="shared" si="28"/>
        <v>30.011800000000001</v>
      </c>
      <c r="BA271" s="51">
        <f t="shared" si="29"/>
        <v>16.9847</v>
      </c>
    </row>
    <row r="272" spans="1:53" ht="22.5" customHeight="1">
      <c r="A272" s="55" t="s">
        <v>222</v>
      </c>
      <c r="B272" s="42" t="s">
        <v>64</v>
      </c>
      <c r="C272" s="43">
        <v>4015939</v>
      </c>
      <c r="D272" s="56" t="s">
        <v>429</v>
      </c>
      <c r="E272" s="56" t="s">
        <v>432</v>
      </c>
      <c r="F272" s="45">
        <v>2999</v>
      </c>
      <c r="G272" s="45">
        <v>1649</v>
      </c>
      <c r="H272" s="45">
        <v>1649</v>
      </c>
      <c r="I272" s="45">
        <v>1649</v>
      </c>
      <c r="J272" s="45">
        <v>1599</v>
      </c>
      <c r="K272" s="45">
        <v>1499</v>
      </c>
      <c r="L272" s="45">
        <v>1499</v>
      </c>
      <c r="M272" s="45">
        <v>1599</v>
      </c>
      <c r="N272" s="45">
        <v>1499</v>
      </c>
      <c r="O272" s="45">
        <v>1399</v>
      </c>
      <c r="P272" s="46">
        <v>1299</v>
      </c>
      <c r="Q272" s="46">
        <v>999</v>
      </c>
      <c r="R272" s="45">
        <v>1399</v>
      </c>
      <c r="S272" s="45">
        <v>1299</v>
      </c>
      <c r="T272" s="45">
        <v>999</v>
      </c>
      <c r="U272" s="45">
        <v>999</v>
      </c>
      <c r="V272" s="45">
        <v>999</v>
      </c>
      <c r="W272" s="45">
        <v>999</v>
      </c>
      <c r="X272" s="45">
        <v>999</v>
      </c>
      <c r="Y272" s="45">
        <v>999</v>
      </c>
      <c r="Z272" s="45">
        <v>999</v>
      </c>
      <c r="AA272" s="45">
        <v>999</v>
      </c>
      <c r="AB272" s="45"/>
      <c r="AC272" s="45"/>
      <c r="AD272" s="45"/>
      <c r="AE272" s="45"/>
      <c r="AF272" s="45"/>
      <c r="AG272" s="45"/>
      <c r="AH272" s="45"/>
      <c r="AI272" s="45"/>
      <c r="AJ272" s="45"/>
      <c r="AK272" s="45"/>
      <c r="AL272" s="45"/>
      <c r="AM272" s="45"/>
      <c r="AN272" s="45"/>
      <c r="AO272" s="45"/>
      <c r="AP272" s="45"/>
      <c r="AQ272" s="45"/>
      <c r="AR272" s="45"/>
      <c r="AS272" s="45"/>
      <c r="AT272" s="45"/>
      <c r="AU272" s="45"/>
      <c r="AV272" s="47"/>
      <c r="AW272" s="48" t="s">
        <v>67</v>
      </c>
      <c r="AX272" s="49" t="s">
        <v>68</v>
      </c>
      <c r="AY272" s="50">
        <f t="shared" si="27"/>
        <v>33.309799999999996</v>
      </c>
      <c r="AZ272" s="50">
        <f t="shared" si="28"/>
        <v>30.011800000000001</v>
      </c>
      <c r="BA272" s="51">
        <f t="shared" si="29"/>
        <v>16.9847</v>
      </c>
    </row>
    <row r="273" spans="1:53" ht="22.5" customHeight="1">
      <c r="A273" s="55" t="s">
        <v>222</v>
      </c>
      <c r="B273" s="42" t="s">
        <v>64</v>
      </c>
      <c r="C273" s="43">
        <v>4016152</v>
      </c>
      <c r="D273" s="56" t="s">
        <v>429</v>
      </c>
      <c r="E273" s="56" t="s">
        <v>433</v>
      </c>
      <c r="F273" s="45">
        <v>2999</v>
      </c>
      <c r="G273" s="45">
        <v>1649</v>
      </c>
      <c r="H273" s="45">
        <v>1649</v>
      </c>
      <c r="I273" s="45">
        <v>1649</v>
      </c>
      <c r="J273" s="45">
        <v>1599</v>
      </c>
      <c r="K273" s="45">
        <v>1499</v>
      </c>
      <c r="L273" s="45">
        <v>1499</v>
      </c>
      <c r="M273" s="45">
        <v>1599</v>
      </c>
      <c r="N273" s="45">
        <v>1499</v>
      </c>
      <c r="O273" s="45">
        <v>1399</v>
      </c>
      <c r="P273" s="46">
        <v>1299</v>
      </c>
      <c r="Q273" s="46">
        <v>999</v>
      </c>
      <c r="R273" s="45">
        <v>1399</v>
      </c>
      <c r="S273" s="45">
        <v>1299</v>
      </c>
      <c r="T273" s="45">
        <v>999</v>
      </c>
      <c r="U273" s="45">
        <v>999</v>
      </c>
      <c r="V273" s="45">
        <v>999</v>
      </c>
      <c r="W273" s="45">
        <v>999</v>
      </c>
      <c r="X273" s="45">
        <v>999</v>
      </c>
      <c r="Y273" s="45">
        <v>999</v>
      </c>
      <c r="Z273" s="45">
        <v>999</v>
      </c>
      <c r="AA273" s="45">
        <v>999</v>
      </c>
      <c r="AB273" s="45"/>
      <c r="AC273" s="45"/>
      <c r="AD273" s="45"/>
      <c r="AE273" s="45"/>
      <c r="AF273" s="45"/>
      <c r="AG273" s="45"/>
      <c r="AH273" s="45"/>
      <c r="AI273" s="45"/>
      <c r="AJ273" s="45"/>
      <c r="AK273" s="45"/>
      <c r="AL273" s="45"/>
      <c r="AM273" s="45"/>
      <c r="AN273" s="45"/>
      <c r="AO273" s="45"/>
      <c r="AP273" s="45"/>
      <c r="AQ273" s="45"/>
      <c r="AR273" s="45"/>
      <c r="AS273" s="45"/>
      <c r="AT273" s="45"/>
      <c r="AU273" s="45"/>
      <c r="AV273" s="47"/>
      <c r="AW273" s="48" t="s">
        <v>67</v>
      </c>
      <c r="AX273" s="49" t="s">
        <v>68</v>
      </c>
      <c r="AY273" s="50">
        <f t="shared" si="27"/>
        <v>33.309799999999996</v>
      </c>
      <c r="AZ273" s="50">
        <f t="shared" si="28"/>
        <v>30.011800000000001</v>
      </c>
      <c r="BA273" s="51">
        <f t="shared" si="29"/>
        <v>16.9847</v>
      </c>
    </row>
    <row r="274" spans="1:53" ht="22.5" customHeight="1">
      <c r="A274" s="55" t="s">
        <v>222</v>
      </c>
      <c r="B274" s="42" t="s">
        <v>64</v>
      </c>
      <c r="C274" s="43">
        <v>4016159</v>
      </c>
      <c r="D274" s="56" t="s">
        <v>429</v>
      </c>
      <c r="E274" s="56" t="s">
        <v>434</v>
      </c>
      <c r="F274" s="45">
        <v>2999</v>
      </c>
      <c r="G274" s="45">
        <v>1649</v>
      </c>
      <c r="H274" s="45">
        <v>1649</v>
      </c>
      <c r="I274" s="45">
        <v>1649</v>
      </c>
      <c r="J274" s="45">
        <v>1599</v>
      </c>
      <c r="K274" s="45">
        <v>1499</v>
      </c>
      <c r="L274" s="45">
        <v>1499</v>
      </c>
      <c r="M274" s="45">
        <v>1599</v>
      </c>
      <c r="N274" s="45">
        <v>1499</v>
      </c>
      <c r="O274" s="45">
        <v>1399</v>
      </c>
      <c r="P274" s="46">
        <v>1299</v>
      </c>
      <c r="Q274" s="46">
        <v>999</v>
      </c>
      <c r="R274" s="45">
        <v>1399</v>
      </c>
      <c r="S274" s="45">
        <v>1299</v>
      </c>
      <c r="T274" s="45">
        <v>999</v>
      </c>
      <c r="U274" s="45">
        <v>999</v>
      </c>
      <c r="V274" s="45">
        <v>999</v>
      </c>
      <c r="W274" s="45">
        <v>999</v>
      </c>
      <c r="X274" s="45">
        <v>999</v>
      </c>
      <c r="Y274" s="45">
        <v>999</v>
      </c>
      <c r="Z274" s="45">
        <v>999</v>
      </c>
      <c r="AA274" s="45">
        <v>999</v>
      </c>
      <c r="AB274" s="45"/>
      <c r="AC274" s="45"/>
      <c r="AD274" s="45"/>
      <c r="AE274" s="45"/>
      <c r="AF274" s="45"/>
      <c r="AG274" s="45"/>
      <c r="AH274" s="45"/>
      <c r="AI274" s="45"/>
      <c r="AJ274" s="45"/>
      <c r="AK274" s="45"/>
      <c r="AL274" s="45"/>
      <c r="AM274" s="45"/>
      <c r="AN274" s="45"/>
      <c r="AO274" s="45"/>
      <c r="AP274" s="45"/>
      <c r="AQ274" s="45"/>
      <c r="AR274" s="45"/>
      <c r="AS274" s="45"/>
      <c r="AT274" s="45"/>
      <c r="AU274" s="45"/>
      <c r="AV274" s="47"/>
      <c r="AW274" s="48" t="s">
        <v>67</v>
      </c>
      <c r="AX274" s="49" t="s">
        <v>68</v>
      </c>
      <c r="AY274" s="50">
        <f t="shared" si="27"/>
        <v>33.309799999999996</v>
      </c>
      <c r="AZ274" s="50">
        <f t="shared" si="28"/>
        <v>30.011800000000001</v>
      </c>
      <c r="BA274" s="51">
        <f t="shared" si="29"/>
        <v>16.9847</v>
      </c>
    </row>
    <row r="275" spans="1:53" ht="22.5" customHeight="1">
      <c r="A275" s="55" t="s">
        <v>222</v>
      </c>
      <c r="B275" s="42" t="s">
        <v>64</v>
      </c>
      <c r="C275" s="43">
        <v>4016147</v>
      </c>
      <c r="D275" s="56" t="s">
        <v>429</v>
      </c>
      <c r="E275" s="56" t="s">
        <v>435</v>
      </c>
      <c r="F275" s="45">
        <v>2999</v>
      </c>
      <c r="G275" s="45">
        <v>1649</v>
      </c>
      <c r="H275" s="45">
        <v>1649</v>
      </c>
      <c r="I275" s="45">
        <v>1649</v>
      </c>
      <c r="J275" s="45">
        <v>1599</v>
      </c>
      <c r="K275" s="45">
        <v>1499</v>
      </c>
      <c r="L275" s="45">
        <v>1499</v>
      </c>
      <c r="M275" s="45">
        <v>1599</v>
      </c>
      <c r="N275" s="45">
        <v>1499</v>
      </c>
      <c r="O275" s="45">
        <v>1399</v>
      </c>
      <c r="P275" s="46">
        <v>1299</v>
      </c>
      <c r="Q275" s="46">
        <v>999</v>
      </c>
      <c r="R275" s="45">
        <v>1399</v>
      </c>
      <c r="S275" s="45">
        <v>1299</v>
      </c>
      <c r="T275" s="45">
        <v>999</v>
      </c>
      <c r="U275" s="45">
        <v>999</v>
      </c>
      <c r="V275" s="45">
        <v>999</v>
      </c>
      <c r="W275" s="45">
        <v>999</v>
      </c>
      <c r="X275" s="45">
        <v>999</v>
      </c>
      <c r="Y275" s="45">
        <v>999</v>
      </c>
      <c r="Z275" s="45">
        <v>999</v>
      </c>
      <c r="AA275" s="45">
        <v>999</v>
      </c>
      <c r="AB275" s="45"/>
      <c r="AC275" s="45"/>
      <c r="AD275" s="45"/>
      <c r="AE275" s="45"/>
      <c r="AF275" s="45"/>
      <c r="AG275" s="45"/>
      <c r="AH275" s="45"/>
      <c r="AI275" s="45"/>
      <c r="AJ275" s="45"/>
      <c r="AK275" s="45"/>
      <c r="AL275" s="45"/>
      <c r="AM275" s="45"/>
      <c r="AN275" s="45"/>
      <c r="AO275" s="45"/>
      <c r="AP275" s="45"/>
      <c r="AQ275" s="45"/>
      <c r="AR275" s="45"/>
      <c r="AS275" s="45"/>
      <c r="AT275" s="45"/>
      <c r="AU275" s="45"/>
      <c r="AV275" s="47"/>
      <c r="AW275" s="48" t="s">
        <v>67</v>
      </c>
      <c r="AX275" s="49" t="s">
        <v>68</v>
      </c>
      <c r="AY275" s="50">
        <f t="shared" si="27"/>
        <v>33.309799999999996</v>
      </c>
      <c r="AZ275" s="50">
        <f t="shared" si="28"/>
        <v>30.011800000000001</v>
      </c>
      <c r="BA275" s="51">
        <f t="shared" si="29"/>
        <v>16.9847</v>
      </c>
    </row>
    <row r="276" spans="1:53" ht="22.5" customHeight="1">
      <c r="A276" s="55" t="s">
        <v>222</v>
      </c>
      <c r="B276" s="42" t="s">
        <v>64</v>
      </c>
      <c r="C276" s="43">
        <v>4016974</v>
      </c>
      <c r="D276" s="56" t="s">
        <v>436</v>
      </c>
      <c r="E276" s="56" t="s">
        <v>437</v>
      </c>
      <c r="F276" s="45">
        <v>3099</v>
      </c>
      <c r="G276" s="46">
        <v>1849</v>
      </c>
      <c r="H276" s="46">
        <v>1849</v>
      </c>
      <c r="I276" s="46">
        <v>1849</v>
      </c>
      <c r="J276" s="46">
        <v>1799</v>
      </c>
      <c r="K276" s="46">
        <v>1599</v>
      </c>
      <c r="L276" s="46">
        <v>1599</v>
      </c>
      <c r="M276" s="46">
        <v>1799</v>
      </c>
      <c r="N276" s="46">
        <v>1599</v>
      </c>
      <c r="O276" s="46">
        <v>1549</v>
      </c>
      <c r="P276" s="46">
        <v>1499</v>
      </c>
      <c r="Q276" s="46">
        <v>1299</v>
      </c>
      <c r="R276" s="46">
        <v>1549</v>
      </c>
      <c r="S276" s="46">
        <v>1499</v>
      </c>
      <c r="T276" s="46">
        <v>1299</v>
      </c>
      <c r="U276" s="46">
        <v>1299</v>
      </c>
      <c r="V276" s="46">
        <v>1299</v>
      </c>
      <c r="W276" s="46">
        <v>1299</v>
      </c>
      <c r="X276" s="46">
        <v>1299</v>
      </c>
      <c r="Y276" s="46">
        <v>1299</v>
      </c>
      <c r="Z276" s="46">
        <v>1299</v>
      </c>
      <c r="AA276" s="46">
        <v>1299</v>
      </c>
      <c r="AB276" s="45"/>
      <c r="AC276" s="45"/>
      <c r="AD276" s="45"/>
      <c r="AE276" s="45"/>
      <c r="AF276" s="45"/>
      <c r="AG276" s="45"/>
      <c r="AH276" s="45"/>
      <c r="AI276" s="45"/>
      <c r="AJ276" s="45"/>
      <c r="AK276" s="45"/>
      <c r="AL276" s="45"/>
      <c r="AM276" s="45"/>
      <c r="AN276" s="45"/>
      <c r="AO276" s="45"/>
      <c r="AP276" s="45"/>
      <c r="AQ276" s="45"/>
      <c r="AR276" s="45"/>
      <c r="AS276" s="45"/>
      <c r="AT276" s="45"/>
      <c r="AU276" s="45"/>
      <c r="AV276" s="47"/>
      <c r="AW276" s="48" t="s">
        <v>67</v>
      </c>
      <c r="AX276" s="49" t="s">
        <v>68</v>
      </c>
      <c r="AY276" s="50">
        <f t="shared" si="27"/>
        <v>37.349800000000002</v>
      </c>
      <c r="AZ276" s="50">
        <f t="shared" si="28"/>
        <v>33.651800000000001</v>
      </c>
      <c r="BA276" s="51">
        <f t="shared" si="29"/>
        <v>19.044699999999999</v>
      </c>
    </row>
    <row r="277" spans="1:53" ht="22.5" customHeight="1">
      <c r="A277" s="55" t="s">
        <v>222</v>
      </c>
      <c r="B277" s="42" t="s">
        <v>64</v>
      </c>
      <c r="C277" s="43">
        <v>4016989</v>
      </c>
      <c r="D277" s="56" t="s">
        <v>436</v>
      </c>
      <c r="E277" s="56" t="s">
        <v>438</v>
      </c>
      <c r="F277" s="45">
        <v>3099</v>
      </c>
      <c r="G277" s="46">
        <v>1849</v>
      </c>
      <c r="H277" s="46">
        <v>1849</v>
      </c>
      <c r="I277" s="46">
        <v>1849</v>
      </c>
      <c r="J277" s="46">
        <v>1799</v>
      </c>
      <c r="K277" s="46">
        <v>1599</v>
      </c>
      <c r="L277" s="46">
        <v>1599</v>
      </c>
      <c r="M277" s="46">
        <v>1799</v>
      </c>
      <c r="N277" s="46">
        <v>1599</v>
      </c>
      <c r="O277" s="46">
        <v>1549</v>
      </c>
      <c r="P277" s="46">
        <v>1499</v>
      </c>
      <c r="Q277" s="46">
        <v>1299</v>
      </c>
      <c r="R277" s="46">
        <v>1549</v>
      </c>
      <c r="S277" s="46">
        <v>1499</v>
      </c>
      <c r="T277" s="46">
        <v>1299</v>
      </c>
      <c r="U277" s="46">
        <v>1299</v>
      </c>
      <c r="V277" s="46">
        <v>1299</v>
      </c>
      <c r="W277" s="46">
        <v>1299</v>
      </c>
      <c r="X277" s="46">
        <v>1299</v>
      </c>
      <c r="Y277" s="46">
        <v>1299</v>
      </c>
      <c r="Z277" s="46">
        <v>1299</v>
      </c>
      <c r="AA277" s="46">
        <v>1299</v>
      </c>
      <c r="AB277" s="45"/>
      <c r="AC277" s="45"/>
      <c r="AD277" s="45"/>
      <c r="AE277" s="45"/>
      <c r="AF277" s="45"/>
      <c r="AG277" s="45"/>
      <c r="AH277" s="45"/>
      <c r="AI277" s="45"/>
      <c r="AJ277" s="45"/>
      <c r="AK277" s="45"/>
      <c r="AL277" s="45"/>
      <c r="AM277" s="45"/>
      <c r="AN277" s="45"/>
      <c r="AO277" s="45"/>
      <c r="AP277" s="45"/>
      <c r="AQ277" s="45"/>
      <c r="AR277" s="45"/>
      <c r="AS277" s="45"/>
      <c r="AT277" s="45"/>
      <c r="AU277" s="45"/>
      <c r="AV277" s="47"/>
      <c r="AW277" s="48" t="s">
        <v>67</v>
      </c>
      <c r="AX277" s="49" t="s">
        <v>68</v>
      </c>
      <c r="AY277" s="50">
        <f t="shared" si="27"/>
        <v>37.349800000000002</v>
      </c>
      <c r="AZ277" s="50">
        <f t="shared" si="28"/>
        <v>33.651800000000001</v>
      </c>
      <c r="BA277" s="51">
        <f t="shared" si="29"/>
        <v>19.044699999999999</v>
      </c>
    </row>
    <row r="278" spans="1:53" ht="22.5" customHeight="1">
      <c r="A278" s="55" t="s">
        <v>222</v>
      </c>
      <c r="B278" s="42" t="s">
        <v>64</v>
      </c>
      <c r="C278" s="43">
        <v>4016978</v>
      </c>
      <c r="D278" s="56" t="s">
        <v>436</v>
      </c>
      <c r="E278" s="56" t="s">
        <v>439</v>
      </c>
      <c r="F278" s="45">
        <v>3099</v>
      </c>
      <c r="G278" s="46">
        <v>1849</v>
      </c>
      <c r="H278" s="46">
        <v>1849</v>
      </c>
      <c r="I278" s="46">
        <v>1849</v>
      </c>
      <c r="J278" s="46">
        <v>1799</v>
      </c>
      <c r="K278" s="46">
        <v>1599</v>
      </c>
      <c r="L278" s="46">
        <v>1599</v>
      </c>
      <c r="M278" s="46">
        <v>1799</v>
      </c>
      <c r="N278" s="46">
        <v>1599</v>
      </c>
      <c r="O278" s="46">
        <v>1549</v>
      </c>
      <c r="P278" s="46">
        <v>1499</v>
      </c>
      <c r="Q278" s="46">
        <v>1299</v>
      </c>
      <c r="R278" s="46">
        <v>1549</v>
      </c>
      <c r="S278" s="46">
        <v>1499</v>
      </c>
      <c r="T278" s="46">
        <v>1299</v>
      </c>
      <c r="U278" s="46">
        <v>1299</v>
      </c>
      <c r="V278" s="46">
        <v>1299</v>
      </c>
      <c r="W278" s="46">
        <v>1299</v>
      </c>
      <c r="X278" s="46">
        <v>1299</v>
      </c>
      <c r="Y278" s="46">
        <v>1299</v>
      </c>
      <c r="Z278" s="46">
        <v>1299</v>
      </c>
      <c r="AA278" s="46">
        <v>1299</v>
      </c>
      <c r="AB278" s="45"/>
      <c r="AC278" s="45"/>
      <c r="AD278" s="45"/>
      <c r="AE278" s="45"/>
      <c r="AF278" s="45"/>
      <c r="AG278" s="45"/>
      <c r="AH278" s="45"/>
      <c r="AI278" s="45"/>
      <c r="AJ278" s="45"/>
      <c r="AK278" s="45"/>
      <c r="AL278" s="45"/>
      <c r="AM278" s="45"/>
      <c r="AN278" s="45"/>
      <c r="AO278" s="45"/>
      <c r="AP278" s="45"/>
      <c r="AQ278" s="45"/>
      <c r="AR278" s="45"/>
      <c r="AS278" s="45"/>
      <c r="AT278" s="45"/>
      <c r="AU278" s="45"/>
      <c r="AV278" s="47"/>
      <c r="AW278" s="48" t="s">
        <v>67</v>
      </c>
      <c r="AX278" s="49" t="s">
        <v>68</v>
      </c>
      <c r="AY278" s="50">
        <f t="shared" si="27"/>
        <v>37.349800000000002</v>
      </c>
      <c r="AZ278" s="50">
        <f t="shared" si="28"/>
        <v>33.651800000000001</v>
      </c>
      <c r="BA278" s="51">
        <f t="shared" si="29"/>
        <v>19.044699999999999</v>
      </c>
    </row>
    <row r="279" spans="1:53" ht="22.5" customHeight="1">
      <c r="A279" s="55" t="s">
        <v>222</v>
      </c>
      <c r="B279" s="42" t="s">
        <v>64</v>
      </c>
      <c r="C279" s="43">
        <v>4016994</v>
      </c>
      <c r="D279" s="56" t="s">
        <v>436</v>
      </c>
      <c r="E279" s="56" t="s">
        <v>440</v>
      </c>
      <c r="F279" s="45">
        <v>3099</v>
      </c>
      <c r="G279" s="46">
        <v>1849</v>
      </c>
      <c r="H279" s="46">
        <v>1849</v>
      </c>
      <c r="I279" s="46">
        <v>1849</v>
      </c>
      <c r="J279" s="46">
        <v>1799</v>
      </c>
      <c r="K279" s="46">
        <v>1599</v>
      </c>
      <c r="L279" s="46">
        <v>1599</v>
      </c>
      <c r="M279" s="46">
        <v>1799</v>
      </c>
      <c r="N279" s="46">
        <v>1599</v>
      </c>
      <c r="O279" s="46">
        <v>1549</v>
      </c>
      <c r="P279" s="46">
        <v>1499</v>
      </c>
      <c r="Q279" s="46">
        <v>1299</v>
      </c>
      <c r="R279" s="46">
        <v>1549</v>
      </c>
      <c r="S279" s="46">
        <v>1499</v>
      </c>
      <c r="T279" s="46">
        <v>1299</v>
      </c>
      <c r="U279" s="46">
        <v>1299</v>
      </c>
      <c r="V279" s="46">
        <v>1299</v>
      </c>
      <c r="W279" s="46">
        <v>1299</v>
      </c>
      <c r="X279" s="46">
        <v>1299</v>
      </c>
      <c r="Y279" s="46">
        <v>1299</v>
      </c>
      <c r="Z279" s="46">
        <v>1299</v>
      </c>
      <c r="AA279" s="46">
        <v>1299</v>
      </c>
      <c r="AB279" s="45"/>
      <c r="AC279" s="45"/>
      <c r="AD279" s="45"/>
      <c r="AE279" s="45"/>
      <c r="AF279" s="45"/>
      <c r="AG279" s="45"/>
      <c r="AH279" s="45"/>
      <c r="AI279" s="45"/>
      <c r="AJ279" s="45"/>
      <c r="AK279" s="45"/>
      <c r="AL279" s="45"/>
      <c r="AM279" s="45"/>
      <c r="AN279" s="45"/>
      <c r="AO279" s="45"/>
      <c r="AP279" s="45"/>
      <c r="AQ279" s="45"/>
      <c r="AR279" s="45"/>
      <c r="AS279" s="45"/>
      <c r="AT279" s="45"/>
      <c r="AU279" s="45"/>
      <c r="AV279" s="47"/>
      <c r="AW279" s="48" t="s">
        <v>67</v>
      </c>
      <c r="AX279" s="49" t="s">
        <v>68</v>
      </c>
      <c r="AY279" s="50">
        <f t="shared" si="27"/>
        <v>37.349800000000002</v>
      </c>
      <c r="AZ279" s="50">
        <f t="shared" si="28"/>
        <v>33.651800000000001</v>
      </c>
      <c r="BA279" s="51">
        <f t="shared" si="29"/>
        <v>19.044699999999999</v>
      </c>
    </row>
    <row r="280" spans="1:53" ht="22.5" customHeight="1">
      <c r="A280" s="55" t="s">
        <v>222</v>
      </c>
      <c r="B280" s="42" t="s">
        <v>64</v>
      </c>
      <c r="C280" s="43">
        <v>4017060</v>
      </c>
      <c r="D280" s="56" t="s">
        <v>436</v>
      </c>
      <c r="E280" s="56" t="s">
        <v>441</v>
      </c>
      <c r="F280" s="45">
        <v>3099</v>
      </c>
      <c r="G280" s="46">
        <v>1849</v>
      </c>
      <c r="H280" s="46">
        <v>1849</v>
      </c>
      <c r="I280" s="46">
        <v>1849</v>
      </c>
      <c r="J280" s="46">
        <v>1799</v>
      </c>
      <c r="K280" s="46">
        <v>1599</v>
      </c>
      <c r="L280" s="46">
        <v>1599</v>
      </c>
      <c r="M280" s="46">
        <v>1799</v>
      </c>
      <c r="N280" s="46">
        <v>1599</v>
      </c>
      <c r="O280" s="46">
        <v>1549</v>
      </c>
      <c r="P280" s="46">
        <v>1499</v>
      </c>
      <c r="Q280" s="46">
        <v>1299</v>
      </c>
      <c r="R280" s="46">
        <v>1549</v>
      </c>
      <c r="S280" s="46">
        <v>1499</v>
      </c>
      <c r="T280" s="46">
        <v>1299</v>
      </c>
      <c r="U280" s="46">
        <v>1299</v>
      </c>
      <c r="V280" s="46">
        <v>1299</v>
      </c>
      <c r="W280" s="46">
        <v>1299</v>
      </c>
      <c r="X280" s="46">
        <v>1299</v>
      </c>
      <c r="Y280" s="46">
        <v>1299</v>
      </c>
      <c r="Z280" s="46">
        <v>1299</v>
      </c>
      <c r="AA280" s="46">
        <v>1299</v>
      </c>
      <c r="AB280" s="45"/>
      <c r="AC280" s="45"/>
      <c r="AD280" s="45"/>
      <c r="AE280" s="45"/>
      <c r="AF280" s="45"/>
      <c r="AG280" s="45"/>
      <c r="AH280" s="45"/>
      <c r="AI280" s="45"/>
      <c r="AJ280" s="45"/>
      <c r="AK280" s="45"/>
      <c r="AL280" s="45"/>
      <c r="AM280" s="45"/>
      <c r="AN280" s="45"/>
      <c r="AO280" s="45"/>
      <c r="AP280" s="45"/>
      <c r="AQ280" s="45"/>
      <c r="AR280" s="45"/>
      <c r="AS280" s="45"/>
      <c r="AT280" s="45"/>
      <c r="AU280" s="45"/>
      <c r="AV280" s="47"/>
      <c r="AW280" s="48" t="s">
        <v>67</v>
      </c>
      <c r="AX280" s="49" t="s">
        <v>68</v>
      </c>
      <c r="AY280" s="50">
        <f t="shared" si="27"/>
        <v>37.349800000000002</v>
      </c>
      <c r="AZ280" s="50">
        <f t="shared" si="28"/>
        <v>33.651800000000001</v>
      </c>
      <c r="BA280" s="51">
        <f t="shared" si="29"/>
        <v>19.044699999999999</v>
      </c>
    </row>
    <row r="281" spans="1:53" ht="22.5" customHeight="1">
      <c r="A281" s="55" t="s">
        <v>222</v>
      </c>
      <c r="B281" s="42" t="s">
        <v>64</v>
      </c>
      <c r="C281" s="43">
        <v>4017063</v>
      </c>
      <c r="D281" s="56" t="s">
        <v>436</v>
      </c>
      <c r="E281" s="56" t="s">
        <v>442</v>
      </c>
      <c r="F281" s="45">
        <v>3099</v>
      </c>
      <c r="G281" s="46">
        <v>1849</v>
      </c>
      <c r="H281" s="46">
        <v>1849</v>
      </c>
      <c r="I281" s="46">
        <v>1849</v>
      </c>
      <c r="J281" s="46">
        <v>1799</v>
      </c>
      <c r="K281" s="46">
        <v>1599</v>
      </c>
      <c r="L281" s="46">
        <v>1599</v>
      </c>
      <c r="M281" s="46">
        <v>1799</v>
      </c>
      <c r="N281" s="46">
        <v>1599</v>
      </c>
      <c r="O281" s="46">
        <v>1549</v>
      </c>
      <c r="P281" s="46">
        <v>1499</v>
      </c>
      <c r="Q281" s="46">
        <v>1299</v>
      </c>
      <c r="R281" s="46">
        <v>1549</v>
      </c>
      <c r="S281" s="46">
        <v>1499</v>
      </c>
      <c r="T281" s="46">
        <v>1299</v>
      </c>
      <c r="U281" s="46">
        <v>1299</v>
      </c>
      <c r="V281" s="46">
        <v>1299</v>
      </c>
      <c r="W281" s="46">
        <v>1299</v>
      </c>
      <c r="X281" s="46">
        <v>1299</v>
      </c>
      <c r="Y281" s="46">
        <v>1299</v>
      </c>
      <c r="Z281" s="46">
        <v>1299</v>
      </c>
      <c r="AA281" s="46">
        <v>1299</v>
      </c>
      <c r="AB281" s="45"/>
      <c r="AC281" s="45"/>
      <c r="AD281" s="45"/>
      <c r="AE281" s="45"/>
      <c r="AF281" s="45"/>
      <c r="AG281" s="45"/>
      <c r="AH281" s="45"/>
      <c r="AI281" s="45"/>
      <c r="AJ281" s="45"/>
      <c r="AK281" s="45"/>
      <c r="AL281" s="45"/>
      <c r="AM281" s="45"/>
      <c r="AN281" s="45"/>
      <c r="AO281" s="45"/>
      <c r="AP281" s="45"/>
      <c r="AQ281" s="45"/>
      <c r="AR281" s="45"/>
      <c r="AS281" s="45"/>
      <c r="AT281" s="45"/>
      <c r="AU281" s="45"/>
      <c r="AV281" s="47"/>
      <c r="AW281" s="48" t="s">
        <v>67</v>
      </c>
      <c r="AX281" s="49" t="s">
        <v>68</v>
      </c>
      <c r="AY281" s="50">
        <f t="shared" si="27"/>
        <v>37.349800000000002</v>
      </c>
      <c r="AZ281" s="50">
        <f t="shared" si="28"/>
        <v>33.651800000000001</v>
      </c>
      <c r="BA281" s="51">
        <f t="shared" si="29"/>
        <v>19.044699999999999</v>
      </c>
    </row>
    <row r="282" spans="1:53" ht="22.5" customHeight="1">
      <c r="A282" s="55" t="s">
        <v>222</v>
      </c>
      <c r="B282" s="42" t="s">
        <v>64</v>
      </c>
      <c r="C282" s="43">
        <v>4017856</v>
      </c>
      <c r="D282" s="56" t="s">
        <v>443</v>
      </c>
      <c r="E282" s="56" t="s">
        <v>444</v>
      </c>
      <c r="F282" s="45">
        <v>3599</v>
      </c>
      <c r="G282" s="45">
        <v>2599</v>
      </c>
      <c r="H282" s="45">
        <v>2599</v>
      </c>
      <c r="I282" s="45">
        <v>2599</v>
      </c>
      <c r="J282" s="45">
        <v>2299</v>
      </c>
      <c r="K282" s="45">
        <v>2299</v>
      </c>
      <c r="L282" s="45">
        <v>2299</v>
      </c>
      <c r="M282" s="45">
        <v>2299</v>
      </c>
      <c r="N282" s="45">
        <v>2299</v>
      </c>
      <c r="O282" s="45">
        <v>2249</v>
      </c>
      <c r="P282" s="46">
        <v>2199</v>
      </c>
      <c r="Q282" s="46">
        <v>1499</v>
      </c>
      <c r="R282" s="45">
        <v>2249</v>
      </c>
      <c r="S282" s="45">
        <v>2199</v>
      </c>
      <c r="T282" s="45">
        <v>1499</v>
      </c>
      <c r="U282" s="45">
        <v>1499</v>
      </c>
      <c r="V282" s="45">
        <v>1499</v>
      </c>
      <c r="W282" s="45">
        <v>1499</v>
      </c>
      <c r="X282" s="45">
        <v>1449</v>
      </c>
      <c r="Y282" s="45">
        <v>1399</v>
      </c>
      <c r="Z282" s="45">
        <v>1399</v>
      </c>
      <c r="AA282" s="45">
        <v>1399</v>
      </c>
      <c r="AB282" s="45">
        <v>2299</v>
      </c>
      <c r="AC282" s="45">
        <v>2299</v>
      </c>
      <c r="AD282" s="45">
        <v>2299</v>
      </c>
      <c r="AE282" s="45">
        <v>2249</v>
      </c>
      <c r="AF282" s="45">
        <v>2199</v>
      </c>
      <c r="AG282" s="45">
        <v>2199</v>
      </c>
      <c r="AH282" s="45">
        <v>1499</v>
      </c>
      <c r="AI282" s="45">
        <v>1499</v>
      </c>
      <c r="AJ282" s="45">
        <v>1499</v>
      </c>
      <c r="AK282" s="45">
        <v>1499</v>
      </c>
      <c r="AL282" s="45">
        <v>1399</v>
      </c>
      <c r="AM282" s="45"/>
      <c r="AN282" s="45"/>
      <c r="AO282" s="45"/>
      <c r="AP282" s="45"/>
      <c r="AQ282" s="45"/>
      <c r="AR282" s="45"/>
      <c r="AS282" s="45"/>
      <c r="AT282" s="45"/>
      <c r="AU282" s="45"/>
      <c r="AV282" s="47"/>
      <c r="AW282" s="48" t="s">
        <v>67</v>
      </c>
      <c r="AX282" s="49" t="s">
        <v>68</v>
      </c>
      <c r="AY282" s="50">
        <f t="shared" si="27"/>
        <v>52.4998</v>
      </c>
      <c r="AZ282" s="50">
        <f t="shared" si="28"/>
        <v>47.3018</v>
      </c>
      <c r="BA282" s="51">
        <f t="shared" si="29"/>
        <v>26.7697</v>
      </c>
    </row>
    <row r="283" spans="1:53" ht="22.5" customHeight="1">
      <c r="A283" s="55" t="s">
        <v>222</v>
      </c>
      <c r="B283" s="42" t="s">
        <v>64</v>
      </c>
      <c r="C283" s="43">
        <v>4017873</v>
      </c>
      <c r="D283" s="56" t="s">
        <v>443</v>
      </c>
      <c r="E283" s="56" t="s">
        <v>445</v>
      </c>
      <c r="F283" s="45">
        <v>3599</v>
      </c>
      <c r="G283" s="45">
        <v>2599</v>
      </c>
      <c r="H283" s="45">
        <v>2599</v>
      </c>
      <c r="I283" s="45">
        <v>2599</v>
      </c>
      <c r="J283" s="45">
        <v>2299</v>
      </c>
      <c r="K283" s="45">
        <v>2299</v>
      </c>
      <c r="L283" s="45">
        <v>2299</v>
      </c>
      <c r="M283" s="45">
        <v>2299</v>
      </c>
      <c r="N283" s="45">
        <v>2299</v>
      </c>
      <c r="O283" s="45">
        <v>2249</v>
      </c>
      <c r="P283" s="46">
        <v>2199</v>
      </c>
      <c r="Q283" s="46">
        <v>1499</v>
      </c>
      <c r="R283" s="45">
        <v>2249</v>
      </c>
      <c r="S283" s="45">
        <v>2199</v>
      </c>
      <c r="T283" s="45">
        <v>1499</v>
      </c>
      <c r="U283" s="45">
        <v>1499</v>
      </c>
      <c r="V283" s="45">
        <v>1499</v>
      </c>
      <c r="W283" s="45">
        <v>1499</v>
      </c>
      <c r="X283" s="45">
        <v>1449</v>
      </c>
      <c r="Y283" s="45">
        <v>1399</v>
      </c>
      <c r="Z283" s="45">
        <v>1399</v>
      </c>
      <c r="AA283" s="45">
        <v>1399</v>
      </c>
      <c r="AB283" s="45">
        <v>2299</v>
      </c>
      <c r="AC283" s="45">
        <v>2299</v>
      </c>
      <c r="AD283" s="45">
        <v>2299</v>
      </c>
      <c r="AE283" s="45">
        <v>2249</v>
      </c>
      <c r="AF283" s="45">
        <v>2199</v>
      </c>
      <c r="AG283" s="45">
        <v>2199</v>
      </c>
      <c r="AH283" s="45">
        <v>1499</v>
      </c>
      <c r="AI283" s="45">
        <v>1499</v>
      </c>
      <c r="AJ283" s="45">
        <v>1499</v>
      </c>
      <c r="AK283" s="45">
        <v>1499</v>
      </c>
      <c r="AL283" s="45">
        <v>1399</v>
      </c>
      <c r="AM283" s="45"/>
      <c r="AN283" s="45"/>
      <c r="AO283" s="45"/>
      <c r="AP283" s="45"/>
      <c r="AQ283" s="45"/>
      <c r="AR283" s="45"/>
      <c r="AS283" s="45"/>
      <c r="AT283" s="45"/>
      <c r="AU283" s="45"/>
      <c r="AV283" s="47"/>
      <c r="AW283" s="48" t="s">
        <v>67</v>
      </c>
      <c r="AX283" s="49" t="s">
        <v>68</v>
      </c>
      <c r="AY283" s="50">
        <f t="shared" si="27"/>
        <v>52.4998</v>
      </c>
      <c r="AZ283" s="50">
        <f t="shared" si="28"/>
        <v>47.3018</v>
      </c>
      <c r="BA283" s="51">
        <f t="shared" si="29"/>
        <v>26.7697</v>
      </c>
    </row>
    <row r="284" spans="1:53" ht="22.5" customHeight="1">
      <c r="A284" s="55" t="s">
        <v>222</v>
      </c>
      <c r="B284" s="42" t="s">
        <v>64</v>
      </c>
      <c r="C284" s="43">
        <v>4017838</v>
      </c>
      <c r="D284" s="56" t="s">
        <v>443</v>
      </c>
      <c r="E284" s="56" t="s">
        <v>446</v>
      </c>
      <c r="F284" s="45">
        <v>3599</v>
      </c>
      <c r="G284" s="45">
        <v>2599</v>
      </c>
      <c r="H284" s="45">
        <v>2599</v>
      </c>
      <c r="I284" s="45">
        <v>2599</v>
      </c>
      <c r="J284" s="45">
        <v>2299</v>
      </c>
      <c r="K284" s="45">
        <v>2299</v>
      </c>
      <c r="L284" s="45">
        <v>2299</v>
      </c>
      <c r="M284" s="45">
        <v>2299</v>
      </c>
      <c r="N284" s="45">
        <v>2299</v>
      </c>
      <c r="O284" s="45">
        <v>2249</v>
      </c>
      <c r="P284" s="46">
        <v>2199</v>
      </c>
      <c r="Q284" s="46">
        <v>1499</v>
      </c>
      <c r="R284" s="45">
        <v>2249</v>
      </c>
      <c r="S284" s="45">
        <v>2199</v>
      </c>
      <c r="T284" s="45">
        <v>1499</v>
      </c>
      <c r="U284" s="45">
        <v>1499</v>
      </c>
      <c r="V284" s="45">
        <v>1499</v>
      </c>
      <c r="W284" s="45">
        <v>1499</v>
      </c>
      <c r="X284" s="45">
        <v>1449</v>
      </c>
      <c r="Y284" s="45">
        <v>1399</v>
      </c>
      <c r="Z284" s="45">
        <v>1399</v>
      </c>
      <c r="AA284" s="45">
        <v>1399</v>
      </c>
      <c r="AB284" s="45">
        <v>2299</v>
      </c>
      <c r="AC284" s="45">
        <v>2299</v>
      </c>
      <c r="AD284" s="45">
        <v>2299</v>
      </c>
      <c r="AE284" s="45">
        <v>2249</v>
      </c>
      <c r="AF284" s="45">
        <v>2199</v>
      </c>
      <c r="AG284" s="45">
        <v>2199</v>
      </c>
      <c r="AH284" s="45">
        <v>1499</v>
      </c>
      <c r="AI284" s="45">
        <v>1499</v>
      </c>
      <c r="AJ284" s="45">
        <v>1499</v>
      </c>
      <c r="AK284" s="45">
        <v>1499</v>
      </c>
      <c r="AL284" s="45">
        <v>1399</v>
      </c>
      <c r="AM284" s="45"/>
      <c r="AN284" s="45"/>
      <c r="AO284" s="45"/>
      <c r="AP284" s="45"/>
      <c r="AQ284" s="45"/>
      <c r="AR284" s="45"/>
      <c r="AS284" s="45"/>
      <c r="AT284" s="45"/>
      <c r="AU284" s="45"/>
      <c r="AV284" s="47"/>
      <c r="AW284" s="48" t="s">
        <v>67</v>
      </c>
      <c r="AX284" s="49" t="s">
        <v>68</v>
      </c>
      <c r="AY284" s="50">
        <f t="shared" si="27"/>
        <v>52.4998</v>
      </c>
      <c r="AZ284" s="50">
        <f t="shared" si="28"/>
        <v>47.3018</v>
      </c>
      <c r="BA284" s="51">
        <f t="shared" si="29"/>
        <v>26.7697</v>
      </c>
    </row>
    <row r="285" spans="1:53" ht="22.5" customHeight="1">
      <c r="A285" s="55" t="s">
        <v>222</v>
      </c>
      <c r="B285" s="42" t="s">
        <v>64</v>
      </c>
      <c r="C285" s="43">
        <v>4017854</v>
      </c>
      <c r="D285" s="56" t="s">
        <v>443</v>
      </c>
      <c r="E285" s="56" t="s">
        <v>447</v>
      </c>
      <c r="F285" s="45">
        <v>3599</v>
      </c>
      <c r="G285" s="45">
        <v>2599</v>
      </c>
      <c r="H285" s="45">
        <v>2599</v>
      </c>
      <c r="I285" s="45">
        <v>2599</v>
      </c>
      <c r="J285" s="45">
        <v>2299</v>
      </c>
      <c r="K285" s="45">
        <v>2299</v>
      </c>
      <c r="L285" s="45">
        <v>2299</v>
      </c>
      <c r="M285" s="45">
        <v>2299</v>
      </c>
      <c r="N285" s="45">
        <v>2299</v>
      </c>
      <c r="O285" s="45">
        <v>2249</v>
      </c>
      <c r="P285" s="46">
        <v>2199</v>
      </c>
      <c r="Q285" s="46">
        <v>1499</v>
      </c>
      <c r="R285" s="45">
        <v>2249</v>
      </c>
      <c r="S285" s="45">
        <v>2199</v>
      </c>
      <c r="T285" s="45">
        <v>1499</v>
      </c>
      <c r="U285" s="45">
        <v>1499</v>
      </c>
      <c r="V285" s="45">
        <v>1499</v>
      </c>
      <c r="W285" s="45">
        <v>1499</v>
      </c>
      <c r="X285" s="45">
        <v>1449</v>
      </c>
      <c r="Y285" s="45">
        <v>1399</v>
      </c>
      <c r="Z285" s="45">
        <v>1399</v>
      </c>
      <c r="AA285" s="45">
        <v>1399</v>
      </c>
      <c r="AB285" s="45">
        <v>2299</v>
      </c>
      <c r="AC285" s="45">
        <v>2299</v>
      </c>
      <c r="AD285" s="45">
        <v>2299</v>
      </c>
      <c r="AE285" s="45">
        <v>2249</v>
      </c>
      <c r="AF285" s="45">
        <v>2199</v>
      </c>
      <c r="AG285" s="45">
        <v>2199</v>
      </c>
      <c r="AH285" s="45">
        <v>1499</v>
      </c>
      <c r="AI285" s="45">
        <v>1499</v>
      </c>
      <c r="AJ285" s="45">
        <v>1499</v>
      </c>
      <c r="AK285" s="45">
        <v>1499</v>
      </c>
      <c r="AL285" s="45">
        <v>1399</v>
      </c>
      <c r="AM285" s="45"/>
      <c r="AN285" s="45"/>
      <c r="AO285" s="45"/>
      <c r="AP285" s="45"/>
      <c r="AQ285" s="45"/>
      <c r="AR285" s="45"/>
      <c r="AS285" s="45"/>
      <c r="AT285" s="45"/>
      <c r="AU285" s="45"/>
      <c r="AV285" s="47"/>
      <c r="AW285" s="48" t="s">
        <v>67</v>
      </c>
      <c r="AX285" s="49" t="s">
        <v>68</v>
      </c>
      <c r="AY285" s="50">
        <f t="shared" si="27"/>
        <v>52.4998</v>
      </c>
      <c r="AZ285" s="50">
        <f t="shared" si="28"/>
        <v>47.3018</v>
      </c>
      <c r="BA285" s="51">
        <f t="shared" si="29"/>
        <v>26.7697</v>
      </c>
    </row>
    <row r="286" spans="1:53" ht="22.5" customHeight="1">
      <c r="A286" s="55" t="s">
        <v>222</v>
      </c>
      <c r="B286" s="42" t="s">
        <v>64</v>
      </c>
      <c r="C286" s="43">
        <v>4017850</v>
      </c>
      <c r="D286" s="56" t="s">
        <v>443</v>
      </c>
      <c r="E286" s="56" t="s">
        <v>448</v>
      </c>
      <c r="F286" s="45">
        <v>3599</v>
      </c>
      <c r="G286" s="45">
        <v>2599</v>
      </c>
      <c r="H286" s="45">
        <v>2599</v>
      </c>
      <c r="I286" s="45">
        <v>2599</v>
      </c>
      <c r="J286" s="45">
        <v>2299</v>
      </c>
      <c r="K286" s="45">
        <v>2299</v>
      </c>
      <c r="L286" s="45">
        <v>2299</v>
      </c>
      <c r="M286" s="45">
        <v>2299</v>
      </c>
      <c r="N286" s="45">
        <v>2299</v>
      </c>
      <c r="O286" s="45">
        <v>2249</v>
      </c>
      <c r="P286" s="46">
        <v>2199</v>
      </c>
      <c r="Q286" s="46">
        <v>1499</v>
      </c>
      <c r="R286" s="45">
        <v>2249</v>
      </c>
      <c r="S286" s="45">
        <v>2199</v>
      </c>
      <c r="T286" s="45">
        <v>1499</v>
      </c>
      <c r="U286" s="45">
        <v>1499</v>
      </c>
      <c r="V286" s="45">
        <v>1499</v>
      </c>
      <c r="W286" s="45">
        <v>1499</v>
      </c>
      <c r="X286" s="45">
        <v>1449</v>
      </c>
      <c r="Y286" s="45">
        <v>1399</v>
      </c>
      <c r="Z286" s="45">
        <v>1399</v>
      </c>
      <c r="AA286" s="45">
        <v>1399</v>
      </c>
      <c r="AB286" s="45">
        <v>2299</v>
      </c>
      <c r="AC286" s="45">
        <v>2299</v>
      </c>
      <c r="AD286" s="45">
        <v>2299</v>
      </c>
      <c r="AE286" s="45">
        <v>2249</v>
      </c>
      <c r="AF286" s="45">
        <v>2199</v>
      </c>
      <c r="AG286" s="45">
        <v>2199</v>
      </c>
      <c r="AH286" s="45">
        <v>1499</v>
      </c>
      <c r="AI286" s="45">
        <v>1499</v>
      </c>
      <c r="AJ286" s="45">
        <v>1499</v>
      </c>
      <c r="AK286" s="45">
        <v>1499</v>
      </c>
      <c r="AL286" s="45">
        <v>1399</v>
      </c>
      <c r="AM286" s="45"/>
      <c r="AN286" s="45"/>
      <c r="AO286" s="45"/>
      <c r="AP286" s="45"/>
      <c r="AQ286" s="45"/>
      <c r="AR286" s="45"/>
      <c r="AS286" s="45"/>
      <c r="AT286" s="45"/>
      <c r="AU286" s="45"/>
      <c r="AV286" s="47"/>
      <c r="AW286" s="48" t="s">
        <v>67</v>
      </c>
      <c r="AX286" s="49" t="s">
        <v>68</v>
      </c>
      <c r="AY286" s="50">
        <f t="shared" si="27"/>
        <v>52.4998</v>
      </c>
      <c r="AZ286" s="50">
        <f t="shared" si="28"/>
        <v>47.3018</v>
      </c>
      <c r="BA286" s="51">
        <f t="shared" si="29"/>
        <v>26.7697</v>
      </c>
    </row>
    <row r="287" spans="1:53" ht="22.5" customHeight="1">
      <c r="A287" s="55" t="s">
        <v>222</v>
      </c>
      <c r="B287" s="42" t="s">
        <v>64</v>
      </c>
      <c r="C287" s="43">
        <v>4017869</v>
      </c>
      <c r="D287" s="56" t="s">
        <v>443</v>
      </c>
      <c r="E287" s="56" t="s">
        <v>449</v>
      </c>
      <c r="F287" s="45">
        <v>3599</v>
      </c>
      <c r="G287" s="45">
        <v>2599</v>
      </c>
      <c r="H287" s="45">
        <v>2599</v>
      </c>
      <c r="I287" s="45">
        <v>2599</v>
      </c>
      <c r="J287" s="45">
        <v>2299</v>
      </c>
      <c r="K287" s="45">
        <v>2299</v>
      </c>
      <c r="L287" s="45">
        <v>2299</v>
      </c>
      <c r="M287" s="45">
        <v>2299</v>
      </c>
      <c r="N287" s="45">
        <v>2299</v>
      </c>
      <c r="O287" s="45">
        <v>2249</v>
      </c>
      <c r="P287" s="46">
        <v>2199</v>
      </c>
      <c r="Q287" s="46">
        <v>1499</v>
      </c>
      <c r="R287" s="45">
        <v>2249</v>
      </c>
      <c r="S287" s="45">
        <v>2199</v>
      </c>
      <c r="T287" s="45">
        <v>1499</v>
      </c>
      <c r="U287" s="45">
        <v>1499</v>
      </c>
      <c r="V287" s="45">
        <v>1499</v>
      </c>
      <c r="W287" s="45">
        <v>1499</v>
      </c>
      <c r="X287" s="45">
        <v>1449</v>
      </c>
      <c r="Y287" s="45">
        <v>1399</v>
      </c>
      <c r="Z287" s="45">
        <v>1399</v>
      </c>
      <c r="AA287" s="45">
        <v>1399</v>
      </c>
      <c r="AB287" s="45">
        <v>2299</v>
      </c>
      <c r="AC287" s="45">
        <v>2299</v>
      </c>
      <c r="AD287" s="45">
        <v>2299</v>
      </c>
      <c r="AE287" s="45">
        <v>2249</v>
      </c>
      <c r="AF287" s="45">
        <v>2199</v>
      </c>
      <c r="AG287" s="45">
        <v>2199</v>
      </c>
      <c r="AH287" s="45">
        <v>1499</v>
      </c>
      <c r="AI287" s="45">
        <v>1499</v>
      </c>
      <c r="AJ287" s="45">
        <v>1499</v>
      </c>
      <c r="AK287" s="45">
        <v>1499</v>
      </c>
      <c r="AL287" s="45">
        <v>1399</v>
      </c>
      <c r="AM287" s="45"/>
      <c r="AN287" s="45"/>
      <c r="AO287" s="45"/>
      <c r="AP287" s="45"/>
      <c r="AQ287" s="45"/>
      <c r="AR287" s="45"/>
      <c r="AS287" s="45"/>
      <c r="AT287" s="45"/>
      <c r="AU287" s="45"/>
      <c r="AV287" s="47"/>
      <c r="AW287" s="48" t="s">
        <v>67</v>
      </c>
      <c r="AX287" s="49" t="s">
        <v>68</v>
      </c>
      <c r="AY287" s="50">
        <f t="shared" si="27"/>
        <v>52.4998</v>
      </c>
      <c r="AZ287" s="50">
        <f t="shared" si="28"/>
        <v>47.3018</v>
      </c>
      <c r="BA287" s="51">
        <f t="shared" si="29"/>
        <v>26.7697</v>
      </c>
    </row>
    <row r="288" spans="1:53" ht="22.5" customHeight="1">
      <c r="A288" s="55" t="s">
        <v>222</v>
      </c>
      <c r="B288" s="42" t="s">
        <v>64</v>
      </c>
      <c r="C288" s="43">
        <v>4014478</v>
      </c>
      <c r="D288" s="56" t="s">
        <v>450</v>
      </c>
      <c r="E288" s="56" t="s">
        <v>451</v>
      </c>
      <c r="F288" s="45">
        <v>899</v>
      </c>
      <c r="G288" s="45">
        <v>599</v>
      </c>
      <c r="H288" s="45">
        <v>599</v>
      </c>
      <c r="I288" s="45">
        <v>599</v>
      </c>
      <c r="J288" s="45">
        <f t="shared" si="24"/>
        <v>499</v>
      </c>
      <c r="K288" s="45">
        <f t="shared" ref="K288:L294" si="30">M288</f>
        <v>499</v>
      </c>
      <c r="L288" s="45">
        <f t="shared" si="30"/>
        <v>499</v>
      </c>
      <c r="M288" s="45">
        <v>499</v>
      </c>
      <c r="N288" s="45">
        <v>499</v>
      </c>
      <c r="O288" s="45">
        <f t="shared" si="26"/>
        <v>449</v>
      </c>
      <c r="P288" s="46">
        <f t="shared" si="26"/>
        <v>449</v>
      </c>
      <c r="Q288" s="46">
        <f t="shared" si="26"/>
        <v>449</v>
      </c>
      <c r="R288" s="45">
        <v>449</v>
      </c>
      <c r="S288" s="45">
        <v>449</v>
      </c>
      <c r="T288" s="45">
        <v>449</v>
      </c>
      <c r="U288" s="45">
        <v>449</v>
      </c>
      <c r="V288" s="45">
        <v>449</v>
      </c>
      <c r="W288" s="45">
        <v>449</v>
      </c>
      <c r="X288" s="45">
        <v>449</v>
      </c>
      <c r="Y288" s="45">
        <v>449</v>
      </c>
      <c r="Z288" s="45">
        <v>449</v>
      </c>
      <c r="AA288" s="45">
        <v>449</v>
      </c>
      <c r="AB288" s="45"/>
      <c r="AC288" s="45"/>
      <c r="AD288" s="45"/>
      <c r="AE288" s="45"/>
      <c r="AF288" s="45"/>
      <c r="AG288" s="45"/>
      <c r="AH288" s="45"/>
      <c r="AI288" s="45"/>
      <c r="AJ288" s="45"/>
      <c r="AK288" s="45"/>
      <c r="AL288" s="45"/>
      <c r="AM288" s="45"/>
      <c r="AN288" s="45"/>
      <c r="AO288" s="45"/>
      <c r="AP288" s="45"/>
      <c r="AQ288" s="45"/>
      <c r="AR288" s="45"/>
      <c r="AS288" s="45"/>
      <c r="AT288" s="45"/>
      <c r="AU288" s="45"/>
      <c r="AV288" s="47"/>
      <c r="AW288" s="48" t="s">
        <v>67</v>
      </c>
      <c r="AX288" s="49" t="s">
        <v>68</v>
      </c>
      <c r="AY288" s="50">
        <f t="shared" si="27"/>
        <v>12.0998</v>
      </c>
      <c r="AZ288" s="50">
        <f t="shared" si="28"/>
        <v>10.9018</v>
      </c>
      <c r="BA288" s="51">
        <f t="shared" si="29"/>
        <v>6.1696999999999997</v>
      </c>
    </row>
    <row r="289" spans="1:53" ht="22.5" customHeight="1">
      <c r="A289" s="55" t="s">
        <v>222</v>
      </c>
      <c r="B289" s="42" t="s">
        <v>64</v>
      </c>
      <c r="C289" s="43">
        <v>4014480</v>
      </c>
      <c r="D289" s="56" t="s">
        <v>450</v>
      </c>
      <c r="E289" s="56" t="s">
        <v>452</v>
      </c>
      <c r="F289" s="45">
        <v>899</v>
      </c>
      <c r="G289" s="45">
        <v>599</v>
      </c>
      <c r="H289" s="45">
        <v>599</v>
      </c>
      <c r="I289" s="45">
        <v>599</v>
      </c>
      <c r="J289" s="45">
        <f t="shared" si="24"/>
        <v>499</v>
      </c>
      <c r="K289" s="45">
        <f t="shared" si="30"/>
        <v>499</v>
      </c>
      <c r="L289" s="45">
        <f t="shared" si="30"/>
        <v>499</v>
      </c>
      <c r="M289" s="45">
        <v>499</v>
      </c>
      <c r="N289" s="45">
        <v>499</v>
      </c>
      <c r="O289" s="45">
        <f t="shared" si="26"/>
        <v>449</v>
      </c>
      <c r="P289" s="46">
        <f t="shared" si="26"/>
        <v>449</v>
      </c>
      <c r="Q289" s="46">
        <f t="shared" si="26"/>
        <v>449</v>
      </c>
      <c r="R289" s="45">
        <v>449</v>
      </c>
      <c r="S289" s="45">
        <v>449</v>
      </c>
      <c r="T289" s="45">
        <v>449</v>
      </c>
      <c r="U289" s="45">
        <v>449</v>
      </c>
      <c r="V289" s="45">
        <v>449</v>
      </c>
      <c r="W289" s="45">
        <v>449</v>
      </c>
      <c r="X289" s="45">
        <v>449</v>
      </c>
      <c r="Y289" s="45">
        <v>449</v>
      </c>
      <c r="Z289" s="45">
        <v>449</v>
      </c>
      <c r="AA289" s="45">
        <v>449</v>
      </c>
      <c r="AB289" s="45"/>
      <c r="AC289" s="45"/>
      <c r="AD289" s="45"/>
      <c r="AE289" s="45"/>
      <c r="AF289" s="45"/>
      <c r="AG289" s="45"/>
      <c r="AH289" s="45"/>
      <c r="AI289" s="45"/>
      <c r="AJ289" s="45"/>
      <c r="AK289" s="45"/>
      <c r="AL289" s="45"/>
      <c r="AM289" s="45"/>
      <c r="AN289" s="45"/>
      <c r="AO289" s="45"/>
      <c r="AP289" s="45"/>
      <c r="AQ289" s="45"/>
      <c r="AR289" s="45"/>
      <c r="AS289" s="45"/>
      <c r="AT289" s="45"/>
      <c r="AU289" s="45"/>
      <c r="AV289" s="47"/>
      <c r="AW289" s="48" t="s">
        <v>67</v>
      </c>
      <c r="AX289" s="49" t="s">
        <v>68</v>
      </c>
      <c r="AY289" s="50">
        <f t="shared" si="27"/>
        <v>12.0998</v>
      </c>
      <c r="AZ289" s="50">
        <f t="shared" si="28"/>
        <v>10.9018</v>
      </c>
      <c r="BA289" s="51">
        <f t="shared" si="29"/>
        <v>6.1696999999999997</v>
      </c>
    </row>
    <row r="290" spans="1:53" ht="22.5" customHeight="1">
      <c r="A290" s="55" t="s">
        <v>222</v>
      </c>
      <c r="B290" s="42" t="s">
        <v>64</v>
      </c>
      <c r="C290" s="43">
        <v>4014519</v>
      </c>
      <c r="D290" s="56" t="s">
        <v>450</v>
      </c>
      <c r="E290" s="56" t="s">
        <v>453</v>
      </c>
      <c r="F290" s="45">
        <v>899</v>
      </c>
      <c r="G290" s="45">
        <v>599</v>
      </c>
      <c r="H290" s="45">
        <v>599</v>
      </c>
      <c r="I290" s="45">
        <v>599</v>
      </c>
      <c r="J290" s="45">
        <f t="shared" si="24"/>
        <v>499</v>
      </c>
      <c r="K290" s="45">
        <f t="shared" si="30"/>
        <v>499</v>
      </c>
      <c r="L290" s="45">
        <f t="shared" si="30"/>
        <v>499</v>
      </c>
      <c r="M290" s="45">
        <v>499</v>
      </c>
      <c r="N290" s="45">
        <v>499</v>
      </c>
      <c r="O290" s="45">
        <f t="shared" si="26"/>
        <v>449</v>
      </c>
      <c r="P290" s="46">
        <f t="shared" si="26"/>
        <v>449</v>
      </c>
      <c r="Q290" s="46">
        <f t="shared" si="26"/>
        <v>449</v>
      </c>
      <c r="R290" s="45">
        <v>449</v>
      </c>
      <c r="S290" s="45">
        <v>449</v>
      </c>
      <c r="T290" s="45">
        <v>449</v>
      </c>
      <c r="U290" s="45">
        <v>449</v>
      </c>
      <c r="V290" s="45">
        <v>449</v>
      </c>
      <c r="W290" s="45">
        <v>449</v>
      </c>
      <c r="X290" s="45">
        <v>449</v>
      </c>
      <c r="Y290" s="45">
        <v>449</v>
      </c>
      <c r="Z290" s="45">
        <v>449</v>
      </c>
      <c r="AA290" s="45">
        <v>449</v>
      </c>
      <c r="AB290" s="45"/>
      <c r="AC290" s="45"/>
      <c r="AD290" s="45"/>
      <c r="AE290" s="45"/>
      <c r="AF290" s="45"/>
      <c r="AG290" s="45"/>
      <c r="AH290" s="45"/>
      <c r="AI290" s="45"/>
      <c r="AJ290" s="45"/>
      <c r="AK290" s="45"/>
      <c r="AL290" s="45"/>
      <c r="AM290" s="45"/>
      <c r="AN290" s="45"/>
      <c r="AO290" s="45"/>
      <c r="AP290" s="45"/>
      <c r="AQ290" s="45"/>
      <c r="AR290" s="45"/>
      <c r="AS290" s="45"/>
      <c r="AT290" s="45"/>
      <c r="AU290" s="45"/>
      <c r="AV290" s="47"/>
      <c r="AW290" s="48" t="s">
        <v>67</v>
      </c>
      <c r="AX290" s="49" t="s">
        <v>68</v>
      </c>
      <c r="AY290" s="50">
        <f t="shared" si="27"/>
        <v>12.0998</v>
      </c>
      <c r="AZ290" s="50">
        <f t="shared" si="28"/>
        <v>10.9018</v>
      </c>
      <c r="BA290" s="51">
        <f t="shared" si="29"/>
        <v>6.1696999999999997</v>
      </c>
    </row>
    <row r="291" spans="1:53" ht="22.5" customHeight="1">
      <c r="A291" s="55" t="s">
        <v>222</v>
      </c>
      <c r="B291" s="42" t="s">
        <v>64</v>
      </c>
      <c r="C291" s="43">
        <v>4015472</v>
      </c>
      <c r="D291" s="56" t="s">
        <v>454</v>
      </c>
      <c r="E291" s="56" t="s">
        <v>455</v>
      </c>
      <c r="F291" s="45">
        <v>3199</v>
      </c>
      <c r="G291" s="45">
        <v>1899</v>
      </c>
      <c r="H291" s="45">
        <v>1899</v>
      </c>
      <c r="I291" s="45">
        <v>1899</v>
      </c>
      <c r="J291" s="45">
        <f t="shared" si="24"/>
        <v>1699</v>
      </c>
      <c r="K291" s="45">
        <f t="shared" si="30"/>
        <v>1699</v>
      </c>
      <c r="L291" s="45">
        <f t="shared" si="30"/>
        <v>1699</v>
      </c>
      <c r="M291" s="45">
        <v>1699</v>
      </c>
      <c r="N291" s="45">
        <v>1699</v>
      </c>
      <c r="O291" s="45">
        <f t="shared" ref="O291:Q294" si="31">R291</f>
        <v>1649</v>
      </c>
      <c r="P291" s="46">
        <f t="shared" si="31"/>
        <v>1499</v>
      </c>
      <c r="Q291" s="46">
        <f t="shared" si="31"/>
        <v>1299</v>
      </c>
      <c r="R291" s="45">
        <v>1649</v>
      </c>
      <c r="S291" s="45">
        <v>1499</v>
      </c>
      <c r="T291" s="45">
        <v>1299</v>
      </c>
      <c r="U291" s="45">
        <v>1299</v>
      </c>
      <c r="V291" s="45">
        <v>1299</v>
      </c>
      <c r="W291" s="45">
        <v>1299</v>
      </c>
      <c r="X291" s="45">
        <v>1199</v>
      </c>
      <c r="Y291" s="45">
        <v>999</v>
      </c>
      <c r="Z291" s="45">
        <v>999</v>
      </c>
      <c r="AA291" s="45">
        <v>949</v>
      </c>
      <c r="AB291" s="45"/>
      <c r="AC291" s="45"/>
      <c r="AD291" s="45"/>
      <c r="AE291" s="45"/>
      <c r="AF291" s="45"/>
      <c r="AG291" s="45"/>
      <c r="AH291" s="45"/>
      <c r="AI291" s="45"/>
      <c r="AJ291" s="45"/>
      <c r="AK291" s="45"/>
      <c r="AL291" s="45"/>
      <c r="AM291" s="45"/>
      <c r="AN291" s="45"/>
      <c r="AO291" s="45"/>
      <c r="AP291" s="45"/>
      <c r="AQ291" s="45"/>
      <c r="AR291" s="45"/>
      <c r="AS291" s="45"/>
      <c r="AT291" s="45"/>
      <c r="AU291" s="45"/>
      <c r="AV291" s="47"/>
      <c r="AW291" s="48" t="s">
        <v>67</v>
      </c>
      <c r="AX291" s="49" t="s">
        <v>68</v>
      </c>
      <c r="AY291" s="50">
        <f t="shared" si="27"/>
        <v>38.3598</v>
      </c>
      <c r="AZ291" s="50">
        <f t="shared" si="28"/>
        <v>34.561800000000005</v>
      </c>
      <c r="BA291" s="51">
        <f t="shared" si="29"/>
        <v>19.559699999999999</v>
      </c>
    </row>
    <row r="292" spans="1:53" ht="22.5" customHeight="1">
      <c r="A292" s="55" t="s">
        <v>222</v>
      </c>
      <c r="B292" s="42" t="s">
        <v>64</v>
      </c>
      <c r="C292" s="43">
        <v>4015478</v>
      </c>
      <c r="D292" s="56" t="s">
        <v>454</v>
      </c>
      <c r="E292" s="56" t="s">
        <v>456</v>
      </c>
      <c r="F292" s="45">
        <v>3199</v>
      </c>
      <c r="G292" s="45">
        <v>1899</v>
      </c>
      <c r="H292" s="45">
        <v>1899</v>
      </c>
      <c r="I292" s="45">
        <v>1899</v>
      </c>
      <c r="J292" s="45">
        <f t="shared" si="24"/>
        <v>1699</v>
      </c>
      <c r="K292" s="45">
        <f t="shared" si="30"/>
        <v>1699</v>
      </c>
      <c r="L292" s="45">
        <f t="shared" si="30"/>
        <v>1699</v>
      </c>
      <c r="M292" s="45">
        <v>1699</v>
      </c>
      <c r="N292" s="45">
        <v>1699</v>
      </c>
      <c r="O292" s="45">
        <f t="shared" si="31"/>
        <v>1649</v>
      </c>
      <c r="P292" s="46">
        <f t="shared" si="31"/>
        <v>1499</v>
      </c>
      <c r="Q292" s="46">
        <f t="shared" si="31"/>
        <v>1299</v>
      </c>
      <c r="R292" s="45">
        <v>1649</v>
      </c>
      <c r="S292" s="45">
        <v>1499</v>
      </c>
      <c r="T292" s="45">
        <v>1299</v>
      </c>
      <c r="U292" s="45">
        <v>1299</v>
      </c>
      <c r="V292" s="45">
        <v>1299</v>
      </c>
      <c r="W292" s="45">
        <v>1299</v>
      </c>
      <c r="X292" s="45">
        <v>1199</v>
      </c>
      <c r="Y292" s="45">
        <v>999</v>
      </c>
      <c r="Z292" s="45">
        <v>999</v>
      </c>
      <c r="AA292" s="45">
        <v>949</v>
      </c>
      <c r="AB292" s="45"/>
      <c r="AC292" s="45"/>
      <c r="AD292" s="45"/>
      <c r="AE292" s="45"/>
      <c r="AF292" s="45"/>
      <c r="AG292" s="45"/>
      <c r="AH292" s="45"/>
      <c r="AI292" s="45"/>
      <c r="AJ292" s="45"/>
      <c r="AK292" s="45"/>
      <c r="AL292" s="45"/>
      <c r="AM292" s="45"/>
      <c r="AN292" s="45"/>
      <c r="AO292" s="45"/>
      <c r="AP292" s="45"/>
      <c r="AQ292" s="45"/>
      <c r="AR292" s="45"/>
      <c r="AS292" s="45"/>
      <c r="AT292" s="45"/>
      <c r="AU292" s="45"/>
      <c r="AV292" s="47"/>
      <c r="AW292" s="48" t="s">
        <v>67</v>
      </c>
      <c r="AX292" s="49" t="s">
        <v>68</v>
      </c>
      <c r="AY292" s="50">
        <f t="shared" si="27"/>
        <v>38.3598</v>
      </c>
      <c r="AZ292" s="50">
        <f t="shared" si="28"/>
        <v>34.561800000000005</v>
      </c>
      <c r="BA292" s="51">
        <f t="shared" si="29"/>
        <v>19.559699999999999</v>
      </c>
    </row>
    <row r="293" spans="1:53" ht="22.5" customHeight="1">
      <c r="A293" s="55" t="s">
        <v>222</v>
      </c>
      <c r="B293" s="42" t="s">
        <v>64</v>
      </c>
      <c r="C293" s="43">
        <v>4015481</v>
      </c>
      <c r="D293" s="56" t="s">
        <v>454</v>
      </c>
      <c r="E293" s="56" t="s">
        <v>457</v>
      </c>
      <c r="F293" s="45">
        <v>3199</v>
      </c>
      <c r="G293" s="45">
        <v>1899</v>
      </c>
      <c r="H293" s="45">
        <v>1899</v>
      </c>
      <c r="I293" s="45">
        <v>1899</v>
      </c>
      <c r="J293" s="45">
        <f t="shared" si="24"/>
        <v>1699</v>
      </c>
      <c r="K293" s="45">
        <f t="shared" si="30"/>
        <v>1699</v>
      </c>
      <c r="L293" s="45">
        <f t="shared" si="30"/>
        <v>1699</v>
      </c>
      <c r="M293" s="45">
        <v>1699</v>
      </c>
      <c r="N293" s="45">
        <v>1699</v>
      </c>
      <c r="O293" s="45">
        <f t="shared" si="31"/>
        <v>1649</v>
      </c>
      <c r="P293" s="46">
        <f t="shared" si="31"/>
        <v>1499</v>
      </c>
      <c r="Q293" s="46">
        <f t="shared" si="31"/>
        <v>1299</v>
      </c>
      <c r="R293" s="45">
        <v>1649</v>
      </c>
      <c r="S293" s="45">
        <v>1499</v>
      </c>
      <c r="T293" s="45">
        <v>1299</v>
      </c>
      <c r="U293" s="45">
        <v>1299</v>
      </c>
      <c r="V293" s="45">
        <v>1299</v>
      </c>
      <c r="W293" s="45">
        <v>1299</v>
      </c>
      <c r="X293" s="45">
        <v>1199</v>
      </c>
      <c r="Y293" s="45">
        <v>999</v>
      </c>
      <c r="Z293" s="45">
        <v>999</v>
      </c>
      <c r="AA293" s="45">
        <v>949</v>
      </c>
      <c r="AB293" s="45"/>
      <c r="AC293" s="45"/>
      <c r="AD293" s="45"/>
      <c r="AE293" s="45"/>
      <c r="AF293" s="45"/>
      <c r="AG293" s="45"/>
      <c r="AH293" s="45"/>
      <c r="AI293" s="45"/>
      <c r="AJ293" s="45"/>
      <c r="AK293" s="45"/>
      <c r="AL293" s="45"/>
      <c r="AM293" s="45"/>
      <c r="AN293" s="45"/>
      <c r="AO293" s="45"/>
      <c r="AP293" s="45"/>
      <c r="AQ293" s="45"/>
      <c r="AR293" s="45"/>
      <c r="AS293" s="45"/>
      <c r="AT293" s="45"/>
      <c r="AU293" s="45"/>
      <c r="AV293" s="47"/>
      <c r="AW293" s="48" t="s">
        <v>67</v>
      </c>
      <c r="AX293" s="49" t="s">
        <v>68</v>
      </c>
      <c r="AY293" s="50">
        <f t="shared" si="27"/>
        <v>38.3598</v>
      </c>
      <c r="AZ293" s="50">
        <f t="shared" si="28"/>
        <v>34.561800000000005</v>
      </c>
      <c r="BA293" s="51">
        <f t="shared" si="29"/>
        <v>19.559699999999999</v>
      </c>
    </row>
    <row r="294" spans="1:53" ht="22.5" customHeight="1">
      <c r="A294" s="55" t="s">
        <v>222</v>
      </c>
      <c r="B294" s="42" t="s">
        <v>64</v>
      </c>
      <c r="C294" s="43">
        <v>4015914</v>
      </c>
      <c r="D294" s="56" t="s">
        <v>454</v>
      </c>
      <c r="E294" s="56" t="s">
        <v>458</v>
      </c>
      <c r="F294" s="45">
        <v>3199</v>
      </c>
      <c r="G294" s="45">
        <v>1899</v>
      </c>
      <c r="H294" s="45">
        <v>1899</v>
      </c>
      <c r="I294" s="45">
        <v>1899</v>
      </c>
      <c r="J294" s="45">
        <f t="shared" si="24"/>
        <v>1699</v>
      </c>
      <c r="K294" s="45">
        <f t="shared" si="30"/>
        <v>1699</v>
      </c>
      <c r="L294" s="45">
        <f t="shared" si="30"/>
        <v>1699</v>
      </c>
      <c r="M294" s="45">
        <v>1699</v>
      </c>
      <c r="N294" s="45">
        <v>1699</v>
      </c>
      <c r="O294" s="45">
        <f t="shared" si="31"/>
        <v>1649</v>
      </c>
      <c r="P294" s="46">
        <f t="shared" si="31"/>
        <v>1499</v>
      </c>
      <c r="Q294" s="46">
        <f t="shared" si="31"/>
        <v>1299</v>
      </c>
      <c r="R294" s="45">
        <v>1649</v>
      </c>
      <c r="S294" s="45">
        <v>1499</v>
      </c>
      <c r="T294" s="45">
        <v>1299</v>
      </c>
      <c r="U294" s="45">
        <v>1299</v>
      </c>
      <c r="V294" s="45">
        <v>1299</v>
      </c>
      <c r="W294" s="45">
        <v>1299</v>
      </c>
      <c r="X294" s="45">
        <v>1199</v>
      </c>
      <c r="Y294" s="45">
        <v>999</v>
      </c>
      <c r="Z294" s="45">
        <v>999</v>
      </c>
      <c r="AA294" s="45">
        <v>949</v>
      </c>
      <c r="AB294" s="45"/>
      <c r="AC294" s="45"/>
      <c r="AD294" s="45"/>
      <c r="AE294" s="45"/>
      <c r="AF294" s="45"/>
      <c r="AG294" s="45"/>
      <c r="AH294" s="45"/>
      <c r="AI294" s="45"/>
      <c r="AJ294" s="45"/>
      <c r="AK294" s="45"/>
      <c r="AL294" s="45"/>
      <c r="AM294" s="45"/>
      <c r="AN294" s="45"/>
      <c r="AO294" s="45"/>
      <c r="AP294" s="45"/>
      <c r="AQ294" s="45"/>
      <c r="AR294" s="45"/>
      <c r="AS294" s="45"/>
      <c r="AT294" s="45"/>
      <c r="AU294" s="45"/>
      <c r="AV294" s="47"/>
      <c r="AW294" s="48" t="s">
        <v>67</v>
      </c>
      <c r="AX294" s="49" t="s">
        <v>68</v>
      </c>
      <c r="AY294" s="50">
        <f t="shared" si="27"/>
        <v>38.3598</v>
      </c>
      <c r="AZ294" s="50">
        <f t="shared" si="28"/>
        <v>34.561800000000005</v>
      </c>
      <c r="BA294" s="51">
        <f t="shared" si="29"/>
        <v>19.559699999999999</v>
      </c>
    </row>
    <row r="295" spans="1:53" ht="22.5" customHeight="1">
      <c r="A295" s="55" t="s">
        <v>222</v>
      </c>
      <c r="B295" s="42" t="s">
        <v>64</v>
      </c>
      <c r="C295" s="43">
        <v>4015938</v>
      </c>
      <c r="D295" s="56" t="s">
        <v>459</v>
      </c>
      <c r="E295" s="56" t="s">
        <v>460</v>
      </c>
      <c r="F295" s="45">
        <v>3499</v>
      </c>
      <c r="G295" s="45">
        <v>1999</v>
      </c>
      <c r="H295" s="45">
        <v>1999</v>
      </c>
      <c r="I295" s="45">
        <v>1999</v>
      </c>
      <c r="J295" s="45">
        <v>1899</v>
      </c>
      <c r="K295" s="45">
        <v>1799</v>
      </c>
      <c r="L295" s="45">
        <v>1799</v>
      </c>
      <c r="M295" s="45">
        <v>1899</v>
      </c>
      <c r="N295" s="45">
        <v>1799</v>
      </c>
      <c r="O295" s="45">
        <v>1749</v>
      </c>
      <c r="P295" s="46">
        <v>1699</v>
      </c>
      <c r="Q295" s="46">
        <v>1299</v>
      </c>
      <c r="R295" s="45">
        <v>1749</v>
      </c>
      <c r="S295" s="45">
        <v>1699</v>
      </c>
      <c r="T295" s="45">
        <v>1299</v>
      </c>
      <c r="U295" s="45">
        <v>1299</v>
      </c>
      <c r="V295" s="45">
        <v>1299</v>
      </c>
      <c r="W295" s="45">
        <v>1299</v>
      </c>
      <c r="X295" s="45">
        <v>1299</v>
      </c>
      <c r="Y295" s="45">
        <v>1199</v>
      </c>
      <c r="Z295" s="45">
        <v>1199</v>
      </c>
      <c r="AA295" s="45">
        <v>1199</v>
      </c>
      <c r="AB295" s="45"/>
      <c r="AC295" s="45"/>
      <c r="AD295" s="45"/>
      <c r="AE295" s="45"/>
      <c r="AF295" s="45"/>
      <c r="AG295" s="45"/>
      <c r="AH295" s="45"/>
      <c r="AI295" s="45"/>
      <c r="AJ295" s="45"/>
      <c r="AK295" s="45"/>
      <c r="AL295" s="45"/>
      <c r="AM295" s="45"/>
      <c r="AN295" s="45"/>
      <c r="AO295" s="45"/>
      <c r="AP295" s="45"/>
      <c r="AQ295" s="45"/>
      <c r="AR295" s="45"/>
      <c r="AS295" s="45"/>
      <c r="AT295" s="45"/>
      <c r="AU295" s="45"/>
      <c r="AV295" s="47"/>
      <c r="AW295" s="48" t="s">
        <v>67</v>
      </c>
      <c r="AX295" s="49" t="s">
        <v>68</v>
      </c>
      <c r="AY295" s="50">
        <f t="shared" si="27"/>
        <v>40.379799999999996</v>
      </c>
      <c r="AZ295" s="50">
        <f t="shared" si="28"/>
        <v>36.381799999999998</v>
      </c>
      <c r="BA295" s="51">
        <f t="shared" si="29"/>
        <v>20.589700000000001</v>
      </c>
    </row>
    <row r="296" spans="1:53" ht="22.5" customHeight="1">
      <c r="A296" s="55" t="s">
        <v>222</v>
      </c>
      <c r="B296" s="42" t="s">
        <v>64</v>
      </c>
      <c r="C296" s="43">
        <v>4016161</v>
      </c>
      <c r="D296" s="56" t="s">
        <v>459</v>
      </c>
      <c r="E296" s="56" t="s">
        <v>461</v>
      </c>
      <c r="F296" s="45">
        <v>3499</v>
      </c>
      <c r="G296" s="45">
        <v>1999</v>
      </c>
      <c r="H296" s="45">
        <v>1999</v>
      </c>
      <c r="I296" s="45">
        <v>1999</v>
      </c>
      <c r="J296" s="45">
        <v>1899</v>
      </c>
      <c r="K296" s="45">
        <v>1799</v>
      </c>
      <c r="L296" s="45">
        <v>1799</v>
      </c>
      <c r="M296" s="45">
        <v>1899</v>
      </c>
      <c r="N296" s="45">
        <v>1799</v>
      </c>
      <c r="O296" s="45">
        <v>1749</v>
      </c>
      <c r="P296" s="46">
        <v>1699</v>
      </c>
      <c r="Q296" s="46">
        <v>1299</v>
      </c>
      <c r="R296" s="45">
        <v>1749</v>
      </c>
      <c r="S296" s="45">
        <v>1699</v>
      </c>
      <c r="T296" s="45">
        <v>1299</v>
      </c>
      <c r="U296" s="45">
        <v>1299</v>
      </c>
      <c r="V296" s="45">
        <v>1299</v>
      </c>
      <c r="W296" s="45">
        <v>1299</v>
      </c>
      <c r="X296" s="45">
        <v>1299</v>
      </c>
      <c r="Y296" s="45">
        <v>1199</v>
      </c>
      <c r="Z296" s="45">
        <v>1199</v>
      </c>
      <c r="AA296" s="45">
        <v>1199</v>
      </c>
      <c r="AB296" s="45"/>
      <c r="AC296" s="45"/>
      <c r="AD296" s="45"/>
      <c r="AE296" s="45"/>
      <c r="AF296" s="45"/>
      <c r="AG296" s="45"/>
      <c r="AH296" s="45"/>
      <c r="AI296" s="45"/>
      <c r="AJ296" s="45"/>
      <c r="AK296" s="45"/>
      <c r="AL296" s="45"/>
      <c r="AM296" s="45"/>
      <c r="AN296" s="45"/>
      <c r="AO296" s="45"/>
      <c r="AP296" s="45"/>
      <c r="AQ296" s="45"/>
      <c r="AR296" s="45"/>
      <c r="AS296" s="45"/>
      <c r="AT296" s="45"/>
      <c r="AU296" s="45"/>
      <c r="AV296" s="47"/>
      <c r="AW296" s="48" t="s">
        <v>67</v>
      </c>
      <c r="AX296" s="49" t="s">
        <v>68</v>
      </c>
      <c r="AY296" s="50">
        <f t="shared" si="27"/>
        <v>40.379799999999996</v>
      </c>
      <c r="AZ296" s="50">
        <f t="shared" si="28"/>
        <v>36.381799999999998</v>
      </c>
      <c r="BA296" s="51">
        <f t="shared" si="29"/>
        <v>20.589700000000001</v>
      </c>
    </row>
    <row r="297" spans="1:53" ht="22.5" customHeight="1">
      <c r="A297" s="55" t="s">
        <v>222</v>
      </c>
      <c r="B297" s="42" t="s">
        <v>64</v>
      </c>
      <c r="C297" s="43">
        <v>4015933</v>
      </c>
      <c r="D297" s="56" t="s">
        <v>459</v>
      </c>
      <c r="E297" s="56" t="s">
        <v>462</v>
      </c>
      <c r="F297" s="45">
        <v>3499</v>
      </c>
      <c r="G297" s="45">
        <v>1999</v>
      </c>
      <c r="H297" s="45">
        <v>1999</v>
      </c>
      <c r="I297" s="45">
        <v>1999</v>
      </c>
      <c r="J297" s="45">
        <v>1899</v>
      </c>
      <c r="K297" s="45">
        <v>1799</v>
      </c>
      <c r="L297" s="45">
        <v>1799</v>
      </c>
      <c r="M297" s="45">
        <v>1899</v>
      </c>
      <c r="N297" s="45">
        <v>1799</v>
      </c>
      <c r="O297" s="45">
        <v>1749</v>
      </c>
      <c r="P297" s="46">
        <v>1699</v>
      </c>
      <c r="Q297" s="46">
        <v>1299</v>
      </c>
      <c r="R297" s="45">
        <v>1749</v>
      </c>
      <c r="S297" s="45">
        <v>1699</v>
      </c>
      <c r="T297" s="45">
        <v>1299</v>
      </c>
      <c r="U297" s="45">
        <v>1299</v>
      </c>
      <c r="V297" s="45">
        <v>1299</v>
      </c>
      <c r="W297" s="45">
        <v>1299</v>
      </c>
      <c r="X297" s="45">
        <v>1299</v>
      </c>
      <c r="Y297" s="45">
        <v>1199</v>
      </c>
      <c r="Z297" s="45">
        <v>1199</v>
      </c>
      <c r="AA297" s="45">
        <v>1199</v>
      </c>
      <c r="AB297" s="45"/>
      <c r="AC297" s="45"/>
      <c r="AD297" s="45"/>
      <c r="AE297" s="45"/>
      <c r="AF297" s="45"/>
      <c r="AG297" s="45"/>
      <c r="AH297" s="45"/>
      <c r="AI297" s="45"/>
      <c r="AJ297" s="45"/>
      <c r="AK297" s="45"/>
      <c r="AL297" s="45"/>
      <c r="AM297" s="45"/>
      <c r="AN297" s="45"/>
      <c r="AO297" s="45"/>
      <c r="AP297" s="45"/>
      <c r="AQ297" s="45"/>
      <c r="AR297" s="45"/>
      <c r="AS297" s="45"/>
      <c r="AT297" s="45"/>
      <c r="AU297" s="45"/>
      <c r="AV297" s="47"/>
      <c r="AW297" s="48" t="s">
        <v>67</v>
      </c>
      <c r="AX297" s="49" t="s">
        <v>68</v>
      </c>
      <c r="AY297" s="50">
        <f t="shared" si="27"/>
        <v>40.379799999999996</v>
      </c>
      <c r="AZ297" s="50">
        <f t="shared" si="28"/>
        <v>36.381799999999998</v>
      </c>
      <c r="BA297" s="51">
        <f t="shared" si="29"/>
        <v>20.589700000000001</v>
      </c>
    </row>
    <row r="298" spans="1:53" ht="22.5" customHeight="1">
      <c r="A298" s="55" t="s">
        <v>222</v>
      </c>
      <c r="B298" s="42" t="s">
        <v>64</v>
      </c>
      <c r="C298" s="43">
        <v>4016156</v>
      </c>
      <c r="D298" s="56" t="s">
        <v>459</v>
      </c>
      <c r="E298" s="56" t="s">
        <v>463</v>
      </c>
      <c r="F298" s="45">
        <v>3499</v>
      </c>
      <c r="G298" s="45">
        <v>1999</v>
      </c>
      <c r="H298" s="45">
        <v>1999</v>
      </c>
      <c r="I298" s="45">
        <v>1999</v>
      </c>
      <c r="J298" s="45">
        <v>1899</v>
      </c>
      <c r="K298" s="45">
        <v>1799</v>
      </c>
      <c r="L298" s="45">
        <v>1799</v>
      </c>
      <c r="M298" s="45">
        <v>1899</v>
      </c>
      <c r="N298" s="45">
        <v>1799</v>
      </c>
      <c r="O298" s="45">
        <v>1749</v>
      </c>
      <c r="P298" s="46">
        <v>1699</v>
      </c>
      <c r="Q298" s="46">
        <v>1299</v>
      </c>
      <c r="R298" s="45">
        <v>1749</v>
      </c>
      <c r="S298" s="45">
        <v>1699</v>
      </c>
      <c r="T298" s="45">
        <v>1299</v>
      </c>
      <c r="U298" s="45">
        <v>1299</v>
      </c>
      <c r="V298" s="45">
        <v>1299</v>
      </c>
      <c r="W298" s="45">
        <v>1299</v>
      </c>
      <c r="X298" s="45">
        <v>1299</v>
      </c>
      <c r="Y298" s="45">
        <v>1199</v>
      </c>
      <c r="Z298" s="45">
        <v>1199</v>
      </c>
      <c r="AA298" s="45">
        <v>1199</v>
      </c>
      <c r="AB298" s="45"/>
      <c r="AC298" s="45"/>
      <c r="AD298" s="45"/>
      <c r="AE298" s="45"/>
      <c r="AF298" s="45"/>
      <c r="AG298" s="45"/>
      <c r="AH298" s="45"/>
      <c r="AI298" s="45"/>
      <c r="AJ298" s="45"/>
      <c r="AK298" s="45"/>
      <c r="AL298" s="45"/>
      <c r="AM298" s="45"/>
      <c r="AN298" s="45"/>
      <c r="AO298" s="45"/>
      <c r="AP298" s="45"/>
      <c r="AQ298" s="45"/>
      <c r="AR298" s="45"/>
      <c r="AS298" s="45"/>
      <c r="AT298" s="45"/>
      <c r="AU298" s="45"/>
      <c r="AV298" s="47"/>
      <c r="AW298" s="48" t="s">
        <v>67</v>
      </c>
      <c r="AX298" s="49" t="s">
        <v>68</v>
      </c>
      <c r="AY298" s="50">
        <f t="shared" si="27"/>
        <v>40.379799999999996</v>
      </c>
      <c r="AZ298" s="50">
        <f t="shared" si="28"/>
        <v>36.381799999999998</v>
      </c>
      <c r="BA298" s="51">
        <f t="shared" si="29"/>
        <v>20.589700000000001</v>
      </c>
    </row>
    <row r="299" spans="1:53" ht="22.5" customHeight="1">
      <c r="A299" s="55" t="s">
        <v>222</v>
      </c>
      <c r="B299" s="42" t="s">
        <v>64</v>
      </c>
      <c r="C299" s="43">
        <v>4016157</v>
      </c>
      <c r="D299" s="56" t="s">
        <v>459</v>
      </c>
      <c r="E299" s="56" t="s">
        <v>464</v>
      </c>
      <c r="F299" s="45">
        <v>3499</v>
      </c>
      <c r="G299" s="45">
        <v>1999</v>
      </c>
      <c r="H299" s="45">
        <v>1999</v>
      </c>
      <c r="I299" s="45">
        <v>1999</v>
      </c>
      <c r="J299" s="45">
        <v>1899</v>
      </c>
      <c r="K299" s="45">
        <v>1799</v>
      </c>
      <c r="L299" s="45">
        <v>1799</v>
      </c>
      <c r="M299" s="45">
        <v>1899</v>
      </c>
      <c r="N299" s="45">
        <v>1799</v>
      </c>
      <c r="O299" s="45">
        <v>1749</v>
      </c>
      <c r="P299" s="46">
        <v>1699</v>
      </c>
      <c r="Q299" s="46">
        <v>1299</v>
      </c>
      <c r="R299" s="45">
        <v>1749</v>
      </c>
      <c r="S299" s="45">
        <v>1699</v>
      </c>
      <c r="T299" s="45">
        <v>1299</v>
      </c>
      <c r="U299" s="45">
        <v>1299</v>
      </c>
      <c r="V299" s="45">
        <v>1299</v>
      </c>
      <c r="W299" s="45">
        <v>1299</v>
      </c>
      <c r="X299" s="45">
        <v>1299</v>
      </c>
      <c r="Y299" s="45">
        <v>1199</v>
      </c>
      <c r="Z299" s="45">
        <v>1199</v>
      </c>
      <c r="AA299" s="45">
        <v>1199</v>
      </c>
      <c r="AB299" s="45"/>
      <c r="AC299" s="45"/>
      <c r="AD299" s="45"/>
      <c r="AE299" s="45"/>
      <c r="AF299" s="45"/>
      <c r="AG299" s="45"/>
      <c r="AH299" s="45"/>
      <c r="AI299" s="45"/>
      <c r="AJ299" s="45"/>
      <c r="AK299" s="45"/>
      <c r="AL299" s="45"/>
      <c r="AM299" s="45"/>
      <c r="AN299" s="45"/>
      <c r="AO299" s="45"/>
      <c r="AP299" s="45"/>
      <c r="AQ299" s="45"/>
      <c r="AR299" s="45"/>
      <c r="AS299" s="45"/>
      <c r="AT299" s="45"/>
      <c r="AU299" s="45"/>
      <c r="AV299" s="47"/>
      <c r="AW299" s="48" t="s">
        <v>67</v>
      </c>
      <c r="AX299" s="49" t="s">
        <v>68</v>
      </c>
      <c r="AY299" s="50">
        <f t="shared" si="27"/>
        <v>40.379799999999996</v>
      </c>
      <c r="AZ299" s="50">
        <f t="shared" si="28"/>
        <v>36.381799999999998</v>
      </c>
      <c r="BA299" s="51">
        <f t="shared" si="29"/>
        <v>20.589700000000001</v>
      </c>
    </row>
    <row r="300" spans="1:53" ht="22.5" customHeight="1">
      <c r="A300" s="55" t="s">
        <v>222</v>
      </c>
      <c r="B300" s="42" t="s">
        <v>64</v>
      </c>
      <c r="C300" s="43">
        <v>4016985</v>
      </c>
      <c r="D300" s="56" t="s">
        <v>465</v>
      </c>
      <c r="E300" s="56" t="s">
        <v>466</v>
      </c>
      <c r="F300" s="45">
        <v>3599</v>
      </c>
      <c r="G300" s="46">
        <v>2669</v>
      </c>
      <c r="H300" s="46">
        <v>2669</v>
      </c>
      <c r="I300" s="46">
        <v>2669</v>
      </c>
      <c r="J300" s="46">
        <v>2599</v>
      </c>
      <c r="K300" s="46">
        <v>1899</v>
      </c>
      <c r="L300" s="46">
        <v>1899</v>
      </c>
      <c r="M300" s="46">
        <v>2599</v>
      </c>
      <c r="N300" s="46">
        <v>1899</v>
      </c>
      <c r="O300" s="46">
        <v>1599</v>
      </c>
      <c r="P300" s="46">
        <v>1499</v>
      </c>
      <c r="Q300" s="46">
        <v>1499</v>
      </c>
      <c r="R300" s="46">
        <v>1799</v>
      </c>
      <c r="S300" s="46">
        <v>1499</v>
      </c>
      <c r="T300" s="46">
        <v>1499</v>
      </c>
      <c r="U300" s="46">
        <v>1499</v>
      </c>
      <c r="V300" s="46">
        <v>1499</v>
      </c>
      <c r="W300" s="46">
        <v>1499</v>
      </c>
      <c r="X300" s="46">
        <v>1399</v>
      </c>
      <c r="Y300" s="46">
        <v>1399</v>
      </c>
      <c r="Z300" s="46">
        <v>1399</v>
      </c>
      <c r="AA300" s="46">
        <v>1399</v>
      </c>
      <c r="AB300" s="45">
        <v>1899</v>
      </c>
      <c r="AC300" s="45">
        <v>1899</v>
      </c>
      <c r="AD300" s="45">
        <v>1899</v>
      </c>
      <c r="AE300" s="45">
        <v>1799</v>
      </c>
      <c r="AF300" s="45">
        <v>1499</v>
      </c>
      <c r="AG300" s="45">
        <v>1499</v>
      </c>
      <c r="AH300" s="45">
        <v>1499</v>
      </c>
      <c r="AI300" s="45">
        <v>1499</v>
      </c>
      <c r="AJ300" s="45">
        <v>1499</v>
      </c>
      <c r="AK300" s="45">
        <v>1499</v>
      </c>
      <c r="AL300" s="45">
        <v>1399</v>
      </c>
      <c r="AM300" s="45"/>
      <c r="AN300" s="45"/>
      <c r="AO300" s="45"/>
      <c r="AP300" s="45"/>
      <c r="AQ300" s="45"/>
      <c r="AR300" s="45"/>
      <c r="AS300" s="45"/>
      <c r="AT300" s="45"/>
      <c r="AU300" s="45"/>
      <c r="AV300" s="47"/>
      <c r="AW300" s="48" t="s">
        <v>67</v>
      </c>
      <c r="AX300" s="49" t="s">
        <v>68</v>
      </c>
      <c r="AY300" s="50">
        <f t="shared" si="27"/>
        <v>53.913799999999995</v>
      </c>
      <c r="AZ300" s="50">
        <f t="shared" si="28"/>
        <v>48.575800000000001</v>
      </c>
      <c r="BA300" s="51">
        <f t="shared" si="29"/>
        <v>27.4907</v>
      </c>
    </row>
    <row r="301" spans="1:53" ht="22.5" customHeight="1">
      <c r="A301" s="55" t="s">
        <v>222</v>
      </c>
      <c r="B301" s="42" t="s">
        <v>64</v>
      </c>
      <c r="C301" s="43">
        <v>4016999</v>
      </c>
      <c r="D301" s="56" t="s">
        <v>465</v>
      </c>
      <c r="E301" s="56" t="s">
        <v>467</v>
      </c>
      <c r="F301" s="45">
        <v>3599</v>
      </c>
      <c r="G301" s="46">
        <v>2669</v>
      </c>
      <c r="H301" s="46">
        <v>2669</v>
      </c>
      <c r="I301" s="46">
        <v>2669</v>
      </c>
      <c r="J301" s="46">
        <v>2599</v>
      </c>
      <c r="K301" s="46">
        <v>1899</v>
      </c>
      <c r="L301" s="46">
        <v>1899</v>
      </c>
      <c r="M301" s="46">
        <v>2599</v>
      </c>
      <c r="N301" s="46">
        <v>1899</v>
      </c>
      <c r="O301" s="46">
        <v>1599</v>
      </c>
      <c r="P301" s="46">
        <v>1499</v>
      </c>
      <c r="Q301" s="46">
        <v>1499</v>
      </c>
      <c r="R301" s="46">
        <v>1799</v>
      </c>
      <c r="S301" s="46">
        <v>1499</v>
      </c>
      <c r="T301" s="46">
        <v>1499</v>
      </c>
      <c r="U301" s="46">
        <v>1499</v>
      </c>
      <c r="V301" s="46">
        <v>1499</v>
      </c>
      <c r="W301" s="46">
        <v>1499</v>
      </c>
      <c r="X301" s="46">
        <v>1399</v>
      </c>
      <c r="Y301" s="46">
        <v>1399</v>
      </c>
      <c r="Z301" s="46">
        <v>1399</v>
      </c>
      <c r="AA301" s="46">
        <v>1399</v>
      </c>
      <c r="AB301" s="45">
        <v>1899</v>
      </c>
      <c r="AC301" s="45">
        <v>1899</v>
      </c>
      <c r="AD301" s="45">
        <v>1899</v>
      </c>
      <c r="AE301" s="45">
        <v>1799</v>
      </c>
      <c r="AF301" s="45">
        <v>1499</v>
      </c>
      <c r="AG301" s="45">
        <v>1499</v>
      </c>
      <c r="AH301" s="45">
        <v>1499</v>
      </c>
      <c r="AI301" s="45">
        <v>1499</v>
      </c>
      <c r="AJ301" s="45">
        <v>1499</v>
      </c>
      <c r="AK301" s="45">
        <v>1499</v>
      </c>
      <c r="AL301" s="45">
        <v>1399</v>
      </c>
      <c r="AM301" s="45"/>
      <c r="AN301" s="45"/>
      <c r="AO301" s="45"/>
      <c r="AP301" s="45"/>
      <c r="AQ301" s="45"/>
      <c r="AR301" s="45"/>
      <c r="AS301" s="45"/>
      <c r="AT301" s="45"/>
      <c r="AU301" s="45"/>
      <c r="AV301" s="47"/>
      <c r="AW301" s="48" t="s">
        <v>67</v>
      </c>
      <c r="AX301" s="49" t="s">
        <v>68</v>
      </c>
      <c r="AY301" s="50">
        <f t="shared" si="27"/>
        <v>53.913799999999995</v>
      </c>
      <c r="AZ301" s="50">
        <f t="shared" si="28"/>
        <v>48.575800000000001</v>
      </c>
      <c r="BA301" s="51">
        <f t="shared" si="29"/>
        <v>27.4907</v>
      </c>
    </row>
    <row r="302" spans="1:53" ht="22.5" customHeight="1">
      <c r="A302" s="55" t="s">
        <v>222</v>
      </c>
      <c r="B302" s="42" t="s">
        <v>64</v>
      </c>
      <c r="C302" s="43">
        <v>4017065</v>
      </c>
      <c r="D302" s="56" t="s">
        <v>465</v>
      </c>
      <c r="E302" s="56" t="s">
        <v>468</v>
      </c>
      <c r="F302" s="45">
        <v>3599</v>
      </c>
      <c r="G302" s="46">
        <v>2669</v>
      </c>
      <c r="H302" s="46">
        <v>2669</v>
      </c>
      <c r="I302" s="46">
        <v>2669</v>
      </c>
      <c r="J302" s="46">
        <v>2599</v>
      </c>
      <c r="K302" s="46">
        <v>1899</v>
      </c>
      <c r="L302" s="46">
        <v>1899</v>
      </c>
      <c r="M302" s="46">
        <v>2599</v>
      </c>
      <c r="N302" s="46">
        <v>1899</v>
      </c>
      <c r="O302" s="46">
        <v>1599</v>
      </c>
      <c r="P302" s="46">
        <v>1499</v>
      </c>
      <c r="Q302" s="46">
        <v>1499</v>
      </c>
      <c r="R302" s="46">
        <v>1799</v>
      </c>
      <c r="S302" s="46">
        <v>1499</v>
      </c>
      <c r="T302" s="46">
        <v>1499</v>
      </c>
      <c r="U302" s="46">
        <v>1499</v>
      </c>
      <c r="V302" s="46">
        <v>1499</v>
      </c>
      <c r="W302" s="46">
        <v>1499</v>
      </c>
      <c r="X302" s="46">
        <v>1399</v>
      </c>
      <c r="Y302" s="46">
        <v>1399</v>
      </c>
      <c r="Z302" s="46">
        <v>1399</v>
      </c>
      <c r="AA302" s="46">
        <v>1399</v>
      </c>
      <c r="AB302" s="45">
        <v>1899</v>
      </c>
      <c r="AC302" s="45">
        <v>1899</v>
      </c>
      <c r="AD302" s="45">
        <v>1899</v>
      </c>
      <c r="AE302" s="45">
        <v>1799</v>
      </c>
      <c r="AF302" s="45">
        <v>1499</v>
      </c>
      <c r="AG302" s="45">
        <v>1499</v>
      </c>
      <c r="AH302" s="45">
        <v>1499</v>
      </c>
      <c r="AI302" s="45">
        <v>1499</v>
      </c>
      <c r="AJ302" s="45">
        <v>1499</v>
      </c>
      <c r="AK302" s="45">
        <v>1499</v>
      </c>
      <c r="AL302" s="45">
        <v>1399</v>
      </c>
      <c r="AM302" s="45"/>
      <c r="AN302" s="45"/>
      <c r="AO302" s="45"/>
      <c r="AP302" s="45"/>
      <c r="AQ302" s="45"/>
      <c r="AR302" s="45"/>
      <c r="AS302" s="45"/>
      <c r="AT302" s="45"/>
      <c r="AU302" s="45"/>
      <c r="AV302" s="47"/>
      <c r="AW302" s="48" t="s">
        <v>67</v>
      </c>
      <c r="AX302" s="49" t="s">
        <v>68</v>
      </c>
      <c r="AY302" s="50">
        <f t="shared" si="27"/>
        <v>53.913799999999995</v>
      </c>
      <c r="AZ302" s="50">
        <f t="shared" si="28"/>
        <v>48.575800000000001</v>
      </c>
      <c r="BA302" s="51">
        <f t="shared" si="29"/>
        <v>27.4907</v>
      </c>
    </row>
    <row r="303" spans="1:53" ht="22.5" customHeight="1">
      <c r="A303" s="55" t="s">
        <v>222</v>
      </c>
      <c r="B303" s="42" t="s">
        <v>64</v>
      </c>
      <c r="C303" s="43">
        <v>4016977</v>
      </c>
      <c r="D303" s="56" t="s">
        <v>465</v>
      </c>
      <c r="E303" s="56" t="s">
        <v>469</v>
      </c>
      <c r="F303" s="45">
        <v>3599</v>
      </c>
      <c r="G303" s="46">
        <v>2669</v>
      </c>
      <c r="H303" s="46">
        <v>2669</v>
      </c>
      <c r="I303" s="46">
        <v>2669</v>
      </c>
      <c r="J303" s="46">
        <v>2599</v>
      </c>
      <c r="K303" s="46">
        <v>1899</v>
      </c>
      <c r="L303" s="46">
        <v>1899</v>
      </c>
      <c r="M303" s="46">
        <v>2599</v>
      </c>
      <c r="N303" s="46">
        <v>1899</v>
      </c>
      <c r="O303" s="46">
        <v>1599</v>
      </c>
      <c r="P303" s="46">
        <v>1499</v>
      </c>
      <c r="Q303" s="46">
        <v>1499</v>
      </c>
      <c r="R303" s="46">
        <v>1799</v>
      </c>
      <c r="S303" s="46">
        <v>1499</v>
      </c>
      <c r="T303" s="46">
        <v>1499</v>
      </c>
      <c r="U303" s="46">
        <v>1499</v>
      </c>
      <c r="V303" s="46">
        <v>1499</v>
      </c>
      <c r="W303" s="46">
        <v>1499</v>
      </c>
      <c r="X303" s="46">
        <v>1399</v>
      </c>
      <c r="Y303" s="46">
        <v>1399</v>
      </c>
      <c r="Z303" s="46">
        <v>1399</v>
      </c>
      <c r="AA303" s="46">
        <v>1399</v>
      </c>
      <c r="AB303" s="45">
        <v>1899</v>
      </c>
      <c r="AC303" s="45">
        <v>1899</v>
      </c>
      <c r="AD303" s="45">
        <v>1899</v>
      </c>
      <c r="AE303" s="45">
        <v>1799</v>
      </c>
      <c r="AF303" s="45">
        <v>1499</v>
      </c>
      <c r="AG303" s="45">
        <v>1499</v>
      </c>
      <c r="AH303" s="45">
        <v>1499</v>
      </c>
      <c r="AI303" s="45">
        <v>1499</v>
      </c>
      <c r="AJ303" s="45">
        <v>1499</v>
      </c>
      <c r="AK303" s="45">
        <v>1499</v>
      </c>
      <c r="AL303" s="45">
        <v>1399</v>
      </c>
      <c r="AM303" s="45"/>
      <c r="AN303" s="45"/>
      <c r="AO303" s="45"/>
      <c r="AP303" s="45"/>
      <c r="AQ303" s="45"/>
      <c r="AR303" s="45"/>
      <c r="AS303" s="45"/>
      <c r="AT303" s="45"/>
      <c r="AU303" s="45"/>
      <c r="AV303" s="47"/>
      <c r="AW303" s="48" t="s">
        <v>67</v>
      </c>
      <c r="AX303" s="49" t="s">
        <v>68</v>
      </c>
      <c r="AY303" s="50">
        <f t="shared" si="27"/>
        <v>53.913799999999995</v>
      </c>
      <c r="AZ303" s="50">
        <f t="shared" si="28"/>
        <v>48.575800000000001</v>
      </c>
      <c r="BA303" s="51">
        <f t="shared" si="29"/>
        <v>27.4907</v>
      </c>
    </row>
    <row r="304" spans="1:53" ht="22.5" customHeight="1">
      <c r="A304" s="55" t="s">
        <v>222</v>
      </c>
      <c r="B304" s="42" t="s">
        <v>64</v>
      </c>
      <c r="C304" s="43">
        <v>4016993</v>
      </c>
      <c r="D304" s="56" t="s">
        <v>465</v>
      </c>
      <c r="E304" s="56" t="s">
        <v>470</v>
      </c>
      <c r="F304" s="45">
        <v>3599</v>
      </c>
      <c r="G304" s="46">
        <v>2669</v>
      </c>
      <c r="H304" s="46">
        <v>2669</v>
      </c>
      <c r="I304" s="46">
        <v>2669</v>
      </c>
      <c r="J304" s="46">
        <v>2599</v>
      </c>
      <c r="K304" s="46">
        <v>1899</v>
      </c>
      <c r="L304" s="46">
        <v>1899</v>
      </c>
      <c r="M304" s="46">
        <v>2599</v>
      </c>
      <c r="N304" s="46">
        <v>1899</v>
      </c>
      <c r="O304" s="46">
        <v>1599</v>
      </c>
      <c r="P304" s="46">
        <v>1499</v>
      </c>
      <c r="Q304" s="46">
        <v>1499</v>
      </c>
      <c r="R304" s="46">
        <v>1799</v>
      </c>
      <c r="S304" s="46">
        <v>1499</v>
      </c>
      <c r="T304" s="46">
        <v>1499</v>
      </c>
      <c r="U304" s="46">
        <v>1499</v>
      </c>
      <c r="V304" s="46">
        <v>1499</v>
      </c>
      <c r="W304" s="46">
        <v>1499</v>
      </c>
      <c r="X304" s="46">
        <v>1399</v>
      </c>
      <c r="Y304" s="46">
        <v>1399</v>
      </c>
      <c r="Z304" s="46">
        <v>1399</v>
      </c>
      <c r="AA304" s="46">
        <v>1399</v>
      </c>
      <c r="AB304" s="45">
        <v>1899</v>
      </c>
      <c r="AC304" s="45">
        <v>1899</v>
      </c>
      <c r="AD304" s="45">
        <v>1899</v>
      </c>
      <c r="AE304" s="45">
        <v>1799</v>
      </c>
      <c r="AF304" s="45">
        <v>1499</v>
      </c>
      <c r="AG304" s="45">
        <v>1499</v>
      </c>
      <c r="AH304" s="45">
        <v>1499</v>
      </c>
      <c r="AI304" s="45">
        <v>1499</v>
      </c>
      <c r="AJ304" s="45">
        <v>1499</v>
      </c>
      <c r="AK304" s="45">
        <v>1499</v>
      </c>
      <c r="AL304" s="45">
        <v>1399</v>
      </c>
      <c r="AM304" s="45"/>
      <c r="AN304" s="45"/>
      <c r="AO304" s="45"/>
      <c r="AP304" s="45"/>
      <c r="AQ304" s="45"/>
      <c r="AR304" s="45"/>
      <c r="AS304" s="45"/>
      <c r="AT304" s="45"/>
      <c r="AU304" s="45"/>
      <c r="AV304" s="47"/>
      <c r="AW304" s="48" t="s">
        <v>67</v>
      </c>
      <c r="AX304" s="49" t="s">
        <v>68</v>
      </c>
      <c r="AY304" s="50">
        <f t="shared" si="27"/>
        <v>53.913799999999995</v>
      </c>
      <c r="AZ304" s="50">
        <f t="shared" si="28"/>
        <v>48.575800000000001</v>
      </c>
      <c r="BA304" s="51">
        <f t="shared" si="29"/>
        <v>27.4907</v>
      </c>
    </row>
    <row r="305" spans="1:53" ht="22.5" customHeight="1">
      <c r="A305" s="55" t="s">
        <v>222</v>
      </c>
      <c r="B305" s="42" t="s">
        <v>64</v>
      </c>
      <c r="C305" s="43">
        <v>4017064</v>
      </c>
      <c r="D305" s="56" t="s">
        <v>465</v>
      </c>
      <c r="E305" s="56" t="s">
        <v>471</v>
      </c>
      <c r="F305" s="45">
        <v>3599</v>
      </c>
      <c r="G305" s="46">
        <v>2669</v>
      </c>
      <c r="H305" s="46">
        <v>2669</v>
      </c>
      <c r="I305" s="46">
        <v>2669</v>
      </c>
      <c r="J305" s="46">
        <v>2599</v>
      </c>
      <c r="K305" s="46">
        <v>1899</v>
      </c>
      <c r="L305" s="46">
        <v>1899</v>
      </c>
      <c r="M305" s="46">
        <v>2599</v>
      </c>
      <c r="N305" s="46">
        <v>1899</v>
      </c>
      <c r="O305" s="46">
        <v>1599</v>
      </c>
      <c r="P305" s="46">
        <v>1499</v>
      </c>
      <c r="Q305" s="46">
        <v>1499</v>
      </c>
      <c r="R305" s="46">
        <v>1799</v>
      </c>
      <c r="S305" s="46">
        <v>1499</v>
      </c>
      <c r="T305" s="46">
        <v>1499</v>
      </c>
      <c r="U305" s="46">
        <v>1499</v>
      </c>
      <c r="V305" s="46">
        <v>1499</v>
      </c>
      <c r="W305" s="46">
        <v>1499</v>
      </c>
      <c r="X305" s="46">
        <v>1399</v>
      </c>
      <c r="Y305" s="46">
        <v>1399</v>
      </c>
      <c r="Z305" s="46">
        <v>1399</v>
      </c>
      <c r="AA305" s="46">
        <v>1399</v>
      </c>
      <c r="AB305" s="45">
        <v>1899</v>
      </c>
      <c r="AC305" s="45">
        <v>1899</v>
      </c>
      <c r="AD305" s="45">
        <v>1899</v>
      </c>
      <c r="AE305" s="45">
        <v>1799</v>
      </c>
      <c r="AF305" s="45">
        <v>1499</v>
      </c>
      <c r="AG305" s="45">
        <v>1499</v>
      </c>
      <c r="AH305" s="45">
        <v>1499</v>
      </c>
      <c r="AI305" s="45">
        <v>1499</v>
      </c>
      <c r="AJ305" s="45">
        <v>1499</v>
      </c>
      <c r="AK305" s="45">
        <v>1499</v>
      </c>
      <c r="AL305" s="45">
        <v>1399</v>
      </c>
      <c r="AM305" s="45"/>
      <c r="AN305" s="45"/>
      <c r="AO305" s="45"/>
      <c r="AP305" s="45"/>
      <c r="AQ305" s="45"/>
      <c r="AR305" s="45"/>
      <c r="AS305" s="45"/>
      <c r="AT305" s="45"/>
      <c r="AU305" s="45"/>
      <c r="AV305" s="47"/>
      <c r="AW305" s="48" t="s">
        <v>67</v>
      </c>
      <c r="AX305" s="49" t="s">
        <v>68</v>
      </c>
      <c r="AY305" s="50">
        <f t="shared" si="27"/>
        <v>53.913799999999995</v>
      </c>
      <c r="AZ305" s="50">
        <f t="shared" si="28"/>
        <v>48.575800000000001</v>
      </c>
      <c r="BA305" s="51">
        <f t="shared" si="29"/>
        <v>27.4907</v>
      </c>
    </row>
    <row r="306" spans="1:53" ht="22.5" customHeight="1">
      <c r="A306" s="55" t="s">
        <v>222</v>
      </c>
      <c r="B306" s="42" t="s">
        <v>64</v>
      </c>
      <c r="C306" s="43">
        <v>4017855</v>
      </c>
      <c r="D306" s="56" t="s">
        <v>472</v>
      </c>
      <c r="E306" s="56" t="s">
        <v>473</v>
      </c>
      <c r="F306" s="45">
        <v>3999</v>
      </c>
      <c r="G306" s="45">
        <v>3099</v>
      </c>
      <c r="H306" s="46">
        <v>3099</v>
      </c>
      <c r="I306" s="46">
        <v>3099</v>
      </c>
      <c r="J306" s="46">
        <v>2799</v>
      </c>
      <c r="K306" s="46">
        <v>2799</v>
      </c>
      <c r="L306" s="46">
        <v>2799</v>
      </c>
      <c r="M306" s="46">
        <v>2799</v>
      </c>
      <c r="N306" s="46">
        <v>2799</v>
      </c>
      <c r="O306" s="45">
        <v>2749</v>
      </c>
      <c r="P306" s="46">
        <v>2699</v>
      </c>
      <c r="Q306" s="46">
        <v>1999</v>
      </c>
      <c r="R306" s="45">
        <v>2749</v>
      </c>
      <c r="S306" s="45">
        <v>2699</v>
      </c>
      <c r="T306" s="45">
        <v>1999</v>
      </c>
      <c r="U306" s="45">
        <v>1999</v>
      </c>
      <c r="V306" s="45">
        <v>1999</v>
      </c>
      <c r="W306" s="45">
        <v>1999</v>
      </c>
      <c r="X306" s="45">
        <v>1949</v>
      </c>
      <c r="Y306" s="45">
        <v>1899</v>
      </c>
      <c r="Z306" s="45">
        <v>1899</v>
      </c>
      <c r="AA306" s="45">
        <v>1899</v>
      </c>
      <c r="AB306" s="45">
        <v>2799</v>
      </c>
      <c r="AC306" s="45">
        <v>2799</v>
      </c>
      <c r="AD306" s="45">
        <v>2799</v>
      </c>
      <c r="AE306" s="45">
        <v>2749</v>
      </c>
      <c r="AF306" s="45">
        <v>2699</v>
      </c>
      <c r="AG306" s="45">
        <v>2699</v>
      </c>
      <c r="AH306" s="45">
        <v>1999</v>
      </c>
      <c r="AI306" s="45">
        <v>1999</v>
      </c>
      <c r="AJ306" s="45">
        <v>1999</v>
      </c>
      <c r="AK306" s="45">
        <v>1999</v>
      </c>
      <c r="AL306" s="45">
        <v>1899</v>
      </c>
      <c r="AM306" s="45"/>
      <c r="AN306" s="45"/>
      <c r="AO306" s="45"/>
      <c r="AP306" s="45"/>
      <c r="AQ306" s="45"/>
      <c r="AR306" s="45"/>
      <c r="AS306" s="45"/>
      <c r="AT306" s="45"/>
      <c r="AU306" s="45"/>
      <c r="AV306" s="47"/>
      <c r="AW306" s="48" t="s">
        <v>67</v>
      </c>
      <c r="AX306" s="49" t="s">
        <v>68</v>
      </c>
      <c r="AY306" s="50">
        <f t="shared" si="27"/>
        <v>62.599799999999995</v>
      </c>
      <c r="AZ306" s="50">
        <f t="shared" si="28"/>
        <v>56.401800000000001</v>
      </c>
      <c r="BA306" s="51">
        <f t="shared" si="29"/>
        <v>31.919699999999999</v>
      </c>
    </row>
    <row r="307" spans="1:53" ht="22.5" customHeight="1">
      <c r="A307" s="55" t="s">
        <v>222</v>
      </c>
      <c r="B307" s="42" t="s">
        <v>64</v>
      </c>
      <c r="C307" s="43">
        <v>4017872</v>
      </c>
      <c r="D307" s="56" t="s">
        <v>472</v>
      </c>
      <c r="E307" s="56" t="s">
        <v>474</v>
      </c>
      <c r="F307" s="45">
        <v>3999</v>
      </c>
      <c r="G307" s="45">
        <v>3099</v>
      </c>
      <c r="H307" s="46">
        <v>3099</v>
      </c>
      <c r="I307" s="46">
        <v>3099</v>
      </c>
      <c r="J307" s="46">
        <v>2799</v>
      </c>
      <c r="K307" s="46">
        <v>2799</v>
      </c>
      <c r="L307" s="46">
        <v>2799</v>
      </c>
      <c r="M307" s="46">
        <v>2799</v>
      </c>
      <c r="N307" s="46">
        <v>2799</v>
      </c>
      <c r="O307" s="45">
        <v>2749</v>
      </c>
      <c r="P307" s="46">
        <v>2699</v>
      </c>
      <c r="Q307" s="46">
        <v>1999</v>
      </c>
      <c r="R307" s="45">
        <v>2749</v>
      </c>
      <c r="S307" s="45">
        <v>2699</v>
      </c>
      <c r="T307" s="45">
        <v>1999</v>
      </c>
      <c r="U307" s="45">
        <v>1999</v>
      </c>
      <c r="V307" s="45">
        <v>1999</v>
      </c>
      <c r="W307" s="45">
        <v>1999</v>
      </c>
      <c r="X307" s="45">
        <v>1949</v>
      </c>
      <c r="Y307" s="45">
        <v>1899</v>
      </c>
      <c r="Z307" s="45">
        <v>1899</v>
      </c>
      <c r="AA307" s="45">
        <v>1899</v>
      </c>
      <c r="AB307" s="45">
        <v>2799</v>
      </c>
      <c r="AC307" s="45">
        <v>2799</v>
      </c>
      <c r="AD307" s="45">
        <v>2799</v>
      </c>
      <c r="AE307" s="45">
        <v>2749</v>
      </c>
      <c r="AF307" s="45">
        <v>2699</v>
      </c>
      <c r="AG307" s="45">
        <v>2699</v>
      </c>
      <c r="AH307" s="45">
        <v>1999</v>
      </c>
      <c r="AI307" s="45">
        <v>1999</v>
      </c>
      <c r="AJ307" s="45">
        <v>1999</v>
      </c>
      <c r="AK307" s="45">
        <v>1999</v>
      </c>
      <c r="AL307" s="45">
        <v>1899</v>
      </c>
      <c r="AM307" s="45"/>
      <c r="AN307" s="45"/>
      <c r="AO307" s="45"/>
      <c r="AP307" s="45"/>
      <c r="AQ307" s="45"/>
      <c r="AR307" s="45"/>
      <c r="AS307" s="45"/>
      <c r="AT307" s="45"/>
      <c r="AU307" s="45"/>
      <c r="AV307" s="47"/>
      <c r="AW307" s="48" t="s">
        <v>67</v>
      </c>
      <c r="AX307" s="49" t="s">
        <v>68</v>
      </c>
      <c r="AY307" s="50">
        <f t="shared" si="27"/>
        <v>62.599799999999995</v>
      </c>
      <c r="AZ307" s="50">
        <f t="shared" si="28"/>
        <v>56.401800000000001</v>
      </c>
      <c r="BA307" s="51">
        <f t="shared" si="29"/>
        <v>31.919699999999999</v>
      </c>
    </row>
    <row r="308" spans="1:53" ht="22.5" customHeight="1">
      <c r="A308" s="55" t="s">
        <v>222</v>
      </c>
      <c r="B308" s="42" t="s">
        <v>64</v>
      </c>
      <c r="C308" s="43">
        <v>4017860</v>
      </c>
      <c r="D308" s="56" t="s">
        <v>472</v>
      </c>
      <c r="E308" s="56" t="s">
        <v>475</v>
      </c>
      <c r="F308" s="45">
        <v>3999</v>
      </c>
      <c r="G308" s="45">
        <v>3099</v>
      </c>
      <c r="H308" s="46">
        <v>3099</v>
      </c>
      <c r="I308" s="46">
        <v>3099</v>
      </c>
      <c r="J308" s="46">
        <v>2799</v>
      </c>
      <c r="K308" s="46">
        <v>2799</v>
      </c>
      <c r="L308" s="46">
        <v>2799</v>
      </c>
      <c r="M308" s="46">
        <v>2799</v>
      </c>
      <c r="N308" s="46">
        <v>2799</v>
      </c>
      <c r="O308" s="45">
        <v>2749</v>
      </c>
      <c r="P308" s="46">
        <v>2699</v>
      </c>
      <c r="Q308" s="46">
        <v>1999</v>
      </c>
      <c r="R308" s="45">
        <v>2749</v>
      </c>
      <c r="S308" s="45">
        <v>2699</v>
      </c>
      <c r="T308" s="45">
        <v>1999</v>
      </c>
      <c r="U308" s="45">
        <v>1999</v>
      </c>
      <c r="V308" s="45">
        <v>1999</v>
      </c>
      <c r="W308" s="45">
        <v>1999</v>
      </c>
      <c r="X308" s="45">
        <v>1949</v>
      </c>
      <c r="Y308" s="45">
        <v>1899</v>
      </c>
      <c r="Z308" s="45">
        <v>1899</v>
      </c>
      <c r="AA308" s="45">
        <v>1899</v>
      </c>
      <c r="AB308" s="45">
        <v>2799</v>
      </c>
      <c r="AC308" s="45">
        <v>2799</v>
      </c>
      <c r="AD308" s="45">
        <v>2799</v>
      </c>
      <c r="AE308" s="45">
        <v>2749</v>
      </c>
      <c r="AF308" s="45">
        <v>2699</v>
      </c>
      <c r="AG308" s="45">
        <v>2699</v>
      </c>
      <c r="AH308" s="45">
        <v>1999</v>
      </c>
      <c r="AI308" s="45">
        <v>1999</v>
      </c>
      <c r="AJ308" s="45">
        <v>1999</v>
      </c>
      <c r="AK308" s="45">
        <v>1999</v>
      </c>
      <c r="AL308" s="45">
        <v>1899</v>
      </c>
      <c r="AM308" s="45"/>
      <c r="AN308" s="45"/>
      <c r="AO308" s="45"/>
      <c r="AP308" s="45"/>
      <c r="AQ308" s="45"/>
      <c r="AR308" s="45"/>
      <c r="AS308" s="45"/>
      <c r="AT308" s="45"/>
      <c r="AU308" s="45"/>
      <c r="AV308" s="47"/>
      <c r="AW308" s="48" t="s">
        <v>67</v>
      </c>
      <c r="AX308" s="49" t="s">
        <v>68</v>
      </c>
      <c r="AY308" s="50">
        <f t="shared" si="27"/>
        <v>62.599799999999995</v>
      </c>
      <c r="AZ308" s="50">
        <f t="shared" si="28"/>
        <v>56.401800000000001</v>
      </c>
      <c r="BA308" s="51">
        <f t="shared" si="29"/>
        <v>31.919699999999999</v>
      </c>
    </row>
    <row r="309" spans="1:53" ht="22.5" customHeight="1">
      <c r="A309" s="55" t="s">
        <v>222</v>
      </c>
      <c r="B309" s="42" t="s">
        <v>64</v>
      </c>
      <c r="C309" s="43">
        <v>4017876</v>
      </c>
      <c r="D309" s="56" t="s">
        <v>472</v>
      </c>
      <c r="E309" s="56" t="s">
        <v>476</v>
      </c>
      <c r="F309" s="45">
        <v>3999</v>
      </c>
      <c r="G309" s="45">
        <v>3099</v>
      </c>
      <c r="H309" s="46">
        <v>3099</v>
      </c>
      <c r="I309" s="46">
        <v>3099</v>
      </c>
      <c r="J309" s="46">
        <v>2799</v>
      </c>
      <c r="K309" s="46">
        <v>2799</v>
      </c>
      <c r="L309" s="46">
        <v>2799</v>
      </c>
      <c r="M309" s="46">
        <v>2799</v>
      </c>
      <c r="N309" s="46">
        <v>2799</v>
      </c>
      <c r="O309" s="45">
        <v>2749</v>
      </c>
      <c r="P309" s="46">
        <v>2699</v>
      </c>
      <c r="Q309" s="46">
        <v>1999</v>
      </c>
      <c r="R309" s="45">
        <v>2749</v>
      </c>
      <c r="S309" s="45">
        <v>2699</v>
      </c>
      <c r="T309" s="45">
        <v>1999</v>
      </c>
      <c r="U309" s="45">
        <v>1999</v>
      </c>
      <c r="V309" s="45">
        <v>1999</v>
      </c>
      <c r="W309" s="45">
        <v>1999</v>
      </c>
      <c r="X309" s="45">
        <v>1949</v>
      </c>
      <c r="Y309" s="45">
        <v>1899</v>
      </c>
      <c r="Z309" s="45">
        <v>1899</v>
      </c>
      <c r="AA309" s="45">
        <v>1899</v>
      </c>
      <c r="AB309" s="45">
        <v>2799</v>
      </c>
      <c r="AC309" s="45">
        <v>2799</v>
      </c>
      <c r="AD309" s="45">
        <v>2799</v>
      </c>
      <c r="AE309" s="45">
        <v>2749</v>
      </c>
      <c r="AF309" s="45">
        <v>2699</v>
      </c>
      <c r="AG309" s="45">
        <v>2699</v>
      </c>
      <c r="AH309" s="45">
        <v>1999</v>
      </c>
      <c r="AI309" s="45">
        <v>1999</v>
      </c>
      <c r="AJ309" s="45">
        <v>1999</v>
      </c>
      <c r="AK309" s="45">
        <v>1999</v>
      </c>
      <c r="AL309" s="45">
        <v>1899</v>
      </c>
      <c r="AM309" s="45"/>
      <c r="AN309" s="45"/>
      <c r="AO309" s="45"/>
      <c r="AP309" s="45"/>
      <c r="AQ309" s="45"/>
      <c r="AR309" s="45"/>
      <c r="AS309" s="45"/>
      <c r="AT309" s="45"/>
      <c r="AU309" s="45"/>
      <c r="AV309" s="47"/>
      <c r="AW309" s="48" t="s">
        <v>67</v>
      </c>
      <c r="AX309" s="49" t="s">
        <v>68</v>
      </c>
      <c r="AY309" s="50">
        <f t="shared" si="27"/>
        <v>62.599799999999995</v>
      </c>
      <c r="AZ309" s="50">
        <f t="shared" si="28"/>
        <v>56.401800000000001</v>
      </c>
      <c r="BA309" s="51">
        <f t="shared" si="29"/>
        <v>31.919699999999999</v>
      </c>
    </row>
    <row r="310" spans="1:53" ht="22.5" customHeight="1">
      <c r="A310" s="55" t="s">
        <v>222</v>
      </c>
      <c r="B310" s="42" t="s">
        <v>64</v>
      </c>
      <c r="C310" s="43">
        <v>4017852</v>
      </c>
      <c r="D310" s="56" t="s">
        <v>472</v>
      </c>
      <c r="E310" s="56" t="s">
        <v>477</v>
      </c>
      <c r="F310" s="45">
        <v>3999</v>
      </c>
      <c r="G310" s="45">
        <v>3099</v>
      </c>
      <c r="H310" s="46">
        <v>3099</v>
      </c>
      <c r="I310" s="46">
        <v>3099</v>
      </c>
      <c r="J310" s="46">
        <v>2799</v>
      </c>
      <c r="K310" s="46">
        <v>2799</v>
      </c>
      <c r="L310" s="46">
        <v>2799</v>
      </c>
      <c r="M310" s="46">
        <v>2799</v>
      </c>
      <c r="N310" s="46">
        <v>2799</v>
      </c>
      <c r="O310" s="45">
        <v>2749</v>
      </c>
      <c r="P310" s="46">
        <v>2699</v>
      </c>
      <c r="Q310" s="46">
        <v>1999</v>
      </c>
      <c r="R310" s="45">
        <v>2749</v>
      </c>
      <c r="S310" s="45">
        <v>2699</v>
      </c>
      <c r="T310" s="45">
        <v>1999</v>
      </c>
      <c r="U310" s="45">
        <v>1999</v>
      </c>
      <c r="V310" s="45">
        <v>1999</v>
      </c>
      <c r="W310" s="45">
        <v>1999</v>
      </c>
      <c r="X310" s="45">
        <v>1949</v>
      </c>
      <c r="Y310" s="45">
        <v>1899</v>
      </c>
      <c r="Z310" s="45">
        <v>1899</v>
      </c>
      <c r="AA310" s="45">
        <v>1899</v>
      </c>
      <c r="AB310" s="45">
        <v>2799</v>
      </c>
      <c r="AC310" s="45">
        <v>2799</v>
      </c>
      <c r="AD310" s="45">
        <v>2799</v>
      </c>
      <c r="AE310" s="45">
        <v>2749</v>
      </c>
      <c r="AF310" s="45">
        <v>2699</v>
      </c>
      <c r="AG310" s="45">
        <v>2699</v>
      </c>
      <c r="AH310" s="45">
        <v>1999</v>
      </c>
      <c r="AI310" s="45">
        <v>1999</v>
      </c>
      <c r="AJ310" s="45">
        <v>1999</v>
      </c>
      <c r="AK310" s="45">
        <v>1999</v>
      </c>
      <c r="AL310" s="45">
        <v>1899</v>
      </c>
      <c r="AM310" s="45"/>
      <c r="AN310" s="45"/>
      <c r="AO310" s="45"/>
      <c r="AP310" s="45"/>
      <c r="AQ310" s="45"/>
      <c r="AR310" s="45"/>
      <c r="AS310" s="45"/>
      <c r="AT310" s="45"/>
      <c r="AU310" s="45"/>
      <c r="AV310" s="47"/>
      <c r="AW310" s="48" t="s">
        <v>67</v>
      </c>
      <c r="AX310" s="49" t="s">
        <v>68</v>
      </c>
      <c r="AY310" s="50">
        <f t="shared" si="27"/>
        <v>62.599799999999995</v>
      </c>
      <c r="AZ310" s="50">
        <f t="shared" si="28"/>
        <v>56.401800000000001</v>
      </c>
      <c r="BA310" s="51">
        <f t="shared" si="29"/>
        <v>31.919699999999999</v>
      </c>
    </row>
    <row r="311" spans="1:53" ht="22.5" customHeight="1">
      <c r="A311" s="55" t="s">
        <v>222</v>
      </c>
      <c r="B311" s="42" t="s">
        <v>64</v>
      </c>
      <c r="C311" s="43">
        <v>4017857</v>
      </c>
      <c r="D311" s="56" t="s">
        <v>472</v>
      </c>
      <c r="E311" s="56" t="s">
        <v>478</v>
      </c>
      <c r="F311" s="45">
        <v>3999</v>
      </c>
      <c r="G311" s="45">
        <v>3099</v>
      </c>
      <c r="H311" s="46">
        <v>3099</v>
      </c>
      <c r="I311" s="46">
        <v>3099</v>
      </c>
      <c r="J311" s="46">
        <v>2799</v>
      </c>
      <c r="K311" s="46">
        <v>2799</v>
      </c>
      <c r="L311" s="46">
        <v>2799</v>
      </c>
      <c r="M311" s="46">
        <v>2799</v>
      </c>
      <c r="N311" s="46">
        <v>2799</v>
      </c>
      <c r="O311" s="45">
        <v>2749</v>
      </c>
      <c r="P311" s="46">
        <v>2699</v>
      </c>
      <c r="Q311" s="46">
        <v>1999</v>
      </c>
      <c r="R311" s="45">
        <v>2749</v>
      </c>
      <c r="S311" s="45">
        <v>2699</v>
      </c>
      <c r="T311" s="45">
        <v>1999</v>
      </c>
      <c r="U311" s="45">
        <v>1999</v>
      </c>
      <c r="V311" s="45">
        <v>1999</v>
      </c>
      <c r="W311" s="45">
        <v>1999</v>
      </c>
      <c r="X311" s="45">
        <v>1949</v>
      </c>
      <c r="Y311" s="45">
        <v>1899</v>
      </c>
      <c r="Z311" s="45">
        <v>1899</v>
      </c>
      <c r="AA311" s="45">
        <v>1899</v>
      </c>
      <c r="AB311" s="45">
        <v>2799</v>
      </c>
      <c r="AC311" s="45">
        <v>2799</v>
      </c>
      <c r="AD311" s="45">
        <v>2799</v>
      </c>
      <c r="AE311" s="45">
        <v>2749</v>
      </c>
      <c r="AF311" s="45">
        <v>2699</v>
      </c>
      <c r="AG311" s="45">
        <v>2699</v>
      </c>
      <c r="AH311" s="45">
        <v>1999</v>
      </c>
      <c r="AI311" s="45">
        <v>1999</v>
      </c>
      <c r="AJ311" s="45">
        <v>1999</v>
      </c>
      <c r="AK311" s="45">
        <v>1999</v>
      </c>
      <c r="AL311" s="45">
        <v>1899</v>
      </c>
      <c r="AM311" s="45"/>
      <c r="AN311" s="45"/>
      <c r="AO311" s="45"/>
      <c r="AP311" s="45"/>
      <c r="AQ311" s="45"/>
      <c r="AR311" s="45"/>
      <c r="AS311" s="45"/>
      <c r="AT311" s="45"/>
      <c r="AU311" s="45"/>
      <c r="AV311" s="47"/>
      <c r="AW311" s="48" t="s">
        <v>67</v>
      </c>
      <c r="AX311" s="49" t="s">
        <v>68</v>
      </c>
      <c r="AY311" s="50">
        <f t="shared" si="27"/>
        <v>62.599799999999995</v>
      </c>
      <c r="AZ311" s="50">
        <f t="shared" si="28"/>
        <v>56.401800000000001</v>
      </c>
      <c r="BA311" s="51">
        <f t="shared" si="29"/>
        <v>31.919699999999999</v>
      </c>
    </row>
    <row r="312" spans="1:53" ht="22.5" customHeight="1">
      <c r="A312" s="55" t="s">
        <v>222</v>
      </c>
      <c r="B312" s="42" t="s">
        <v>64</v>
      </c>
      <c r="C312" s="43">
        <v>4008625</v>
      </c>
      <c r="D312" s="61" t="s">
        <v>479</v>
      </c>
      <c r="E312" s="62" t="s">
        <v>480</v>
      </c>
      <c r="F312" s="45">
        <v>1099</v>
      </c>
      <c r="G312" s="45">
        <v>799</v>
      </c>
      <c r="H312" s="46">
        <v>799</v>
      </c>
      <c r="I312" s="46">
        <v>799</v>
      </c>
      <c r="J312" s="46">
        <f t="shared" ref="J312" si="32">M312</f>
        <v>799</v>
      </c>
      <c r="K312" s="46">
        <f t="shared" ref="K312:L312" si="33">M312</f>
        <v>799</v>
      </c>
      <c r="L312" s="46">
        <f t="shared" si="33"/>
        <v>799</v>
      </c>
      <c r="M312" s="46">
        <v>799</v>
      </c>
      <c r="N312" s="46">
        <v>799</v>
      </c>
      <c r="O312" s="45">
        <f t="shared" ref="O312:Q312" si="34">R312</f>
        <v>699</v>
      </c>
      <c r="P312" s="46">
        <f t="shared" si="34"/>
        <v>579</v>
      </c>
      <c r="Q312" s="46">
        <f t="shared" si="34"/>
        <v>449</v>
      </c>
      <c r="R312" s="45">
        <v>699</v>
      </c>
      <c r="S312" s="45">
        <v>579</v>
      </c>
      <c r="T312" s="45">
        <v>449</v>
      </c>
      <c r="U312" s="45">
        <v>449</v>
      </c>
      <c r="V312" s="45">
        <v>449</v>
      </c>
      <c r="W312" s="45">
        <v>449</v>
      </c>
      <c r="X312" s="45">
        <v>399</v>
      </c>
      <c r="Y312" s="45">
        <v>349</v>
      </c>
      <c r="Z312" s="45">
        <v>349</v>
      </c>
      <c r="AA312" s="45">
        <v>309</v>
      </c>
      <c r="AB312" s="45"/>
      <c r="AC312" s="45"/>
      <c r="AD312" s="45"/>
      <c r="AE312" s="45"/>
      <c r="AF312" s="45"/>
      <c r="AG312" s="45"/>
      <c r="AH312" s="45"/>
      <c r="AI312" s="45"/>
      <c r="AJ312" s="45"/>
      <c r="AK312" s="45"/>
      <c r="AL312" s="45"/>
      <c r="AM312" s="45"/>
      <c r="AN312" s="45"/>
      <c r="AO312" s="45"/>
      <c r="AP312" s="45"/>
      <c r="AQ312" s="45"/>
      <c r="AR312" s="45"/>
      <c r="AS312" s="45"/>
      <c r="AT312" s="45"/>
      <c r="AU312" s="45"/>
      <c r="AV312" s="47"/>
      <c r="AW312" s="48" t="s">
        <v>67</v>
      </c>
      <c r="AX312" s="49" t="s">
        <v>230</v>
      </c>
      <c r="AY312" s="50">
        <f t="shared" si="27"/>
        <v>16.139800000000001</v>
      </c>
      <c r="AZ312" s="50">
        <f t="shared" si="28"/>
        <v>14.5418</v>
      </c>
      <c r="BA312" s="51">
        <f t="shared" si="29"/>
        <v>8.2296999999999993</v>
      </c>
    </row>
    <row r="313" spans="1:53" ht="22.5" customHeight="1">
      <c r="A313" s="41" t="s">
        <v>63</v>
      </c>
      <c r="B313" s="42" t="s">
        <v>64</v>
      </c>
      <c r="C313" s="43">
        <v>4015427</v>
      </c>
      <c r="D313" s="56" t="s">
        <v>481</v>
      </c>
      <c r="E313" s="56" t="s">
        <v>482</v>
      </c>
      <c r="F313" s="45">
        <v>2227</v>
      </c>
      <c r="G313" s="45">
        <v>2027</v>
      </c>
      <c r="H313" s="45">
        <v>2227</v>
      </c>
      <c r="I313" s="45">
        <v>2227</v>
      </c>
      <c r="J313" s="45">
        <v>1419</v>
      </c>
      <c r="K313" s="45">
        <v>1419</v>
      </c>
      <c r="L313" s="45">
        <v>1419</v>
      </c>
      <c r="M313" s="45">
        <v>1419</v>
      </c>
      <c r="N313" s="45">
        <v>1419</v>
      </c>
      <c r="O313" s="45">
        <v>1419</v>
      </c>
      <c r="P313" s="45">
        <v>1419</v>
      </c>
      <c r="Q313" s="45">
        <v>1419</v>
      </c>
      <c r="R313" s="45">
        <v>1419</v>
      </c>
      <c r="S313" s="45">
        <v>1419</v>
      </c>
      <c r="T313" s="45">
        <v>1419</v>
      </c>
      <c r="U313" s="45">
        <v>1419</v>
      </c>
      <c r="V313" s="45">
        <v>1419</v>
      </c>
      <c r="W313" s="45">
        <v>1419</v>
      </c>
      <c r="X313" s="45">
        <v>1419</v>
      </c>
      <c r="Y313" s="45">
        <v>1419</v>
      </c>
      <c r="Z313" s="45">
        <v>1419</v>
      </c>
      <c r="AA313" s="45">
        <v>1419</v>
      </c>
      <c r="AB313" s="45"/>
      <c r="AC313" s="45"/>
      <c r="AD313" s="45"/>
      <c r="AE313" s="45"/>
      <c r="AF313" s="45"/>
      <c r="AG313" s="45"/>
      <c r="AH313" s="45"/>
      <c r="AI313" s="45"/>
      <c r="AJ313" s="45"/>
      <c r="AK313" s="45"/>
      <c r="AL313" s="45"/>
      <c r="AM313" s="45"/>
      <c r="AN313" s="45"/>
      <c r="AO313" s="45"/>
      <c r="AP313" s="45"/>
      <c r="AQ313" s="45"/>
      <c r="AR313" s="45"/>
      <c r="AS313" s="45"/>
      <c r="AT313" s="45"/>
      <c r="AU313" s="45"/>
      <c r="AV313" s="47"/>
      <c r="AW313" s="48" t="s">
        <v>67</v>
      </c>
      <c r="AX313" s="49" t="s">
        <v>68</v>
      </c>
      <c r="AY313" s="50">
        <f t="shared" si="27"/>
        <v>44.985399999999998</v>
      </c>
      <c r="AZ313" s="50">
        <f t="shared" si="28"/>
        <v>40.531400000000005</v>
      </c>
      <c r="BA313" s="51">
        <f t="shared" si="29"/>
        <v>22.938099999999999</v>
      </c>
    </row>
    <row r="314" spans="1:53" ht="22.5" customHeight="1">
      <c r="A314" s="41" t="s">
        <v>63</v>
      </c>
      <c r="B314" s="42" t="s">
        <v>64</v>
      </c>
      <c r="C314" s="43">
        <v>4015449</v>
      </c>
      <c r="D314" s="56" t="s">
        <v>481</v>
      </c>
      <c r="E314" s="56" t="s">
        <v>483</v>
      </c>
      <c r="F314" s="45">
        <v>2227</v>
      </c>
      <c r="G314" s="45">
        <v>2027</v>
      </c>
      <c r="H314" s="45">
        <v>2227</v>
      </c>
      <c r="I314" s="45">
        <v>2227</v>
      </c>
      <c r="J314" s="45">
        <v>1419</v>
      </c>
      <c r="K314" s="45">
        <v>1419</v>
      </c>
      <c r="L314" s="45">
        <v>1419</v>
      </c>
      <c r="M314" s="45">
        <v>1419</v>
      </c>
      <c r="N314" s="45">
        <v>1419</v>
      </c>
      <c r="O314" s="45">
        <v>1419</v>
      </c>
      <c r="P314" s="45">
        <v>1419</v>
      </c>
      <c r="Q314" s="45">
        <v>1419</v>
      </c>
      <c r="R314" s="45">
        <v>1419</v>
      </c>
      <c r="S314" s="45">
        <v>1419</v>
      </c>
      <c r="T314" s="45">
        <v>1419</v>
      </c>
      <c r="U314" s="45">
        <v>1419</v>
      </c>
      <c r="V314" s="45">
        <v>1419</v>
      </c>
      <c r="W314" s="45">
        <v>1419</v>
      </c>
      <c r="X314" s="45">
        <v>1419</v>
      </c>
      <c r="Y314" s="45">
        <v>1419</v>
      </c>
      <c r="Z314" s="45">
        <v>1419</v>
      </c>
      <c r="AA314" s="45">
        <v>1419</v>
      </c>
      <c r="AB314" s="45"/>
      <c r="AC314" s="45"/>
      <c r="AD314" s="45"/>
      <c r="AE314" s="45"/>
      <c r="AF314" s="45"/>
      <c r="AG314" s="45"/>
      <c r="AH314" s="45"/>
      <c r="AI314" s="45"/>
      <c r="AJ314" s="45"/>
      <c r="AK314" s="45"/>
      <c r="AL314" s="45"/>
      <c r="AM314" s="45"/>
      <c r="AN314" s="45"/>
      <c r="AO314" s="45"/>
      <c r="AP314" s="45"/>
      <c r="AQ314" s="45"/>
      <c r="AR314" s="45"/>
      <c r="AS314" s="45"/>
      <c r="AT314" s="45"/>
      <c r="AU314" s="45"/>
      <c r="AV314" s="47"/>
      <c r="AW314" s="48" t="s">
        <v>67</v>
      </c>
      <c r="AX314" s="49" t="s">
        <v>68</v>
      </c>
      <c r="AY314" s="50">
        <f t="shared" si="27"/>
        <v>44.985399999999998</v>
      </c>
      <c r="AZ314" s="50">
        <f t="shared" si="28"/>
        <v>40.531400000000005</v>
      </c>
      <c r="BA314" s="51">
        <f t="shared" si="29"/>
        <v>22.938099999999999</v>
      </c>
    </row>
    <row r="315" spans="1:53" ht="22.5" customHeight="1">
      <c r="A315" s="41" t="s">
        <v>63</v>
      </c>
      <c r="B315" s="42" t="s">
        <v>64</v>
      </c>
      <c r="C315" s="43">
        <v>4015443</v>
      </c>
      <c r="D315" s="56" t="s">
        <v>481</v>
      </c>
      <c r="E315" s="56" t="s">
        <v>484</v>
      </c>
      <c r="F315" s="45">
        <v>2227</v>
      </c>
      <c r="G315" s="45">
        <v>2027</v>
      </c>
      <c r="H315" s="45">
        <v>2227</v>
      </c>
      <c r="I315" s="45">
        <v>2227</v>
      </c>
      <c r="J315" s="45">
        <v>1419</v>
      </c>
      <c r="K315" s="45">
        <v>1419</v>
      </c>
      <c r="L315" s="45">
        <v>1419</v>
      </c>
      <c r="M315" s="45">
        <v>1419</v>
      </c>
      <c r="N315" s="45">
        <v>1419</v>
      </c>
      <c r="O315" s="45">
        <v>1419</v>
      </c>
      <c r="P315" s="45">
        <v>1419</v>
      </c>
      <c r="Q315" s="45">
        <v>1419</v>
      </c>
      <c r="R315" s="45">
        <v>1419</v>
      </c>
      <c r="S315" s="45">
        <v>1419</v>
      </c>
      <c r="T315" s="45">
        <v>1419</v>
      </c>
      <c r="U315" s="45">
        <v>1419</v>
      </c>
      <c r="V315" s="45">
        <v>1419</v>
      </c>
      <c r="W315" s="45">
        <v>1419</v>
      </c>
      <c r="X315" s="45">
        <v>1419</v>
      </c>
      <c r="Y315" s="45">
        <v>1419</v>
      </c>
      <c r="Z315" s="45">
        <v>1419</v>
      </c>
      <c r="AA315" s="45">
        <v>1419</v>
      </c>
      <c r="AB315" s="45"/>
      <c r="AC315" s="45"/>
      <c r="AD315" s="45"/>
      <c r="AE315" s="45"/>
      <c r="AF315" s="45"/>
      <c r="AG315" s="45"/>
      <c r="AH315" s="45"/>
      <c r="AI315" s="45"/>
      <c r="AJ315" s="45"/>
      <c r="AK315" s="45"/>
      <c r="AL315" s="45"/>
      <c r="AM315" s="45"/>
      <c r="AN315" s="45"/>
      <c r="AO315" s="45"/>
      <c r="AP315" s="45"/>
      <c r="AQ315" s="45"/>
      <c r="AR315" s="45"/>
      <c r="AS315" s="45"/>
      <c r="AT315" s="45"/>
      <c r="AU315" s="45"/>
      <c r="AV315" s="47"/>
      <c r="AW315" s="48" t="s">
        <v>67</v>
      </c>
      <c r="AX315" s="49" t="s">
        <v>68</v>
      </c>
      <c r="AY315" s="50">
        <f t="shared" si="27"/>
        <v>44.985399999999998</v>
      </c>
      <c r="AZ315" s="50">
        <f t="shared" si="28"/>
        <v>40.531400000000005</v>
      </c>
      <c r="BA315" s="51">
        <f t="shared" si="29"/>
        <v>22.938099999999999</v>
      </c>
    </row>
    <row r="316" spans="1:53" ht="22.5" customHeight="1">
      <c r="A316" s="41" t="s">
        <v>63</v>
      </c>
      <c r="B316" s="42" t="s">
        <v>64</v>
      </c>
      <c r="C316" s="43">
        <v>4014767</v>
      </c>
      <c r="D316" s="56" t="s">
        <v>485</v>
      </c>
      <c r="E316" s="56" t="s">
        <v>486</v>
      </c>
      <c r="F316" s="45">
        <v>2999</v>
      </c>
      <c r="G316" s="45">
        <v>1299</v>
      </c>
      <c r="H316" s="45">
        <v>2399</v>
      </c>
      <c r="I316" s="45">
        <v>2399</v>
      </c>
      <c r="J316" s="45">
        <v>749</v>
      </c>
      <c r="K316" s="45">
        <v>749</v>
      </c>
      <c r="L316" s="45">
        <v>749</v>
      </c>
      <c r="M316" s="45">
        <v>749</v>
      </c>
      <c r="N316" s="45">
        <v>749</v>
      </c>
      <c r="O316" s="45">
        <v>749</v>
      </c>
      <c r="P316" s="46">
        <v>749</v>
      </c>
      <c r="Q316" s="46">
        <v>749</v>
      </c>
      <c r="R316" s="45">
        <v>749</v>
      </c>
      <c r="S316" s="45">
        <v>749</v>
      </c>
      <c r="T316" s="45">
        <v>749</v>
      </c>
      <c r="U316" s="45">
        <v>749</v>
      </c>
      <c r="V316" s="45">
        <v>749</v>
      </c>
      <c r="W316" s="45">
        <v>749</v>
      </c>
      <c r="X316" s="45">
        <v>749</v>
      </c>
      <c r="Y316" s="45">
        <v>749</v>
      </c>
      <c r="Z316" s="45">
        <v>749</v>
      </c>
      <c r="AA316" s="45">
        <v>749</v>
      </c>
      <c r="AB316" s="45"/>
      <c r="AC316" s="45"/>
      <c r="AD316" s="45"/>
      <c r="AE316" s="45"/>
      <c r="AF316" s="45"/>
      <c r="AG316" s="45"/>
      <c r="AH316" s="45"/>
      <c r="AI316" s="45"/>
      <c r="AJ316" s="45"/>
      <c r="AK316" s="45"/>
      <c r="AL316" s="45"/>
      <c r="AM316" s="45"/>
      <c r="AN316" s="45"/>
      <c r="AO316" s="45"/>
      <c r="AP316" s="45"/>
      <c r="AQ316" s="45"/>
      <c r="AR316" s="45"/>
      <c r="AS316" s="45"/>
      <c r="AT316" s="45"/>
      <c r="AU316" s="45"/>
      <c r="AV316" s="47"/>
      <c r="AW316" s="48" t="s">
        <v>67</v>
      </c>
      <c r="AX316" s="49" t="s">
        <v>68</v>
      </c>
      <c r="AY316" s="50">
        <f t="shared" si="27"/>
        <v>48.459800000000001</v>
      </c>
      <c r="AZ316" s="50">
        <f t="shared" si="28"/>
        <v>43.661799999999999</v>
      </c>
      <c r="BA316" s="51">
        <f t="shared" si="29"/>
        <v>24.709700000000002</v>
      </c>
    </row>
    <row r="317" spans="1:53" ht="22.5" customHeight="1">
      <c r="A317" s="41" t="s">
        <v>63</v>
      </c>
      <c r="B317" s="42" t="s">
        <v>64</v>
      </c>
      <c r="C317" s="43">
        <v>4014758</v>
      </c>
      <c r="D317" s="56" t="s">
        <v>485</v>
      </c>
      <c r="E317" s="56" t="s">
        <v>487</v>
      </c>
      <c r="F317" s="45">
        <v>2999</v>
      </c>
      <c r="G317" s="45">
        <v>1299</v>
      </c>
      <c r="H317" s="45">
        <v>2399</v>
      </c>
      <c r="I317" s="45">
        <v>2399</v>
      </c>
      <c r="J317" s="45">
        <v>749</v>
      </c>
      <c r="K317" s="45">
        <v>749</v>
      </c>
      <c r="L317" s="45">
        <v>749</v>
      </c>
      <c r="M317" s="45">
        <v>749</v>
      </c>
      <c r="N317" s="45">
        <v>749</v>
      </c>
      <c r="O317" s="45">
        <v>749</v>
      </c>
      <c r="P317" s="46">
        <v>749</v>
      </c>
      <c r="Q317" s="46">
        <v>749</v>
      </c>
      <c r="R317" s="45">
        <v>749</v>
      </c>
      <c r="S317" s="45">
        <v>749</v>
      </c>
      <c r="T317" s="45">
        <v>749</v>
      </c>
      <c r="U317" s="45">
        <v>749</v>
      </c>
      <c r="V317" s="45">
        <v>749</v>
      </c>
      <c r="W317" s="45">
        <v>749</v>
      </c>
      <c r="X317" s="45">
        <v>749</v>
      </c>
      <c r="Y317" s="45">
        <v>749</v>
      </c>
      <c r="Z317" s="45">
        <v>749</v>
      </c>
      <c r="AA317" s="45">
        <v>749</v>
      </c>
      <c r="AB317" s="45"/>
      <c r="AC317" s="45"/>
      <c r="AD317" s="45"/>
      <c r="AE317" s="45"/>
      <c r="AF317" s="45"/>
      <c r="AG317" s="45"/>
      <c r="AH317" s="45"/>
      <c r="AI317" s="45"/>
      <c r="AJ317" s="45"/>
      <c r="AK317" s="45"/>
      <c r="AL317" s="45"/>
      <c r="AM317" s="45"/>
      <c r="AN317" s="45"/>
      <c r="AO317" s="45"/>
      <c r="AP317" s="45"/>
      <c r="AQ317" s="45"/>
      <c r="AR317" s="45"/>
      <c r="AS317" s="45"/>
      <c r="AT317" s="45"/>
      <c r="AU317" s="45"/>
      <c r="AV317" s="47"/>
      <c r="AW317" s="48" t="s">
        <v>67</v>
      </c>
      <c r="AX317" s="49" t="s">
        <v>68</v>
      </c>
      <c r="AY317" s="50">
        <f t="shared" si="27"/>
        <v>48.459800000000001</v>
      </c>
      <c r="AZ317" s="50">
        <f t="shared" si="28"/>
        <v>43.661799999999999</v>
      </c>
      <c r="BA317" s="51">
        <f t="shared" si="29"/>
        <v>24.709700000000002</v>
      </c>
    </row>
    <row r="318" spans="1:53" ht="22.5" customHeight="1">
      <c r="A318" s="41" t="s">
        <v>63</v>
      </c>
      <c r="B318" s="42" t="s">
        <v>64</v>
      </c>
      <c r="C318" s="43">
        <v>4014764</v>
      </c>
      <c r="D318" s="56" t="s">
        <v>485</v>
      </c>
      <c r="E318" s="56" t="s">
        <v>488</v>
      </c>
      <c r="F318" s="45">
        <v>2999</v>
      </c>
      <c r="G318" s="45">
        <v>1299</v>
      </c>
      <c r="H318" s="45">
        <v>2399</v>
      </c>
      <c r="I318" s="45">
        <v>2399</v>
      </c>
      <c r="J318" s="45">
        <v>749</v>
      </c>
      <c r="K318" s="45">
        <v>749</v>
      </c>
      <c r="L318" s="45">
        <v>749</v>
      </c>
      <c r="M318" s="45">
        <v>749</v>
      </c>
      <c r="N318" s="45">
        <v>749</v>
      </c>
      <c r="O318" s="45">
        <v>749</v>
      </c>
      <c r="P318" s="46">
        <v>749</v>
      </c>
      <c r="Q318" s="46">
        <v>749</v>
      </c>
      <c r="R318" s="45">
        <v>749</v>
      </c>
      <c r="S318" s="45">
        <v>749</v>
      </c>
      <c r="T318" s="45">
        <v>749</v>
      </c>
      <c r="U318" s="45">
        <v>749</v>
      </c>
      <c r="V318" s="45">
        <v>749</v>
      </c>
      <c r="W318" s="45">
        <v>749</v>
      </c>
      <c r="X318" s="45">
        <v>749</v>
      </c>
      <c r="Y318" s="45">
        <v>749</v>
      </c>
      <c r="Z318" s="45">
        <v>749</v>
      </c>
      <c r="AA318" s="45">
        <v>749</v>
      </c>
      <c r="AB318" s="45"/>
      <c r="AC318" s="45"/>
      <c r="AD318" s="45"/>
      <c r="AE318" s="45"/>
      <c r="AF318" s="45"/>
      <c r="AG318" s="45"/>
      <c r="AH318" s="45"/>
      <c r="AI318" s="45"/>
      <c r="AJ318" s="45"/>
      <c r="AK318" s="45"/>
      <c r="AL318" s="45"/>
      <c r="AM318" s="45"/>
      <c r="AN318" s="45"/>
      <c r="AO318" s="45"/>
      <c r="AP318" s="45"/>
      <c r="AQ318" s="45"/>
      <c r="AR318" s="45"/>
      <c r="AS318" s="45"/>
      <c r="AT318" s="45"/>
      <c r="AU318" s="45"/>
      <c r="AV318" s="47"/>
      <c r="AW318" s="48" t="s">
        <v>67</v>
      </c>
      <c r="AX318" s="49" t="s">
        <v>68</v>
      </c>
      <c r="AY318" s="50">
        <f t="shared" si="27"/>
        <v>48.459800000000001</v>
      </c>
      <c r="AZ318" s="50">
        <f t="shared" si="28"/>
        <v>43.661799999999999</v>
      </c>
      <c r="BA318" s="51">
        <f t="shared" si="29"/>
        <v>24.709700000000002</v>
      </c>
    </row>
    <row r="319" spans="1:53" ht="22.5" customHeight="1">
      <c r="A319" s="41" t="s">
        <v>63</v>
      </c>
      <c r="B319" s="42" t="s">
        <v>64</v>
      </c>
      <c r="C319" s="43">
        <v>4014985</v>
      </c>
      <c r="D319" s="56" t="s">
        <v>485</v>
      </c>
      <c r="E319" s="56" t="s">
        <v>489</v>
      </c>
      <c r="F319" s="45">
        <v>2999</v>
      </c>
      <c r="G319" s="45">
        <v>1299</v>
      </c>
      <c r="H319" s="45">
        <v>2399</v>
      </c>
      <c r="I319" s="45">
        <v>2399</v>
      </c>
      <c r="J319" s="45">
        <v>749</v>
      </c>
      <c r="K319" s="45">
        <v>749</v>
      </c>
      <c r="L319" s="45">
        <v>749</v>
      </c>
      <c r="M319" s="45">
        <v>749</v>
      </c>
      <c r="N319" s="45">
        <v>749</v>
      </c>
      <c r="O319" s="45">
        <v>749</v>
      </c>
      <c r="P319" s="46">
        <v>749</v>
      </c>
      <c r="Q319" s="46">
        <v>749</v>
      </c>
      <c r="R319" s="45">
        <v>749</v>
      </c>
      <c r="S319" s="45">
        <v>749</v>
      </c>
      <c r="T319" s="45">
        <v>749</v>
      </c>
      <c r="U319" s="45">
        <v>749</v>
      </c>
      <c r="V319" s="45">
        <v>749</v>
      </c>
      <c r="W319" s="45">
        <v>749</v>
      </c>
      <c r="X319" s="45">
        <v>749</v>
      </c>
      <c r="Y319" s="45">
        <v>749</v>
      </c>
      <c r="Z319" s="45">
        <v>749</v>
      </c>
      <c r="AA319" s="45">
        <v>749</v>
      </c>
      <c r="AB319" s="45"/>
      <c r="AC319" s="45"/>
      <c r="AD319" s="45"/>
      <c r="AE319" s="45"/>
      <c r="AF319" s="45"/>
      <c r="AG319" s="45"/>
      <c r="AH319" s="45"/>
      <c r="AI319" s="45"/>
      <c r="AJ319" s="45"/>
      <c r="AK319" s="45"/>
      <c r="AL319" s="45"/>
      <c r="AM319" s="45"/>
      <c r="AN319" s="45"/>
      <c r="AO319" s="45"/>
      <c r="AP319" s="45"/>
      <c r="AQ319" s="45"/>
      <c r="AR319" s="45"/>
      <c r="AS319" s="45"/>
      <c r="AT319" s="45"/>
      <c r="AU319" s="45"/>
      <c r="AV319" s="47"/>
      <c r="AW319" s="48" t="s">
        <v>67</v>
      </c>
      <c r="AX319" s="49" t="s">
        <v>68</v>
      </c>
      <c r="AY319" s="50">
        <f t="shared" si="27"/>
        <v>48.459800000000001</v>
      </c>
      <c r="AZ319" s="50">
        <f t="shared" si="28"/>
        <v>43.661799999999999</v>
      </c>
      <c r="BA319" s="51">
        <f t="shared" si="29"/>
        <v>24.709700000000002</v>
      </c>
    </row>
    <row r="320" spans="1:53" ht="22.5" customHeight="1">
      <c r="A320" s="41" t="s">
        <v>63</v>
      </c>
      <c r="B320" s="42" t="s">
        <v>64</v>
      </c>
      <c r="C320" s="43">
        <v>4014742</v>
      </c>
      <c r="D320" s="56" t="s">
        <v>490</v>
      </c>
      <c r="E320" s="56" t="s">
        <v>491</v>
      </c>
      <c r="F320" s="45">
        <v>2199</v>
      </c>
      <c r="G320" s="45">
        <v>1099</v>
      </c>
      <c r="H320" s="45">
        <v>2199</v>
      </c>
      <c r="I320" s="45">
        <v>2199</v>
      </c>
      <c r="J320" s="45">
        <v>799</v>
      </c>
      <c r="K320" s="45">
        <v>799</v>
      </c>
      <c r="L320" s="45">
        <v>799</v>
      </c>
      <c r="M320" s="45">
        <v>799</v>
      </c>
      <c r="N320" s="45">
        <v>799</v>
      </c>
      <c r="O320" s="45">
        <v>799</v>
      </c>
      <c r="P320" s="46">
        <v>799</v>
      </c>
      <c r="Q320" s="46">
        <v>799</v>
      </c>
      <c r="R320" s="45">
        <v>799</v>
      </c>
      <c r="S320" s="45">
        <v>799</v>
      </c>
      <c r="T320" s="45">
        <v>799</v>
      </c>
      <c r="U320" s="45">
        <v>799</v>
      </c>
      <c r="V320" s="45">
        <v>799</v>
      </c>
      <c r="W320" s="45">
        <v>799</v>
      </c>
      <c r="X320" s="45">
        <v>799</v>
      </c>
      <c r="Y320" s="45">
        <v>799</v>
      </c>
      <c r="Z320" s="45">
        <v>799</v>
      </c>
      <c r="AA320" s="45">
        <v>799</v>
      </c>
      <c r="AB320" s="45"/>
      <c r="AC320" s="45"/>
      <c r="AD320" s="45"/>
      <c r="AE320" s="45"/>
      <c r="AF320" s="45"/>
      <c r="AG320" s="45"/>
      <c r="AH320" s="45"/>
      <c r="AI320" s="45"/>
      <c r="AJ320" s="45"/>
      <c r="AK320" s="45"/>
      <c r="AL320" s="45"/>
      <c r="AM320" s="45"/>
      <c r="AN320" s="45"/>
      <c r="AO320" s="45"/>
      <c r="AP320" s="45"/>
      <c r="AQ320" s="45"/>
      <c r="AR320" s="45"/>
      <c r="AS320" s="45"/>
      <c r="AT320" s="45"/>
      <c r="AU320" s="45"/>
      <c r="AV320" s="47"/>
      <c r="AW320" s="48" t="s">
        <v>67</v>
      </c>
      <c r="AX320" s="49" t="s">
        <v>68</v>
      </c>
      <c r="AY320" s="50">
        <f t="shared" si="27"/>
        <v>44.419799999999995</v>
      </c>
      <c r="AZ320" s="50">
        <f t="shared" si="28"/>
        <v>40.021799999999999</v>
      </c>
      <c r="BA320" s="51">
        <f t="shared" si="29"/>
        <v>22.649699999999999</v>
      </c>
    </row>
    <row r="321" spans="1:53" ht="22.5" customHeight="1">
      <c r="A321" s="41" t="s">
        <v>63</v>
      </c>
      <c r="B321" s="42" t="s">
        <v>64</v>
      </c>
      <c r="C321" s="43">
        <v>4014708</v>
      </c>
      <c r="D321" s="56" t="s">
        <v>490</v>
      </c>
      <c r="E321" s="56" t="s">
        <v>492</v>
      </c>
      <c r="F321" s="45">
        <v>2199</v>
      </c>
      <c r="G321" s="45">
        <v>1099</v>
      </c>
      <c r="H321" s="45">
        <v>2199</v>
      </c>
      <c r="I321" s="45">
        <v>2199</v>
      </c>
      <c r="J321" s="45">
        <v>799</v>
      </c>
      <c r="K321" s="45">
        <v>799</v>
      </c>
      <c r="L321" s="45">
        <v>799</v>
      </c>
      <c r="M321" s="45">
        <v>799</v>
      </c>
      <c r="N321" s="45">
        <v>799</v>
      </c>
      <c r="O321" s="45">
        <v>799</v>
      </c>
      <c r="P321" s="46">
        <v>799</v>
      </c>
      <c r="Q321" s="46">
        <v>799</v>
      </c>
      <c r="R321" s="45">
        <v>799</v>
      </c>
      <c r="S321" s="45">
        <v>799</v>
      </c>
      <c r="T321" s="45">
        <v>799</v>
      </c>
      <c r="U321" s="45">
        <v>799</v>
      </c>
      <c r="V321" s="45">
        <v>799</v>
      </c>
      <c r="W321" s="45">
        <v>799</v>
      </c>
      <c r="X321" s="45">
        <v>799</v>
      </c>
      <c r="Y321" s="45">
        <v>799</v>
      </c>
      <c r="Z321" s="45">
        <v>799</v>
      </c>
      <c r="AA321" s="45">
        <v>799</v>
      </c>
      <c r="AB321" s="45"/>
      <c r="AC321" s="45"/>
      <c r="AD321" s="45"/>
      <c r="AE321" s="45"/>
      <c r="AF321" s="45"/>
      <c r="AG321" s="45"/>
      <c r="AH321" s="45"/>
      <c r="AI321" s="45"/>
      <c r="AJ321" s="45"/>
      <c r="AK321" s="45"/>
      <c r="AL321" s="45"/>
      <c r="AM321" s="45"/>
      <c r="AN321" s="45"/>
      <c r="AO321" s="45"/>
      <c r="AP321" s="45"/>
      <c r="AQ321" s="45"/>
      <c r="AR321" s="45"/>
      <c r="AS321" s="45"/>
      <c r="AT321" s="45"/>
      <c r="AU321" s="45"/>
      <c r="AV321" s="47"/>
      <c r="AW321" s="48" t="s">
        <v>67</v>
      </c>
      <c r="AX321" s="49" t="s">
        <v>68</v>
      </c>
      <c r="AY321" s="50">
        <f t="shared" si="27"/>
        <v>44.419799999999995</v>
      </c>
      <c r="AZ321" s="50">
        <f t="shared" si="28"/>
        <v>40.021799999999999</v>
      </c>
      <c r="BA321" s="51">
        <f t="shared" si="29"/>
        <v>22.649699999999999</v>
      </c>
    </row>
    <row r="322" spans="1:53" ht="22.5" customHeight="1">
      <c r="A322" s="41" t="s">
        <v>63</v>
      </c>
      <c r="B322" s="42" t="s">
        <v>64</v>
      </c>
      <c r="C322" s="43">
        <v>4015523</v>
      </c>
      <c r="D322" s="56" t="s">
        <v>490</v>
      </c>
      <c r="E322" s="56" t="s">
        <v>493</v>
      </c>
      <c r="F322" s="45">
        <v>2199</v>
      </c>
      <c r="G322" s="45">
        <v>1099</v>
      </c>
      <c r="H322" s="45">
        <v>2199</v>
      </c>
      <c r="I322" s="45">
        <v>2199</v>
      </c>
      <c r="J322" s="45">
        <v>799</v>
      </c>
      <c r="K322" s="45">
        <v>799</v>
      </c>
      <c r="L322" s="45">
        <v>799</v>
      </c>
      <c r="M322" s="45">
        <v>799</v>
      </c>
      <c r="N322" s="45">
        <v>799</v>
      </c>
      <c r="O322" s="45">
        <v>799</v>
      </c>
      <c r="P322" s="46">
        <v>799</v>
      </c>
      <c r="Q322" s="46">
        <v>799</v>
      </c>
      <c r="R322" s="45">
        <v>799</v>
      </c>
      <c r="S322" s="45">
        <v>799</v>
      </c>
      <c r="T322" s="45">
        <v>799</v>
      </c>
      <c r="U322" s="45">
        <v>799</v>
      </c>
      <c r="V322" s="45">
        <v>799</v>
      </c>
      <c r="W322" s="45">
        <v>799</v>
      </c>
      <c r="X322" s="45">
        <v>799</v>
      </c>
      <c r="Y322" s="45">
        <v>799</v>
      </c>
      <c r="Z322" s="45">
        <v>799</v>
      </c>
      <c r="AA322" s="45">
        <v>799</v>
      </c>
      <c r="AB322" s="45"/>
      <c r="AC322" s="45"/>
      <c r="AD322" s="45"/>
      <c r="AE322" s="45"/>
      <c r="AF322" s="45"/>
      <c r="AG322" s="45"/>
      <c r="AH322" s="45"/>
      <c r="AI322" s="45"/>
      <c r="AJ322" s="45"/>
      <c r="AK322" s="45"/>
      <c r="AL322" s="45"/>
      <c r="AM322" s="45"/>
      <c r="AN322" s="45"/>
      <c r="AO322" s="45"/>
      <c r="AP322" s="45"/>
      <c r="AQ322" s="45"/>
      <c r="AR322" s="45"/>
      <c r="AS322" s="45"/>
      <c r="AT322" s="45"/>
      <c r="AU322" s="45"/>
      <c r="AV322" s="47"/>
      <c r="AW322" s="48" t="s">
        <v>67</v>
      </c>
      <c r="AX322" s="49" t="s">
        <v>68</v>
      </c>
      <c r="AY322" s="50">
        <f t="shared" si="27"/>
        <v>44.419799999999995</v>
      </c>
      <c r="AZ322" s="50">
        <f t="shared" si="28"/>
        <v>40.021799999999999</v>
      </c>
      <c r="BA322" s="51">
        <f t="shared" si="29"/>
        <v>22.649699999999999</v>
      </c>
    </row>
    <row r="323" spans="1:53" ht="22.5" customHeight="1">
      <c r="A323" s="41" t="s">
        <v>63</v>
      </c>
      <c r="B323" s="42" t="s">
        <v>64</v>
      </c>
      <c r="C323" s="43">
        <v>4015520</v>
      </c>
      <c r="D323" s="56" t="s">
        <v>490</v>
      </c>
      <c r="E323" s="56" t="s">
        <v>494</v>
      </c>
      <c r="F323" s="45">
        <v>2199</v>
      </c>
      <c r="G323" s="45">
        <v>1099</v>
      </c>
      <c r="H323" s="45">
        <v>2199</v>
      </c>
      <c r="I323" s="45">
        <v>2199</v>
      </c>
      <c r="J323" s="45">
        <v>799</v>
      </c>
      <c r="K323" s="45">
        <v>799</v>
      </c>
      <c r="L323" s="45">
        <v>799</v>
      </c>
      <c r="M323" s="45">
        <v>799</v>
      </c>
      <c r="N323" s="45">
        <v>799</v>
      </c>
      <c r="O323" s="45">
        <v>799</v>
      </c>
      <c r="P323" s="46">
        <v>799</v>
      </c>
      <c r="Q323" s="46">
        <v>799</v>
      </c>
      <c r="R323" s="45">
        <v>799</v>
      </c>
      <c r="S323" s="45">
        <v>799</v>
      </c>
      <c r="T323" s="45">
        <v>799</v>
      </c>
      <c r="U323" s="45">
        <v>799</v>
      </c>
      <c r="V323" s="45">
        <v>799</v>
      </c>
      <c r="W323" s="45">
        <v>799</v>
      </c>
      <c r="X323" s="45">
        <v>799</v>
      </c>
      <c r="Y323" s="45">
        <v>799</v>
      </c>
      <c r="Z323" s="45">
        <v>799</v>
      </c>
      <c r="AA323" s="45">
        <v>799</v>
      </c>
      <c r="AB323" s="45"/>
      <c r="AC323" s="45"/>
      <c r="AD323" s="45"/>
      <c r="AE323" s="45"/>
      <c r="AF323" s="45"/>
      <c r="AG323" s="45"/>
      <c r="AH323" s="45"/>
      <c r="AI323" s="45"/>
      <c r="AJ323" s="45"/>
      <c r="AK323" s="45"/>
      <c r="AL323" s="45"/>
      <c r="AM323" s="45"/>
      <c r="AN323" s="45"/>
      <c r="AO323" s="45"/>
      <c r="AP323" s="45"/>
      <c r="AQ323" s="45"/>
      <c r="AR323" s="45"/>
      <c r="AS323" s="45"/>
      <c r="AT323" s="45"/>
      <c r="AU323" s="45"/>
      <c r="AV323" s="47"/>
      <c r="AW323" s="48" t="s">
        <v>67</v>
      </c>
      <c r="AX323" s="49" t="s">
        <v>68</v>
      </c>
      <c r="AY323" s="50">
        <f t="shared" si="27"/>
        <v>44.419799999999995</v>
      </c>
      <c r="AZ323" s="50">
        <f t="shared" si="28"/>
        <v>40.021799999999999</v>
      </c>
      <c r="BA323" s="51">
        <f t="shared" si="29"/>
        <v>22.649699999999999</v>
      </c>
    </row>
    <row r="324" spans="1:53" ht="22.5" customHeight="1">
      <c r="A324" s="41" t="s">
        <v>63</v>
      </c>
      <c r="B324" s="42" t="s">
        <v>64</v>
      </c>
      <c r="C324" s="43">
        <v>4014707</v>
      </c>
      <c r="D324" s="56" t="s">
        <v>495</v>
      </c>
      <c r="E324" s="56" t="s">
        <v>496</v>
      </c>
      <c r="F324" s="45">
        <v>6999</v>
      </c>
      <c r="G324" s="45">
        <v>1899</v>
      </c>
      <c r="H324" s="45">
        <v>3499</v>
      </c>
      <c r="I324" s="45">
        <v>3499</v>
      </c>
      <c r="J324" s="45">
        <v>1199</v>
      </c>
      <c r="K324" s="45">
        <v>1199</v>
      </c>
      <c r="L324" s="45">
        <v>1199</v>
      </c>
      <c r="M324" s="45">
        <v>1199</v>
      </c>
      <c r="N324" s="45">
        <v>1199</v>
      </c>
      <c r="O324" s="45">
        <v>1199</v>
      </c>
      <c r="P324" s="46">
        <v>1199</v>
      </c>
      <c r="Q324" s="46">
        <v>1099</v>
      </c>
      <c r="R324" s="45">
        <v>1199</v>
      </c>
      <c r="S324" s="45">
        <v>1199</v>
      </c>
      <c r="T324" s="45">
        <v>1099</v>
      </c>
      <c r="U324" s="45">
        <v>1099</v>
      </c>
      <c r="V324" s="45">
        <v>1099</v>
      </c>
      <c r="W324" s="45">
        <v>1099</v>
      </c>
      <c r="X324" s="45">
        <v>1099</v>
      </c>
      <c r="Y324" s="45">
        <v>1099</v>
      </c>
      <c r="Z324" s="45">
        <v>1099</v>
      </c>
      <c r="AA324" s="45">
        <v>1099</v>
      </c>
      <c r="AB324" s="45"/>
      <c r="AC324" s="45"/>
      <c r="AD324" s="45"/>
      <c r="AE324" s="45"/>
      <c r="AF324" s="45"/>
      <c r="AG324" s="45"/>
      <c r="AH324" s="45"/>
      <c r="AI324" s="45"/>
      <c r="AJ324" s="45"/>
      <c r="AK324" s="45"/>
      <c r="AL324" s="45"/>
      <c r="AM324" s="45"/>
      <c r="AN324" s="45"/>
      <c r="AO324" s="45"/>
      <c r="AP324" s="45"/>
      <c r="AQ324" s="45"/>
      <c r="AR324" s="45"/>
      <c r="AS324" s="45"/>
      <c r="AT324" s="45"/>
      <c r="AU324" s="45"/>
      <c r="AV324" s="47"/>
      <c r="AW324" s="48" t="s">
        <v>67</v>
      </c>
      <c r="AX324" s="49" t="s">
        <v>68</v>
      </c>
      <c r="AY324" s="50">
        <f t="shared" si="27"/>
        <v>70.6798</v>
      </c>
      <c r="AZ324" s="50">
        <f t="shared" si="28"/>
        <v>63.681800000000003</v>
      </c>
      <c r="BA324" s="51">
        <f t="shared" si="29"/>
        <v>36.039700000000003</v>
      </c>
    </row>
    <row r="325" spans="1:53" ht="22.5" customHeight="1">
      <c r="A325" s="41" t="s">
        <v>63</v>
      </c>
      <c r="B325" s="42" t="s">
        <v>64</v>
      </c>
      <c r="C325" s="43">
        <v>4014734</v>
      </c>
      <c r="D325" s="56" t="s">
        <v>495</v>
      </c>
      <c r="E325" s="56" t="s">
        <v>497</v>
      </c>
      <c r="F325" s="45">
        <v>6999</v>
      </c>
      <c r="G325" s="45">
        <v>1899</v>
      </c>
      <c r="H325" s="45">
        <v>3499</v>
      </c>
      <c r="I325" s="45">
        <v>3499</v>
      </c>
      <c r="J325" s="45">
        <v>1199</v>
      </c>
      <c r="K325" s="45">
        <v>1199</v>
      </c>
      <c r="L325" s="45">
        <v>1199</v>
      </c>
      <c r="M325" s="45">
        <v>1199</v>
      </c>
      <c r="N325" s="45">
        <v>1199</v>
      </c>
      <c r="O325" s="45">
        <v>1199</v>
      </c>
      <c r="P325" s="46">
        <v>1199</v>
      </c>
      <c r="Q325" s="46">
        <v>1099</v>
      </c>
      <c r="R325" s="45">
        <v>1199</v>
      </c>
      <c r="S325" s="45">
        <v>1199</v>
      </c>
      <c r="T325" s="45">
        <v>1099</v>
      </c>
      <c r="U325" s="45">
        <v>1099</v>
      </c>
      <c r="V325" s="45">
        <v>1099</v>
      </c>
      <c r="W325" s="45">
        <v>1099</v>
      </c>
      <c r="X325" s="45">
        <v>1099</v>
      </c>
      <c r="Y325" s="45">
        <v>1099</v>
      </c>
      <c r="Z325" s="45">
        <v>1099</v>
      </c>
      <c r="AA325" s="45">
        <v>1099</v>
      </c>
      <c r="AB325" s="45"/>
      <c r="AC325" s="45"/>
      <c r="AD325" s="45"/>
      <c r="AE325" s="45"/>
      <c r="AF325" s="45"/>
      <c r="AG325" s="45"/>
      <c r="AH325" s="45"/>
      <c r="AI325" s="45"/>
      <c r="AJ325" s="45"/>
      <c r="AK325" s="45"/>
      <c r="AL325" s="45"/>
      <c r="AM325" s="45"/>
      <c r="AN325" s="45"/>
      <c r="AO325" s="45"/>
      <c r="AP325" s="45"/>
      <c r="AQ325" s="45"/>
      <c r="AR325" s="45"/>
      <c r="AS325" s="45"/>
      <c r="AT325" s="45"/>
      <c r="AU325" s="45"/>
      <c r="AV325" s="47"/>
      <c r="AW325" s="48" t="s">
        <v>67</v>
      </c>
      <c r="AX325" s="49" t="s">
        <v>68</v>
      </c>
      <c r="AY325" s="50">
        <f t="shared" si="27"/>
        <v>70.6798</v>
      </c>
      <c r="AZ325" s="50">
        <f t="shared" si="28"/>
        <v>63.681800000000003</v>
      </c>
      <c r="BA325" s="51">
        <f t="shared" si="29"/>
        <v>36.039700000000003</v>
      </c>
    </row>
    <row r="326" spans="1:53" ht="22.5" customHeight="1">
      <c r="A326" s="41" t="s">
        <v>63</v>
      </c>
      <c r="B326" s="42" t="s">
        <v>64</v>
      </c>
      <c r="C326" s="43">
        <v>4015319</v>
      </c>
      <c r="D326" s="56" t="s">
        <v>498</v>
      </c>
      <c r="E326" s="56" t="s">
        <v>499</v>
      </c>
      <c r="F326" s="45">
        <v>5499</v>
      </c>
      <c r="G326" s="45">
        <v>2399</v>
      </c>
      <c r="H326" s="45">
        <v>3899</v>
      </c>
      <c r="I326" s="45">
        <v>3899</v>
      </c>
      <c r="J326" s="45">
        <v>2899</v>
      </c>
      <c r="K326" s="45">
        <v>2799</v>
      </c>
      <c r="L326" s="45">
        <v>2799</v>
      </c>
      <c r="M326" s="45">
        <v>2899</v>
      </c>
      <c r="N326" s="45">
        <v>2899</v>
      </c>
      <c r="O326" s="45">
        <v>2599</v>
      </c>
      <c r="P326" s="46">
        <v>2399</v>
      </c>
      <c r="Q326" s="46">
        <v>1599</v>
      </c>
      <c r="R326" s="45">
        <v>2599</v>
      </c>
      <c r="S326" s="45">
        <v>2399</v>
      </c>
      <c r="T326" s="45">
        <v>1599</v>
      </c>
      <c r="U326" s="45">
        <v>1599</v>
      </c>
      <c r="V326" s="45">
        <v>1599</v>
      </c>
      <c r="W326" s="45">
        <v>1599</v>
      </c>
      <c r="X326" s="45">
        <v>1499</v>
      </c>
      <c r="Y326" s="45">
        <v>1299</v>
      </c>
      <c r="Z326" s="45">
        <v>1299</v>
      </c>
      <c r="AA326" s="45">
        <v>1299</v>
      </c>
      <c r="AB326" s="45"/>
      <c r="AC326" s="45"/>
      <c r="AD326" s="45"/>
      <c r="AE326" s="45"/>
      <c r="AF326" s="45"/>
      <c r="AG326" s="45"/>
      <c r="AH326" s="45"/>
      <c r="AI326" s="45"/>
      <c r="AJ326" s="45"/>
      <c r="AK326" s="45"/>
      <c r="AL326" s="45"/>
      <c r="AM326" s="45"/>
      <c r="AN326" s="45"/>
      <c r="AO326" s="45"/>
      <c r="AP326" s="45"/>
      <c r="AQ326" s="45"/>
      <c r="AR326" s="45"/>
      <c r="AS326" s="45"/>
      <c r="AT326" s="45"/>
      <c r="AU326" s="45"/>
      <c r="AV326" s="47"/>
      <c r="AW326" s="48" t="s">
        <v>67</v>
      </c>
      <c r="AX326" s="49" t="s">
        <v>68</v>
      </c>
      <c r="AY326" s="50">
        <f t="shared" si="27"/>
        <v>78.759799999999998</v>
      </c>
      <c r="AZ326" s="50">
        <f t="shared" si="28"/>
        <v>70.961799999999997</v>
      </c>
      <c r="BA326" s="51">
        <f t="shared" si="29"/>
        <v>40.159700000000001</v>
      </c>
    </row>
    <row r="327" spans="1:53" ht="22.5" customHeight="1">
      <c r="A327" s="41" t="s">
        <v>63</v>
      </c>
      <c r="B327" s="42" t="s">
        <v>64</v>
      </c>
      <c r="C327" s="43">
        <v>4015280</v>
      </c>
      <c r="D327" s="56" t="s">
        <v>498</v>
      </c>
      <c r="E327" s="56" t="s">
        <v>500</v>
      </c>
      <c r="F327" s="45">
        <v>5499</v>
      </c>
      <c r="G327" s="45">
        <v>2399</v>
      </c>
      <c r="H327" s="45">
        <v>3899</v>
      </c>
      <c r="I327" s="45">
        <v>3899</v>
      </c>
      <c r="J327" s="45">
        <v>2899</v>
      </c>
      <c r="K327" s="45">
        <v>2799</v>
      </c>
      <c r="L327" s="45">
        <v>2799</v>
      </c>
      <c r="M327" s="45">
        <v>2899</v>
      </c>
      <c r="N327" s="45">
        <v>2899</v>
      </c>
      <c r="O327" s="45">
        <v>2599</v>
      </c>
      <c r="P327" s="46">
        <v>2399</v>
      </c>
      <c r="Q327" s="46">
        <v>1599</v>
      </c>
      <c r="R327" s="45">
        <v>2599</v>
      </c>
      <c r="S327" s="45">
        <v>2399</v>
      </c>
      <c r="T327" s="45">
        <v>1599</v>
      </c>
      <c r="U327" s="45">
        <v>1599</v>
      </c>
      <c r="V327" s="45">
        <v>1599</v>
      </c>
      <c r="W327" s="45">
        <v>1599</v>
      </c>
      <c r="X327" s="45">
        <v>1499</v>
      </c>
      <c r="Y327" s="45">
        <v>1299</v>
      </c>
      <c r="Z327" s="45">
        <v>1299</v>
      </c>
      <c r="AA327" s="45">
        <v>1299</v>
      </c>
      <c r="AB327" s="45"/>
      <c r="AC327" s="45"/>
      <c r="AD327" s="45"/>
      <c r="AE327" s="45"/>
      <c r="AF327" s="45"/>
      <c r="AG327" s="45"/>
      <c r="AH327" s="45"/>
      <c r="AI327" s="45"/>
      <c r="AJ327" s="45"/>
      <c r="AK327" s="45"/>
      <c r="AL327" s="45"/>
      <c r="AM327" s="45"/>
      <c r="AN327" s="45"/>
      <c r="AO327" s="45"/>
      <c r="AP327" s="45"/>
      <c r="AQ327" s="45"/>
      <c r="AR327" s="45"/>
      <c r="AS327" s="45"/>
      <c r="AT327" s="45"/>
      <c r="AU327" s="45"/>
      <c r="AV327" s="47"/>
      <c r="AW327" s="48" t="s">
        <v>67</v>
      </c>
      <c r="AX327" s="49" t="s">
        <v>68</v>
      </c>
      <c r="AY327" s="50">
        <f t="shared" si="27"/>
        <v>78.759799999999998</v>
      </c>
      <c r="AZ327" s="50">
        <f t="shared" si="28"/>
        <v>70.961799999999997</v>
      </c>
      <c r="BA327" s="51">
        <f t="shared" si="29"/>
        <v>40.159700000000001</v>
      </c>
    </row>
    <row r="328" spans="1:53" ht="22.5" customHeight="1">
      <c r="A328" s="41" t="s">
        <v>63</v>
      </c>
      <c r="B328" s="42" t="s">
        <v>64</v>
      </c>
      <c r="C328" s="43">
        <v>4015312</v>
      </c>
      <c r="D328" s="56" t="s">
        <v>498</v>
      </c>
      <c r="E328" s="56" t="s">
        <v>501</v>
      </c>
      <c r="F328" s="45">
        <v>5499</v>
      </c>
      <c r="G328" s="45">
        <v>2399</v>
      </c>
      <c r="H328" s="45">
        <v>3899</v>
      </c>
      <c r="I328" s="45">
        <v>3899</v>
      </c>
      <c r="J328" s="45">
        <v>2899</v>
      </c>
      <c r="K328" s="45">
        <v>2799</v>
      </c>
      <c r="L328" s="45">
        <v>2799</v>
      </c>
      <c r="M328" s="45">
        <v>2899</v>
      </c>
      <c r="N328" s="45">
        <v>2899</v>
      </c>
      <c r="O328" s="45">
        <v>2599</v>
      </c>
      <c r="P328" s="46">
        <v>2399</v>
      </c>
      <c r="Q328" s="46">
        <v>1599</v>
      </c>
      <c r="R328" s="45">
        <v>2599</v>
      </c>
      <c r="S328" s="45">
        <v>2399</v>
      </c>
      <c r="T328" s="45">
        <v>1599</v>
      </c>
      <c r="U328" s="45">
        <v>1599</v>
      </c>
      <c r="V328" s="45">
        <v>1599</v>
      </c>
      <c r="W328" s="45">
        <v>1599</v>
      </c>
      <c r="X328" s="45">
        <v>1499</v>
      </c>
      <c r="Y328" s="45">
        <v>1299</v>
      </c>
      <c r="Z328" s="45">
        <v>1299</v>
      </c>
      <c r="AA328" s="45">
        <v>1299</v>
      </c>
      <c r="AB328" s="45"/>
      <c r="AC328" s="45"/>
      <c r="AD328" s="45"/>
      <c r="AE328" s="45"/>
      <c r="AF328" s="45"/>
      <c r="AG328" s="45"/>
      <c r="AH328" s="45"/>
      <c r="AI328" s="45"/>
      <c r="AJ328" s="45"/>
      <c r="AK328" s="45"/>
      <c r="AL328" s="45"/>
      <c r="AM328" s="45"/>
      <c r="AN328" s="45"/>
      <c r="AO328" s="45"/>
      <c r="AP328" s="45"/>
      <c r="AQ328" s="45"/>
      <c r="AR328" s="45"/>
      <c r="AS328" s="45"/>
      <c r="AT328" s="45"/>
      <c r="AU328" s="45"/>
      <c r="AV328" s="47"/>
      <c r="AW328" s="48" t="s">
        <v>67</v>
      </c>
      <c r="AX328" s="49" t="s">
        <v>68</v>
      </c>
      <c r="AY328" s="50">
        <f t="shared" si="27"/>
        <v>78.759799999999998</v>
      </c>
      <c r="AZ328" s="50">
        <f t="shared" si="28"/>
        <v>70.961799999999997</v>
      </c>
      <c r="BA328" s="51">
        <f t="shared" si="29"/>
        <v>40.159700000000001</v>
      </c>
    </row>
    <row r="329" spans="1:53" ht="22.5" customHeight="1">
      <c r="A329" s="41" t="s">
        <v>63</v>
      </c>
      <c r="B329" s="42" t="s">
        <v>64</v>
      </c>
      <c r="C329" s="43">
        <v>4015327</v>
      </c>
      <c r="D329" s="56" t="s">
        <v>498</v>
      </c>
      <c r="E329" s="56" t="s">
        <v>502</v>
      </c>
      <c r="F329" s="45">
        <v>5499</v>
      </c>
      <c r="G329" s="45">
        <v>2399</v>
      </c>
      <c r="H329" s="45">
        <v>3899</v>
      </c>
      <c r="I329" s="45">
        <v>3899</v>
      </c>
      <c r="J329" s="45">
        <v>2899</v>
      </c>
      <c r="K329" s="45">
        <v>2799</v>
      </c>
      <c r="L329" s="45">
        <v>2799</v>
      </c>
      <c r="M329" s="45">
        <v>2899</v>
      </c>
      <c r="N329" s="45">
        <v>2899</v>
      </c>
      <c r="O329" s="45">
        <v>2599</v>
      </c>
      <c r="P329" s="46">
        <v>2399</v>
      </c>
      <c r="Q329" s="46">
        <v>1599</v>
      </c>
      <c r="R329" s="45">
        <v>2599</v>
      </c>
      <c r="S329" s="45">
        <v>2399</v>
      </c>
      <c r="T329" s="45">
        <v>1599</v>
      </c>
      <c r="U329" s="45">
        <v>1599</v>
      </c>
      <c r="V329" s="45">
        <v>1599</v>
      </c>
      <c r="W329" s="45">
        <v>1599</v>
      </c>
      <c r="X329" s="45">
        <v>1499</v>
      </c>
      <c r="Y329" s="45">
        <v>1299</v>
      </c>
      <c r="Z329" s="45">
        <v>1299</v>
      </c>
      <c r="AA329" s="45">
        <v>1299</v>
      </c>
      <c r="AB329" s="45"/>
      <c r="AC329" s="45"/>
      <c r="AD329" s="45"/>
      <c r="AE329" s="45"/>
      <c r="AF329" s="45"/>
      <c r="AG329" s="45"/>
      <c r="AH329" s="45"/>
      <c r="AI329" s="45"/>
      <c r="AJ329" s="45"/>
      <c r="AK329" s="45"/>
      <c r="AL329" s="45"/>
      <c r="AM329" s="45"/>
      <c r="AN329" s="45"/>
      <c r="AO329" s="45"/>
      <c r="AP329" s="45"/>
      <c r="AQ329" s="45"/>
      <c r="AR329" s="45"/>
      <c r="AS329" s="45"/>
      <c r="AT329" s="45"/>
      <c r="AU329" s="45"/>
      <c r="AV329" s="47"/>
      <c r="AW329" s="48" t="s">
        <v>67</v>
      </c>
      <c r="AX329" s="49" t="s">
        <v>68</v>
      </c>
      <c r="AY329" s="50">
        <f t="shared" si="27"/>
        <v>78.759799999999998</v>
      </c>
      <c r="AZ329" s="50">
        <f t="shared" si="28"/>
        <v>70.961799999999997</v>
      </c>
      <c r="BA329" s="51">
        <f t="shared" si="29"/>
        <v>40.159700000000001</v>
      </c>
    </row>
    <row r="330" spans="1:53" ht="22.5" customHeight="1">
      <c r="A330" s="41" t="s">
        <v>63</v>
      </c>
      <c r="B330" s="42" t="s">
        <v>64</v>
      </c>
      <c r="C330" s="43">
        <v>4015291</v>
      </c>
      <c r="D330" s="56" t="s">
        <v>503</v>
      </c>
      <c r="E330" s="56" t="s">
        <v>504</v>
      </c>
      <c r="F330" s="45">
        <v>6499</v>
      </c>
      <c r="G330" s="45">
        <v>3399</v>
      </c>
      <c r="H330" s="45">
        <v>4999</v>
      </c>
      <c r="I330" s="45">
        <v>4999</v>
      </c>
      <c r="J330" s="45">
        <v>4099</v>
      </c>
      <c r="K330" s="45">
        <v>3999</v>
      </c>
      <c r="L330" s="45">
        <v>3999</v>
      </c>
      <c r="M330" s="45">
        <v>4099</v>
      </c>
      <c r="N330" s="45">
        <v>4099</v>
      </c>
      <c r="O330" s="45">
        <v>3899</v>
      </c>
      <c r="P330" s="46">
        <v>3799</v>
      </c>
      <c r="Q330" s="46">
        <v>3399</v>
      </c>
      <c r="R330" s="45">
        <v>3899</v>
      </c>
      <c r="S330" s="45">
        <v>3799</v>
      </c>
      <c r="T330" s="45">
        <v>3399</v>
      </c>
      <c r="U330" s="45">
        <v>3399</v>
      </c>
      <c r="V330" s="45">
        <v>3399</v>
      </c>
      <c r="W330" s="45">
        <v>3399</v>
      </c>
      <c r="X330" s="45">
        <v>3299</v>
      </c>
      <c r="Y330" s="45">
        <v>2899</v>
      </c>
      <c r="Z330" s="45">
        <v>2899</v>
      </c>
      <c r="AA330" s="45">
        <v>2899</v>
      </c>
      <c r="AB330" s="45"/>
      <c r="AC330" s="45"/>
      <c r="AD330" s="45"/>
      <c r="AE330" s="45"/>
      <c r="AF330" s="45"/>
      <c r="AG330" s="45"/>
      <c r="AH330" s="45"/>
      <c r="AI330" s="45"/>
      <c r="AJ330" s="45"/>
      <c r="AK330" s="45"/>
      <c r="AL330" s="45"/>
      <c r="AM330" s="45"/>
      <c r="AN330" s="45"/>
      <c r="AO330" s="45"/>
      <c r="AP330" s="45"/>
      <c r="AQ330" s="45"/>
      <c r="AR330" s="45"/>
      <c r="AS330" s="45"/>
      <c r="AT330" s="45"/>
      <c r="AU330" s="45"/>
      <c r="AV330" s="47"/>
      <c r="AW330" s="48" t="s">
        <v>67</v>
      </c>
      <c r="AX330" s="49" t="s">
        <v>68</v>
      </c>
      <c r="AY330" s="50">
        <f t="shared" si="27"/>
        <v>100.9798</v>
      </c>
      <c r="AZ330" s="50">
        <f t="shared" si="28"/>
        <v>90.981800000000007</v>
      </c>
      <c r="BA330" s="51">
        <f t="shared" si="29"/>
        <v>51.489699999999999</v>
      </c>
    </row>
    <row r="331" spans="1:53" ht="22.5" customHeight="1">
      <c r="A331" s="41" t="s">
        <v>63</v>
      </c>
      <c r="B331" s="42" t="s">
        <v>64</v>
      </c>
      <c r="C331" s="43">
        <v>4015322</v>
      </c>
      <c r="D331" s="56" t="s">
        <v>503</v>
      </c>
      <c r="E331" s="56" t="s">
        <v>505</v>
      </c>
      <c r="F331" s="45">
        <v>6499</v>
      </c>
      <c r="G331" s="45">
        <v>3399</v>
      </c>
      <c r="H331" s="45">
        <v>4999</v>
      </c>
      <c r="I331" s="45">
        <v>4999</v>
      </c>
      <c r="J331" s="45">
        <v>4099</v>
      </c>
      <c r="K331" s="45">
        <v>3999</v>
      </c>
      <c r="L331" s="45">
        <v>3999</v>
      </c>
      <c r="M331" s="45">
        <v>4099</v>
      </c>
      <c r="N331" s="45">
        <v>4099</v>
      </c>
      <c r="O331" s="45">
        <v>3899</v>
      </c>
      <c r="P331" s="46">
        <v>3799</v>
      </c>
      <c r="Q331" s="46">
        <v>3399</v>
      </c>
      <c r="R331" s="45">
        <v>3899</v>
      </c>
      <c r="S331" s="45">
        <v>3799</v>
      </c>
      <c r="T331" s="45">
        <v>3399</v>
      </c>
      <c r="U331" s="45">
        <v>3399</v>
      </c>
      <c r="V331" s="45">
        <v>3399</v>
      </c>
      <c r="W331" s="45">
        <v>3399</v>
      </c>
      <c r="X331" s="45">
        <v>3299</v>
      </c>
      <c r="Y331" s="45">
        <v>2899</v>
      </c>
      <c r="Z331" s="45">
        <v>2899</v>
      </c>
      <c r="AA331" s="45">
        <v>2899</v>
      </c>
      <c r="AB331" s="45"/>
      <c r="AC331" s="45"/>
      <c r="AD331" s="45"/>
      <c r="AE331" s="45"/>
      <c r="AF331" s="45"/>
      <c r="AG331" s="45"/>
      <c r="AH331" s="45"/>
      <c r="AI331" s="45"/>
      <c r="AJ331" s="45"/>
      <c r="AK331" s="45"/>
      <c r="AL331" s="45"/>
      <c r="AM331" s="45"/>
      <c r="AN331" s="45"/>
      <c r="AO331" s="45"/>
      <c r="AP331" s="45"/>
      <c r="AQ331" s="45"/>
      <c r="AR331" s="45"/>
      <c r="AS331" s="45"/>
      <c r="AT331" s="45"/>
      <c r="AU331" s="45"/>
      <c r="AV331" s="47"/>
      <c r="AW331" s="48" t="s">
        <v>67</v>
      </c>
      <c r="AX331" s="49" t="s">
        <v>68</v>
      </c>
      <c r="AY331" s="50">
        <f t="shared" si="27"/>
        <v>100.9798</v>
      </c>
      <c r="AZ331" s="50">
        <f t="shared" si="28"/>
        <v>90.981800000000007</v>
      </c>
      <c r="BA331" s="51">
        <f t="shared" si="29"/>
        <v>51.489699999999999</v>
      </c>
    </row>
    <row r="332" spans="1:53" ht="22.5" customHeight="1">
      <c r="A332" s="41" t="s">
        <v>63</v>
      </c>
      <c r="B332" s="42" t="s">
        <v>64</v>
      </c>
      <c r="C332" s="43">
        <v>4015282</v>
      </c>
      <c r="D332" s="56" t="s">
        <v>503</v>
      </c>
      <c r="E332" s="56" t="s">
        <v>506</v>
      </c>
      <c r="F332" s="45">
        <v>6499</v>
      </c>
      <c r="G332" s="45">
        <v>3399</v>
      </c>
      <c r="H332" s="45">
        <v>4999</v>
      </c>
      <c r="I332" s="45">
        <v>4999</v>
      </c>
      <c r="J332" s="45">
        <v>4099</v>
      </c>
      <c r="K332" s="45">
        <v>3999</v>
      </c>
      <c r="L332" s="45">
        <v>3999</v>
      </c>
      <c r="M332" s="45">
        <v>4099</v>
      </c>
      <c r="N332" s="45">
        <v>4099</v>
      </c>
      <c r="O332" s="45">
        <v>3899</v>
      </c>
      <c r="P332" s="46">
        <v>3799</v>
      </c>
      <c r="Q332" s="46">
        <v>3399</v>
      </c>
      <c r="R332" s="45">
        <v>3899</v>
      </c>
      <c r="S332" s="45">
        <v>3799</v>
      </c>
      <c r="T332" s="45">
        <v>3399</v>
      </c>
      <c r="U332" s="45">
        <v>3399</v>
      </c>
      <c r="V332" s="45">
        <v>3399</v>
      </c>
      <c r="W332" s="45">
        <v>3399</v>
      </c>
      <c r="X332" s="45">
        <v>3299</v>
      </c>
      <c r="Y332" s="45">
        <v>2899</v>
      </c>
      <c r="Z332" s="45">
        <v>2899</v>
      </c>
      <c r="AA332" s="45">
        <v>2899</v>
      </c>
      <c r="AB332" s="45"/>
      <c r="AC332" s="45"/>
      <c r="AD332" s="45"/>
      <c r="AE332" s="45"/>
      <c r="AF332" s="45"/>
      <c r="AG332" s="45"/>
      <c r="AH332" s="45"/>
      <c r="AI332" s="45"/>
      <c r="AJ332" s="45"/>
      <c r="AK332" s="45"/>
      <c r="AL332" s="45"/>
      <c r="AM332" s="45"/>
      <c r="AN332" s="45"/>
      <c r="AO332" s="45"/>
      <c r="AP332" s="45"/>
      <c r="AQ332" s="45"/>
      <c r="AR332" s="45"/>
      <c r="AS332" s="45"/>
      <c r="AT332" s="45"/>
      <c r="AU332" s="45"/>
      <c r="AV332" s="47"/>
      <c r="AW332" s="48" t="s">
        <v>67</v>
      </c>
      <c r="AX332" s="49" t="s">
        <v>68</v>
      </c>
      <c r="AY332" s="50">
        <f t="shared" si="27"/>
        <v>100.9798</v>
      </c>
      <c r="AZ332" s="50">
        <f t="shared" si="28"/>
        <v>90.981800000000007</v>
      </c>
      <c r="BA332" s="51">
        <f t="shared" si="29"/>
        <v>51.489699999999999</v>
      </c>
    </row>
    <row r="333" spans="1:53" ht="22.5" customHeight="1">
      <c r="A333" s="41" t="s">
        <v>63</v>
      </c>
      <c r="B333" s="42" t="s">
        <v>64</v>
      </c>
      <c r="C333" s="43">
        <v>4015314</v>
      </c>
      <c r="D333" s="56" t="s">
        <v>503</v>
      </c>
      <c r="E333" s="56" t="s">
        <v>507</v>
      </c>
      <c r="F333" s="45">
        <v>6499</v>
      </c>
      <c r="G333" s="45">
        <v>3399</v>
      </c>
      <c r="H333" s="45">
        <v>4999</v>
      </c>
      <c r="I333" s="45">
        <v>4999</v>
      </c>
      <c r="J333" s="45">
        <v>4099</v>
      </c>
      <c r="K333" s="45">
        <v>3999</v>
      </c>
      <c r="L333" s="45">
        <v>3999</v>
      </c>
      <c r="M333" s="45">
        <v>4099</v>
      </c>
      <c r="N333" s="45">
        <v>4099</v>
      </c>
      <c r="O333" s="45">
        <v>3899</v>
      </c>
      <c r="P333" s="46">
        <v>3799</v>
      </c>
      <c r="Q333" s="46">
        <v>3399</v>
      </c>
      <c r="R333" s="45">
        <v>3899</v>
      </c>
      <c r="S333" s="45">
        <v>3799</v>
      </c>
      <c r="T333" s="45">
        <v>3399</v>
      </c>
      <c r="U333" s="45">
        <v>3399</v>
      </c>
      <c r="V333" s="45">
        <v>3399</v>
      </c>
      <c r="W333" s="45">
        <v>3399</v>
      </c>
      <c r="X333" s="45">
        <v>3299</v>
      </c>
      <c r="Y333" s="45">
        <v>2899</v>
      </c>
      <c r="Z333" s="45">
        <v>2899</v>
      </c>
      <c r="AA333" s="45">
        <v>2899</v>
      </c>
      <c r="AB333" s="45"/>
      <c r="AC333" s="45"/>
      <c r="AD333" s="45"/>
      <c r="AE333" s="45"/>
      <c r="AF333" s="45"/>
      <c r="AG333" s="45"/>
      <c r="AH333" s="45"/>
      <c r="AI333" s="45"/>
      <c r="AJ333" s="45"/>
      <c r="AK333" s="45"/>
      <c r="AL333" s="45"/>
      <c r="AM333" s="45"/>
      <c r="AN333" s="45"/>
      <c r="AO333" s="45"/>
      <c r="AP333" s="45"/>
      <c r="AQ333" s="45"/>
      <c r="AR333" s="45"/>
      <c r="AS333" s="45"/>
      <c r="AT333" s="45"/>
      <c r="AU333" s="45"/>
      <c r="AV333" s="47"/>
      <c r="AW333" s="48" t="s">
        <v>67</v>
      </c>
      <c r="AX333" s="49" t="s">
        <v>68</v>
      </c>
      <c r="AY333" s="50">
        <f t="shared" si="27"/>
        <v>100.9798</v>
      </c>
      <c r="AZ333" s="50">
        <f t="shared" si="28"/>
        <v>90.981800000000007</v>
      </c>
      <c r="BA333" s="51">
        <f t="shared" si="29"/>
        <v>51.489699999999999</v>
      </c>
    </row>
    <row r="334" spans="1:53" ht="22.5" customHeight="1">
      <c r="A334" s="41" t="s">
        <v>63</v>
      </c>
      <c r="B334" s="42" t="s">
        <v>64</v>
      </c>
      <c r="C334" s="43">
        <v>4015330</v>
      </c>
      <c r="D334" s="56" t="s">
        <v>503</v>
      </c>
      <c r="E334" s="56" t="s">
        <v>508</v>
      </c>
      <c r="F334" s="45">
        <v>6499</v>
      </c>
      <c r="G334" s="45">
        <v>3399</v>
      </c>
      <c r="H334" s="45">
        <v>4999</v>
      </c>
      <c r="I334" s="45">
        <v>4999</v>
      </c>
      <c r="J334" s="45">
        <v>4099</v>
      </c>
      <c r="K334" s="45">
        <v>3999</v>
      </c>
      <c r="L334" s="45">
        <v>3999</v>
      </c>
      <c r="M334" s="45">
        <v>4099</v>
      </c>
      <c r="N334" s="45">
        <v>4099</v>
      </c>
      <c r="O334" s="45">
        <v>3899</v>
      </c>
      <c r="P334" s="46">
        <v>3799</v>
      </c>
      <c r="Q334" s="46">
        <v>3399</v>
      </c>
      <c r="R334" s="45">
        <v>3899</v>
      </c>
      <c r="S334" s="45">
        <v>3799</v>
      </c>
      <c r="T334" s="45">
        <v>3399</v>
      </c>
      <c r="U334" s="45">
        <v>3399</v>
      </c>
      <c r="V334" s="45">
        <v>3399</v>
      </c>
      <c r="W334" s="45">
        <v>3399</v>
      </c>
      <c r="X334" s="45">
        <v>3299</v>
      </c>
      <c r="Y334" s="45">
        <v>2899</v>
      </c>
      <c r="Z334" s="45">
        <v>2899</v>
      </c>
      <c r="AA334" s="45">
        <v>2899</v>
      </c>
      <c r="AB334" s="45"/>
      <c r="AC334" s="45"/>
      <c r="AD334" s="45"/>
      <c r="AE334" s="45"/>
      <c r="AF334" s="45"/>
      <c r="AG334" s="45"/>
      <c r="AH334" s="45"/>
      <c r="AI334" s="45"/>
      <c r="AJ334" s="45"/>
      <c r="AK334" s="45"/>
      <c r="AL334" s="45"/>
      <c r="AM334" s="45"/>
      <c r="AN334" s="45"/>
      <c r="AO334" s="45"/>
      <c r="AP334" s="45"/>
      <c r="AQ334" s="45"/>
      <c r="AR334" s="45"/>
      <c r="AS334" s="45"/>
      <c r="AT334" s="45"/>
      <c r="AU334" s="45"/>
      <c r="AV334" s="47"/>
      <c r="AW334" s="48" t="s">
        <v>67</v>
      </c>
      <c r="AX334" s="49" t="s">
        <v>68</v>
      </c>
      <c r="AY334" s="50">
        <f t="shared" ref="AY334:AY397" si="35">$H334*AY$11</f>
        <v>100.9798</v>
      </c>
      <c r="AZ334" s="50">
        <f t="shared" ref="AZ334:AZ397" si="36">($H334*AZ$11)</f>
        <v>90.981800000000007</v>
      </c>
      <c r="BA334" s="51">
        <f t="shared" ref="BA334:BA397" si="37">$H334*BA$11</f>
        <v>51.489699999999999</v>
      </c>
    </row>
    <row r="335" spans="1:53" ht="22.5" customHeight="1">
      <c r="A335" s="41" t="s">
        <v>63</v>
      </c>
      <c r="B335" s="42" t="s">
        <v>64</v>
      </c>
      <c r="C335" s="43">
        <v>4015290</v>
      </c>
      <c r="D335" s="56" t="s">
        <v>509</v>
      </c>
      <c r="E335" s="56" t="s">
        <v>510</v>
      </c>
      <c r="F335" s="45">
        <v>7499</v>
      </c>
      <c r="G335" s="45">
        <v>4399</v>
      </c>
      <c r="H335" s="45">
        <v>5999</v>
      </c>
      <c r="I335" s="45">
        <v>5999</v>
      </c>
      <c r="J335" s="45">
        <v>4999</v>
      </c>
      <c r="K335" s="45">
        <v>4899</v>
      </c>
      <c r="L335" s="45">
        <v>4899</v>
      </c>
      <c r="M335" s="45">
        <v>4999</v>
      </c>
      <c r="N335" s="45">
        <v>4999</v>
      </c>
      <c r="O335" s="45">
        <v>4799</v>
      </c>
      <c r="P335" s="46">
        <v>4699</v>
      </c>
      <c r="Q335" s="46">
        <v>3799</v>
      </c>
      <c r="R335" s="45">
        <v>4799</v>
      </c>
      <c r="S335" s="45">
        <v>4699</v>
      </c>
      <c r="T335" s="45">
        <v>3799</v>
      </c>
      <c r="U335" s="45">
        <v>3799</v>
      </c>
      <c r="V335" s="45">
        <v>3799</v>
      </c>
      <c r="W335" s="45">
        <v>3799</v>
      </c>
      <c r="X335" s="45">
        <v>3699</v>
      </c>
      <c r="Y335" s="45">
        <v>3499</v>
      </c>
      <c r="Z335" s="45">
        <v>3499</v>
      </c>
      <c r="AA335" s="45">
        <v>3499</v>
      </c>
      <c r="AB335" s="45"/>
      <c r="AC335" s="45"/>
      <c r="AD335" s="45"/>
      <c r="AE335" s="45"/>
      <c r="AF335" s="45"/>
      <c r="AG335" s="45"/>
      <c r="AH335" s="45"/>
      <c r="AI335" s="45"/>
      <c r="AJ335" s="45"/>
      <c r="AK335" s="45"/>
      <c r="AL335" s="45"/>
      <c r="AM335" s="45"/>
      <c r="AN335" s="45"/>
      <c r="AO335" s="45"/>
      <c r="AP335" s="45"/>
      <c r="AQ335" s="45"/>
      <c r="AR335" s="45"/>
      <c r="AS335" s="45"/>
      <c r="AT335" s="45"/>
      <c r="AU335" s="45"/>
      <c r="AV335" s="47"/>
      <c r="AW335" s="48" t="s">
        <v>67</v>
      </c>
      <c r="AX335" s="49" t="s">
        <v>68</v>
      </c>
      <c r="AY335" s="50">
        <f t="shared" si="35"/>
        <v>121.1798</v>
      </c>
      <c r="AZ335" s="50">
        <f t="shared" si="36"/>
        <v>109.18180000000001</v>
      </c>
      <c r="BA335" s="51">
        <f t="shared" si="37"/>
        <v>61.789700000000003</v>
      </c>
    </row>
    <row r="336" spans="1:53" ht="22.5" customHeight="1">
      <c r="A336" s="41" t="s">
        <v>63</v>
      </c>
      <c r="B336" s="42" t="s">
        <v>64</v>
      </c>
      <c r="C336" s="43">
        <v>4015321</v>
      </c>
      <c r="D336" s="56" t="s">
        <v>509</v>
      </c>
      <c r="E336" s="56" t="s">
        <v>511</v>
      </c>
      <c r="F336" s="45">
        <v>7499</v>
      </c>
      <c r="G336" s="45">
        <v>4399</v>
      </c>
      <c r="H336" s="45">
        <v>5999</v>
      </c>
      <c r="I336" s="45">
        <v>5999</v>
      </c>
      <c r="J336" s="45">
        <v>4999</v>
      </c>
      <c r="K336" s="45">
        <v>4899</v>
      </c>
      <c r="L336" s="45">
        <v>4899</v>
      </c>
      <c r="M336" s="45">
        <v>4999</v>
      </c>
      <c r="N336" s="45">
        <v>4999</v>
      </c>
      <c r="O336" s="45">
        <v>4799</v>
      </c>
      <c r="P336" s="46">
        <v>4699</v>
      </c>
      <c r="Q336" s="46">
        <v>3799</v>
      </c>
      <c r="R336" s="45">
        <v>4799</v>
      </c>
      <c r="S336" s="45">
        <v>4699</v>
      </c>
      <c r="T336" s="45">
        <v>3799</v>
      </c>
      <c r="U336" s="45">
        <v>3799</v>
      </c>
      <c r="V336" s="45">
        <v>3799</v>
      </c>
      <c r="W336" s="45">
        <v>3799</v>
      </c>
      <c r="X336" s="45">
        <v>3699</v>
      </c>
      <c r="Y336" s="45">
        <v>3499</v>
      </c>
      <c r="Z336" s="45">
        <v>3499</v>
      </c>
      <c r="AA336" s="45">
        <v>3499</v>
      </c>
      <c r="AB336" s="45"/>
      <c r="AC336" s="45"/>
      <c r="AD336" s="45"/>
      <c r="AE336" s="45"/>
      <c r="AF336" s="45"/>
      <c r="AG336" s="45"/>
      <c r="AH336" s="45"/>
      <c r="AI336" s="45"/>
      <c r="AJ336" s="45"/>
      <c r="AK336" s="45"/>
      <c r="AL336" s="45"/>
      <c r="AM336" s="45"/>
      <c r="AN336" s="45"/>
      <c r="AO336" s="45"/>
      <c r="AP336" s="45"/>
      <c r="AQ336" s="45"/>
      <c r="AR336" s="45"/>
      <c r="AS336" s="45"/>
      <c r="AT336" s="45"/>
      <c r="AU336" s="45"/>
      <c r="AV336" s="47"/>
      <c r="AW336" s="48" t="s">
        <v>67</v>
      </c>
      <c r="AX336" s="49" t="s">
        <v>68</v>
      </c>
      <c r="AY336" s="50">
        <f t="shared" si="35"/>
        <v>121.1798</v>
      </c>
      <c r="AZ336" s="50">
        <f t="shared" si="36"/>
        <v>109.18180000000001</v>
      </c>
      <c r="BA336" s="51">
        <f t="shared" si="37"/>
        <v>61.789700000000003</v>
      </c>
    </row>
    <row r="337" spans="1:53" ht="22.5" customHeight="1">
      <c r="A337" s="41" t="s">
        <v>63</v>
      </c>
      <c r="B337" s="42" t="s">
        <v>64</v>
      </c>
      <c r="C337" s="43">
        <v>4015283</v>
      </c>
      <c r="D337" s="56" t="s">
        <v>509</v>
      </c>
      <c r="E337" s="56" t="s">
        <v>512</v>
      </c>
      <c r="F337" s="45">
        <v>7499</v>
      </c>
      <c r="G337" s="45">
        <v>4399</v>
      </c>
      <c r="H337" s="45">
        <v>5999</v>
      </c>
      <c r="I337" s="45">
        <v>5999</v>
      </c>
      <c r="J337" s="45">
        <v>4999</v>
      </c>
      <c r="K337" s="45">
        <v>4899</v>
      </c>
      <c r="L337" s="45">
        <v>4899</v>
      </c>
      <c r="M337" s="45">
        <v>4999</v>
      </c>
      <c r="N337" s="45">
        <v>4999</v>
      </c>
      <c r="O337" s="45">
        <v>4799</v>
      </c>
      <c r="P337" s="46">
        <v>4699</v>
      </c>
      <c r="Q337" s="46">
        <v>3799</v>
      </c>
      <c r="R337" s="45">
        <v>4799</v>
      </c>
      <c r="S337" s="45">
        <v>4699</v>
      </c>
      <c r="T337" s="45">
        <v>3799</v>
      </c>
      <c r="U337" s="45">
        <v>3799</v>
      </c>
      <c r="V337" s="45">
        <v>3799</v>
      </c>
      <c r="W337" s="45">
        <v>3799</v>
      </c>
      <c r="X337" s="45">
        <v>3699</v>
      </c>
      <c r="Y337" s="45">
        <v>3499</v>
      </c>
      <c r="Z337" s="45">
        <v>3499</v>
      </c>
      <c r="AA337" s="45">
        <v>3499</v>
      </c>
      <c r="AB337" s="45"/>
      <c r="AC337" s="45"/>
      <c r="AD337" s="45"/>
      <c r="AE337" s="45"/>
      <c r="AF337" s="45"/>
      <c r="AG337" s="45"/>
      <c r="AH337" s="45"/>
      <c r="AI337" s="45"/>
      <c r="AJ337" s="45"/>
      <c r="AK337" s="45"/>
      <c r="AL337" s="45"/>
      <c r="AM337" s="45"/>
      <c r="AN337" s="45"/>
      <c r="AO337" s="45"/>
      <c r="AP337" s="45"/>
      <c r="AQ337" s="45"/>
      <c r="AR337" s="45"/>
      <c r="AS337" s="45"/>
      <c r="AT337" s="45"/>
      <c r="AU337" s="45"/>
      <c r="AV337" s="47"/>
      <c r="AW337" s="48" t="s">
        <v>67</v>
      </c>
      <c r="AX337" s="49" t="s">
        <v>68</v>
      </c>
      <c r="AY337" s="50">
        <f t="shared" si="35"/>
        <v>121.1798</v>
      </c>
      <c r="AZ337" s="50">
        <f t="shared" si="36"/>
        <v>109.18180000000001</v>
      </c>
      <c r="BA337" s="51">
        <f t="shared" si="37"/>
        <v>61.789700000000003</v>
      </c>
    </row>
    <row r="338" spans="1:53" ht="22.5" customHeight="1">
      <c r="A338" s="41" t="s">
        <v>63</v>
      </c>
      <c r="B338" s="42" t="s">
        <v>64</v>
      </c>
      <c r="C338" s="43">
        <v>4015313</v>
      </c>
      <c r="D338" s="56" t="s">
        <v>509</v>
      </c>
      <c r="E338" s="56" t="s">
        <v>513</v>
      </c>
      <c r="F338" s="45">
        <v>7499</v>
      </c>
      <c r="G338" s="45">
        <v>4399</v>
      </c>
      <c r="H338" s="45">
        <v>5999</v>
      </c>
      <c r="I338" s="45">
        <v>5999</v>
      </c>
      <c r="J338" s="45">
        <v>4999</v>
      </c>
      <c r="K338" s="45">
        <v>4899</v>
      </c>
      <c r="L338" s="45">
        <v>4899</v>
      </c>
      <c r="M338" s="45">
        <v>4999</v>
      </c>
      <c r="N338" s="45">
        <v>4999</v>
      </c>
      <c r="O338" s="45">
        <v>4799</v>
      </c>
      <c r="P338" s="46">
        <v>4699</v>
      </c>
      <c r="Q338" s="46">
        <v>3799</v>
      </c>
      <c r="R338" s="45">
        <v>4799</v>
      </c>
      <c r="S338" s="45">
        <v>4699</v>
      </c>
      <c r="T338" s="45">
        <v>3799</v>
      </c>
      <c r="U338" s="45">
        <v>3799</v>
      </c>
      <c r="V338" s="45">
        <v>3799</v>
      </c>
      <c r="W338" s="45">
        <v>3799</v>
      </c>
      <c r="X338" s="45">
        <v>3699</v>
      </c>
      <c r="Y338" s="45">
        <v>3499</v>
      </c>
      <c r="Z338" s="45">
        <v>3499</v>
      </c>
      <c r="AA338" s="45">
        <v>3499</v>
      </c>
      <c r="AB338" s="45"/>
      <c r="AC338" s="45"/>
      <c r="AD338" s="45"/>
      <c r="AE338" s="45"/>
      <c r="AF338" s="45"/>
      <c r="AG338" s="45"/>
      <c r="AH338" s="45"/>
      <c r="AI338" s="45"/>
      <c r="AJ338" s="45"/>
      <c r="AK338" s="45"/>
      <c r="AL338" s="45"/>
      <c r="AM338" s="45"/>
      <c r="AN338" s="45"/>
      <c r="AO338" s="45"/>
      <c r="AP338" s="45"/>
      <c r="AQ338" s="45"/>
      <c r="AR338" s="45"/>
      <c r="AS338" s="45"/>
      <c r="AT338" s="45"/>
      <c r="AU338" s="45"/>
      <c r="AV338" s="47"/>
      <c r="AW338" s="48" t="s">
        <v>67</v>
      </c>
      <c r="AX338" s="49" t="s">
        <v>68</v>
      </c>
      <c r="AY338" s="50">
        <f t="shared" si="35"/>
        <v>121.1798</v>
      </c>
      <c r="AZ338" s="50">
        <f t="shared" si="36"/>
        <v>109.18180000000001</v>
      </c>
      <c r="BA338" s="51">
        <f t="shared" si="37"/>
        <v>61.789700000000003</v>
      </c>
    </row>
    <row r="339" spans="1:53" ht="22.5" customHeight="1">
      <c r="A339" s="41" t="s">
        <v>63</v>
      </c>
      <c r="B339" s="42" t="s">
        <v>64</v>
      </c>
      <c r="C339" s="43">
        <v>4015297</v>
      </c>
      <c r="D339" s="56" t="s">
        <v>509</v>
      </c>
      <c r="E339" s="56" t="s">
        <v>514</v>
      </c>
      <c r="F339" s="45">
        <v>7499</v>
      </c>
      <c r="G339" s="45">
        <v>4399</v>
      </c>
      <c r="H339" s="45">
        <v>5999</v>
      </c>
      <c r="I339" s="45">
        <v>5999</v>
      </c>
      <c r="J339" s="45">
        <v>4999</v>
      </c>
      <c r="K339" s="45">
        <v>4899</v>
      </c>
      <c r="L339" s="45">
        <v>4899</v>
      </c>
      <c r="M339" s="45">
        <v>4999</v>
      </c>
      <c r="N339" s="45">
        <v>4999</v>
      </c>
      <c r="O339" s="45">
        <v>4799</v>
      </c>
      <c r="P339" s="46">
        <v>4699</v>
      </c>
      <c r="Q339" s="46">
        <v>3799</v>
      </c>
      <c r="R339" s="45">
        <v>4799</v>
      </c>
      <c r="S339" s="45">
        <v>4699</v>
      </c>
      <c r="T339" s="45">
        <v>3799</v>
      </c>
      <c r="U339" s="45">
        <v>3799</v>
      </c>
      <c r="V339" s="45">
        <v>3799</v>
      </c>
      <c r="W339" s="45">
        <v>3799</v>
      </c>
      <c r="X339" s="45">
        <v>3699</v>
      </c>
      <c r="Y339" s="45">
        <v>3499</v>
      </c>
      <c r="Z339" s="45">
        <v>3499</v>
      </c>
      <c r="AA339" s="45">
        <v>3499</v>
      </c>
      <c r="AB339" s="45"/>
      <c r="AC339" s="45"/>
      <c r="AD339" s="45"/>
      <c r="AE339" s="45"/>
      <c r="AF339" s="45"/>
      <c r="AG339" s="45"/>
      <c r="AH339" s="45"/>
      <c r="AI339" s="45"/>
      <c r="AJ339" s="45"/>
      <c r="AK339" s="45"/>
      <c r="AL339" s="45"/>
      <c r="AM339" s="45"/>
      <c r="AN339" s="45"/>
      <c r="AO339" s="45"/>
      <c r="AP339" s="45"/>
      <c r="AQ339" s="45"/>
      <c r="AR339" s="45"/>
      <c r="AS339" s="45"/>
      <c r="AT339" s="45"/>
      <c r="AU339" s="45"/>
      <c r="AV339" s="47"/>
      <c r="AW339" s="48" t="s">
        <v>67</v>
      </c>
      <c r="AX339" s="49" t="s">
        <v>68</v>
      </c>
      <c r="AY339" s="50">
        <f t="shared" si="35"/>
        <v>121.1798</v>
      </c>
      <c r="AZ339" s="50">
        <f t="shared" si="36"/>
        <v>109.18180000000001</v>
      </c>
      <c r="BA339" s="51">
        <f t="shared" si="37"/>
        <v>61.789700000000003</v>
      </c>
    </row>
    <row r="340" spans="1:53" ht="22.5" customHeight="1">
      <c r="A340" s="41" t="s">
        <v>63</v>
      </c>
      <c r="B340" s="42" t="s">
        <v>64</v>
      </c>
      <c r="C340" s="43">
        <v>4015329</v>
      </c>
      <c r="D340" s="56" t="s">
        <v>509</v>
      </c>
      <c r="E340" s="56" t="s">
        <v>515</v>
      </c>
      <c r="F340" s="45">
        <v>7499</v>
      </c>
      <c r="G340" s="45">
        <v>4399</v>
      </c>
      <c r="H340" s="45">
        <v>5999</v>
      </c>
      <c r="I340" s="45">
        <v>5999</v>
      </c>
      <c r="J340" s="45">
        <v>4999</v>
      </c>
      <c r="K340" s="45">
        <v>4899</v>
      </c>
      <c r="L340" s="45">
        <v>4899</v>
      </c>
      <c r="M340" s="45">
        <v>4999</v>
      </c>
      <c r="N340" s="45">
        <v>4999</v>
      </c>
      <c r="O340" s="45">
        <v>4799</v>
      </c>
      <c r="P340" s="46">
        <v>4699</v>
      </c>
      <c r="Q340" s="46">
        <v>3799</v>
      </c>
      <c r="R340" s="45">
        <v>4799</v>
      </c>
      <c r="S340" s="45">
        <v>4699</v>
      </c>
      <c r="T340" s="45">
        <v>3799</v>
      </c>
      <c r="U340" s="45">
        <v>3799</v>
      </c>
      <c r="V340" s="45">
        <v>3799</v>
      </c>
      <c r="W340" s="45">
        <v>3799</v>
      </c>
      <c r="X340" s="45">
        <v>3699</v>
      </c>
      <c r="Y340" s="45">
        <v>3499</v>
      </c>
      <c r="Z340" s="45">
        <v>3499</v>
      </c>
      <c r="AA340" s="45">
        <v>3499</v>
      </c>
      <c r="AB340" s="45"/>
      <c r="AC340" s="45"/>
      <c r="AD340" s="45"/>
      <c r="AE340" s="45"/>
      <c r="AF340" s="45"/>
      <c r="AG340" s="45"/>
      <c r="AH340" s="45"/>
      <c r="AI340" s="45"/>
      <c r="AJ340" s="45"/>
      <c r="AK340" s="45"/>
      <c r="AL340" s="45"/>
      <c r="AM340" s="45"/>
      <c r="AN340" s="45"/>
      <c r="AO340" s="45"/>
      <c r="AP340" s="45"/>
      <c r="AQ340" s="45"/>
      <c r="AR340" s="45"/>
      <c r="AS340" s="45"/>
      <c r="AT340" s="45"/>
      <c r="AU340" s="45"/>
      <c r="AV340" s="47"/>
      <c r="AW340" s="48" t="s">
        <v>67</v>
      </c>
      <c r="AX340" s="49" t="s">
        <v>68</v>
      </c>
      <c r="AY340" s="50">
        <f t="shared" si="35"/>
        <v>121.1798</v>
      </c>
      <c r="AZ340" s="50">
        <f t="shared" si="36"/>
        <v>109.18180000000001</v>
      </c>
      <c r="BA340" s="51">
        <f t="shared" si="37"/>
        <v>61.789700000000003</v>
      </c>
    </row>
    <row r="341" spans="1:53" ht="22.5" customHeight="1">
      <c r="A341" s="41" t="s">
        <v>63</v>
      </c>
      <c r="B341" s="42" t="s">
        <v>64</v>
      </c>
      <c r="C341" s="43">
        <v>4015305</v>
      </c>
      <c r="D341" s="56" t="s">
        <v>509</v>
      </c>
      <c r="E341" s="56" t="s">
        <v>516</v>
      </c>
      <c r="F341" s="45">
        <v>7499</v>
      </c>
      <c r="G341" s="45">
        <v>4399</v>
      </c>
      <c r="H341" s="45">
        <v>5999</v>
      </c>
      <c r="I341" s="45">
        <v>5999</v>
      </c>
      <c r="J341" s="45">
        <v>4999</v>
      </c>
      <c r="K341" s="45">
        <v>4899</v>
      </c>
      <c r="L341" s="45">
        <v>4899</v>
      </c>
      <c r="M341" s="45">
        <v>4999</v>
      </c>
      <c r="N341" s="45">
        <v>4999</v>
      </c>
      <c r="O341" s="45">
        <v>4799</v>
      </c>
      <c r="P341" s="46">
        <v>4699</v>
      </c>
      <c r="Q341" s="46">
        <v>3799</v>
      </c>
      <c r="R341" s="45">
        <v>4799</v>
      </c>
      <c r="S341" s="45">
        <v>4699</v>
      </c>
      <c r="T341" s="45">
        <v>3799</v>
      </c>
      <c r="U341" s="45">
        <v>3799</v>
      </c>
      <c r="V341" s="45">
        <v>3799</v>
      </c>
      <c r="W341" s="45">
        <v>3799</v>
      </c>
      <c r="X341" s="45">
        <v>3699</v>
      </c>
      <c r="Y341" s="45">
        <v>3499</v>
      </c>
      <c r="Z341" s="45">
        <v>3499</v>
      </c>
      <c r="AA341" s="45">
        <v>3499</v>
      </c>
      <c r="AB341" s="45"/>
      <c r="AC341" s="45"/>
      <c r="AD341" s="45"/>
      <c r="AE341" s="45"/>
      <c r="AF341" s="45"/>
      <c r="AG341" s="45"/>
      <c r="AH341" s="45"/>
      <c r="AI341" s="45"/>
      <c r="AJ341" s="45"/>
      <c r="AK341" s="45"/>
      <c r="AL341" s="45"/>
      <c r="AM341" s="45"/>
      <c r="AN341" s="45"/>
      <c r="AO341" s="45"/>
      <c r="AP341" s="45"/>
      <c r="AQ341" s="45"/>
      <c r="AR341" s="45"/>
      <c r="AS341" s="45"/>
      <c r="AT341" s="45"/>
      <c r="AU341" s="45"/>
      <c r="AV341" s="47"/>
      <c r="AW341" s="48" t="s">
        <v>67</v>
      </c>
      <c r="AX341" s="49" t="s">
        <v>68</v>
      </c>
      <c r="AY341" s="50">
        <f t="shared" si="35"/>
        <v>121.1798</v>
      </c>
      <c r="AZ341" s="50">
        <f t="shared" si="36"/>
        <v>109.18180000000001</v>
      </c>
      <c r="BA341" s="51">
        <f t="shared" si="37"/>
        <v>61.789700000000003</v>
      </c>
    </row>
    <row r="342" spans="1:53" ht="22.5" customHeight="1">
      <c r="A342" s="41" t="s">
        <v>63</v>
      </c>
      <c r="B342" s="42" t="s">
        <v>64</v>
      </c>
      <c r="C342" s="43">
        <v>4015337</v>
      </c>
      <c r="D342" s="56" t="s">
        <v>509</v>
      </c>
      <c r="E342" s="56" t="s">
        <v>517</v>
      </c>
      <c r="F342" s="45">
        <v>7499</v>
      </c>
      <c r="G342" s="45">
        <v>4399</v>
      </c>
      <c r="H342" s="45">
        <v>5999</v>
      </c>
      <c r="I342" s="45">
        <v>5999</v>
      </c>
      <c r="J342" s="45">
        <v>4999</v>
      </c>
      <c r="K342" s="45">
        <v>4899</v>
      </c>
      <c r="L342" s="45">
        <v>4899</v>
      </c>
      <c r="M342" s="45">
        <v>4999</v>
      </c>
      <c r="N342" s="45">
        <v>4999</v>
      </c>
      <c r="O342" s="45">
        <v>4799</v>
      </c>
      <c r="P342" s="46">
        <v>4699</v>
      </c>
      <c r="Q342" s="46">
        <v>3799</v>
      </c>
      <c r="R342" s="45">
        <v>4799</v>
      </c>
      <c r="S342" s="45">
        <v>4699</v>
      </c>
      <c r="T342" s="45">
        <v>3799</v>
      </c>
      <c r="U342" s="45">
        <v>3799</v>
      </c>
      <c r="V342" s="45">
        <v>3799</v>
      </c>
      <c r="W342" s="45">
        <v>3799</v>
      </c>
      <c r="X342" s="45">
        <v>3699</v>
      </c>
      <c r="Y342" s="45">
        <v>3499</v>
      </c>
      <c r="Z342" s="45">
        <v>3499</v>
      </c>
      <c r="AA342" s="45">
        <v>3499</v>
      </c>
      <c r="AB342" s="45"/>
      <c r="AC342" s="45"/>
      <c r="AD342" s="45"/>
      <c r="AE342" s="45"/>
      <c r="AF342" s="45"/>
      <c r="AG342" s="45"/>
      <c r="AH342" s="45"/>
      <c r="AI342" s="45"/>
      <c r="AJ342" s="45"/>
      <c r="AK342" s="45"/>
      <c r="AL342" s="45"/>
      <c r="AM342" s="45"/>
      <c r="AN342" s="45"/>
      <c r="AO342" s="45"/>
      <c r="AP342" s="45"/>
      <c r="AQ342" s="45"/>
      <c r="AR342" s="45"/>
      <c r="AS342" s="45"/>
      <c r="AT342" s="45"/>
      <c r="AU342" s="45"/>
      <c r="AV342" s="47"/>
      <c r="AW342" s="48" t="s">
        <v>67</v>
      </c>
      <c r="AX342" s="49" t="s">
        <v>68</v>
      </c>
      <c r="AY342" s="50">
        <f t="shared" si="35"/>
        <v>121.1798</v>
      </c>
      <c r="AZ342" s="50">
        <f t="shared" si="36"/>
        <v>109.18180000000001</v>
      </c>
      <c r="BA342" s="51">
        <f t="shared" si="37"/>
        <v>61.789700000000003</v>
      </c>
    </row>
    <row r="343" spans="1:53" ht="22.5" customHeight="1">
      <c r="A343" s="41" t="s">
        <v>63</v>
      </c>
      <c r="B343" s="42" t="s">
        <v>64</v>
      </c>
      <c r="C343" s="43">
        <v>4015663</v>
      </c>
      <c r="D343" s="56" t="s">
        <v>518</v>
      </c>
      <c r="E343" s="56" t="s">
        <v>519</v>
      </c>
      <c r="F343" s="45">
        <v>4499</v>
      </c>
      <c r="G343" s="45">
        <v>1699</v>
      </c>
      <c r="H343" s="45">
        <v>2999</v>
      </c>
      <c r="I343" s="45">
        <v>2999</v>
      </c>
      <c r="J343" s="45">
        <v>2799</v>
      </c>
      <c r="K343" s="45">
        <v>2699</v>
      </c>
      <c r="L343" s="45">
        <v>2699</v>
      </c>
      <c r="M343" s="45">
        <v>2799</v>
      </c>
      <c r="N343" s="45">
        <v>2799</v>
      </c>
      <c r="O343" s="45">
        <f t="shared" ref="O343:P345" si="38">R343</f>
        <v>2499</v>
      </c>
      <c r="P343" s="46">
        <f t="shared" si="38"/>
        <v>2299</v>
      </c>
      <c r="Q343" s="46">
        <v>1499</v>
      </c>
      <c r="R343" s="45">
        <v>2499</v>
      </c>
      <c r="S343" s="45">
        <v>2299</v>
      </c>
      <c r="T343" s="45">
        <v>1499</v>
      </c>
      <c r="U343" s="45">
        <v>1499</v>
      </c>
      <c r="V343" s="45">
        <v>1499</v>
      </c>
      <c r="W343" s="45">
        <v>1499</v>
      </c>
      <c r="X343" s="45">
        <v>1399</v>
      </c>
      <c r="Y343" s="45">
        <v>1199</v>
      </c>
      <c r="Z343" s="45">
        <v>1199</v>
      </c>
      <c r="AA343" s="45">
        <v>1199</v>
      </c>
      <c r="AB343" s="45"/>
      <c r="AC343" s="45"/>
      <c r="AD343" s="45"/>
      <c r="AE343" s="45"/>
      <c r="AF343" s="45"/>
      <c r="AG343" s="45"/>
      <c r="AH343" s="45"/>
      <c r="AI343" s="45"/>
      <c r="AJ343" s="45"/>
      <c r="AK343" s="45"/>
      <c r="AL343" s="45"/>
      <c r="AM343" s="45"/>
      <c r="AN343" s="45"/>
      <c r="AO343" s="45"/>
      <c r="AP343" s="45"/>
      <c r="AQ343" s="45"/>
      <c r="AR343" s="45"/>
      <c r="AS343" s="45"/>
      <c r="AT343" s="45"/>
      <c r="AU343" s="45"/>
      <c r="AV343" s="47"/>
      <c r="AW343" s="48" t="s">
        <v>67</v>
      </c>
      <c r="AX343" s="49" t="s">
        <v>68</v>
      </c>
      <c r="AY343" s="50">
        <f t="shared" si="35"/>
        <v>60.579799999999999</v>
      </c>
      <c r="AZ343" s="50">
        <f t="shared" si="36"/>
        <v>54.581800000000001</v>
      </c>
      <c r="BA343" s="51">
        <f t="shared" si="37"/>
        <v>30.889700000000001</v>
      </c>
    </row>
    <row r="344" spans="1:53" ht="22.5" customHeight="1">
      <c r="A344" s="41" t="s">
        <v>63</v>
      </c>
      <c r="B344" s="42" t="s">
        <v>64</v>
      </c>
      <c r="C344" s="43">
        <v>4015665</v>
      </c>
      <c r="D344" s="56" t="s">
        <v>518</v>
      </c>
      <c r="E344" s="56" t="s">
        <v>520</v>
      </c>
      <c r="F344" s="45">
        <v>4499</v>
      </c>
      <c r="G344" s="45">
        <v>1699</v>
      </c>
      <c r="H344" s="45">
        <v>2999</v>
      </c>
      <c r="I344" s="45">
        <v>2999</v>
      </c>
      <c r="J344" s="45">
        <v>2799</v>
      </c>
      <c r="K344" s="45">
        <v>2699</v>
      </c>
      <c r="L344" s="45">
        <v>2699</v>
      </c>
      <c r="M344" s="45">
        <v>2799</v>
      </c>
      <c r="N344" s="45">
        <v>2799</v>
      </c>
      <c r="O344" s="45">
        <f t="shared" si="38"/>
        <v>2499</v>
      </c>
      <c r="P344" s="46">
        <f t="shared" si="38"/>
        <v>2299</v>
      </c>
      <c r="Q344" s="46">
        <v>1499</v>
      </c>
      <c r="R344" s="45">
        <v>2499</v>
      </c>
      <c r="S344" s="45">
        <v>2299</v>
      </c>
      <c r="T344" s="45">
        <v>1499</v>
      </c>
      <c r="U344" s="45">
        <v>1499</v>
      </c>
      <c r="V344" s="45">
        <v>1499</v>
      </c>
      <c r="W344" s="45">
        <v>1499</v>
      </c>
      <c r="X344" s="45">
        <v>1399</v>
      </c>
      <c r="Y344" s="45">
        <v>1199</v>
      </c>
      <c r="Z344" s="45">
        <v>1199</v>
      </c>
      <c r="AA344" s="45">
        <v>1199</v>
      </c>
      <c r="AB344" s="45"/>
      <c r="AC344" s="45"/>
      <c r="AD344" s="45"/>
      <c r="AE344" s="45"/>
      <c r="AF344" s="45"/>
      <c r="AG344" s="45"/>
      <c r="AH344" s="45"/>
      <c r="AI344" s="45"/>
      <c r="AJ344" s="45"/>
      <c r="AK344" s="45"/>
      <c r="AL344" s="45"/>
      <c r="AM344" s="45"/>
      <c r="AN344" s="45"/>
      <c r="AO344" s="45"/>
      <c r="AP344" s="45"/>
      <c r="AQ344" s="45"/>
      <c r="AR344" s="45"/>
      <c r="AS344" s="45"/>
      <c r="AT344" s="45"/>
      <c r="AU344" s="45"/>
      <c r="AV344" s="47"/>
      <c r="AW344" s="48" t="s">
        <v>67</v>
      </c>
      <c r="AX344" s="49" t="s">
        <v>68</v>
      </c>
      <c r="AY344" s="50">
        <f t="shared" si="35"/>
        <v>60.579799999999999</v>
      </c>
      <c r="AZ344" s="50">
        <f t="shared" si="36"/>
        <v>54.581800000000001</v>
      </c>
      <c r="BA344" s="51">
        <f t="shared" si="37"/>
        <v>30.889700000000001</v>
      </c>
    </row>
    <row r="345" spans="1:53" ht="22.5" customHeight="1">
      <c r="A345" s="41" t="s">
        <v>63</v>
      </c>
      <c r="B345" s="42" t="s">
        <v>64</v>
      </c>
      <c r="C345" s="43">
        <v>4015666</v>
      </c>
      <c r="D345" s="56" t="s">
        <v>518</v>
      </c>
      <c r="E345" s="56" t="s">
        <v>521</v>
      </c>
      <c r="F345" s="45">
        <v>4499</v>
      </c>
      <c r="G345" s="45">
        <v>1699</v>
      </c>
      <c r="H345" s="45">
        <v>2999</v>
      </c>
      <c r="I345" s="45">
        <v>2999</v>
      </c>
      <c r="J345" s="45">
        <v>2799</v>
      </c>
      <c r="K345" s="45">
        <v>2699</v>
      </c>
      <c r="L345" s="45">
        <v>2699</v>
      </c>
      <c r="M345" s="45">
        <v>2799</v>
      </c>
      <c r="N345" s="45">
        <v>2799</v>
      </c>
      <c r="O345" s="45">
        <f t="shared" si="38"/>
        <v>2499</v>
      </c>
      <c r="P345" s="46">
        <f t="shared" si="38"/>
        <v>2299</v>
      </c>
      <c r="Q345" s="46">
        <v>1499</v>
      </c>
      <c r="R345" s="45">
        <v>2499</v>
      </c>
      <c r="S345" s="45">
        <v>2299</v>
      </c>
      <c r="T345" s="45">
        <v>1499</v>
      </c>
      <c r="U345" s="45">
        <v>1499</v>
      </c>
      <c r="V345" s="45">
        <v>1499</v>
      </c>
      <c r="W345" s="45">
        <v>1499</v>
      </c>
      <c r="X345" s="45">
        <v>1399</v>
      </c>
      <c r="Y345" s="45">
        <v>1199</v>
      </c>
      <c r="Z345" s="45">
        <v>1199</v>
      </c>
      <c r="AA345" s="45">
        <v>1199</v>
      </c>
      <c r="AB345" s="45"/>
      <c r="AC345" s="45"/>
      <c r="AD345" s="45"/>
      <c r="AE345" s="45"/>
      <c r="AF345" s="45"/>
      <c r="AG345" s="45"/>
      <c r="AH345" s="45"/>
      <c r="AI345" s="45"/>
      <c r="AJ345" s="45"/>
      <c r="AK345" s="45"/>
      <c r="AL345" s="45"/>
      <c r="AM345" s="45"/>
      <c r="AN345" s="45"/>
      <c r="AO345" s="45"/>
      <c r="AP345" s="45"/>
      <c r="AQ345" s="45"/>
      <c r="AR345" s="45"/>
      <c r="AS345" s="45"/>
      <c r="AT345" s="45"/>
      <c r="AU345" s="45"/>
      <c r="AV345" s="47"/>
      <c r="AW345" s="48" t="s">
        <v>67</v>
      </c>
      <c r="AX345" s="49" t="s">
        <v>68</v>
      </c>
      <c r="AY345" s="50">
        <f t="shared" si="35"/>
        <v>60.579799999999999</v>
      </c>
      <c r="AZ345" s="50">
        <f t="shared" si="36"/>
        <v>54.581800000000001</v>
      </c>
      <c r="BA345" s="51">
        <f t="shared" si="37"/>
        <v>30.889700000000001</v>
      </c>
    </row>
    <row r="346" spans="1:53" ht="22.5" customHeight="1">
      <c r="A346" s="41" t="s">
        <v>63</v>
      </c>
      <c r="B346" s="42" t="s">
        <v>64</v>
      </c>
      <c r="C346" s="43">
        <v>4016031</v>
      </c>
      <c r="D346" s="56" t="s">
        <v>522</v>
      </c>
      <c r="E346" s="56" t="s">
        <v>523</v>
      </c>
      <c r="F346" s="45">
        <v>5999</v>
      </c>
      <c r="G346" s="45">
        <v>1399</v>
      </c>
      <c r="H346" s="45">
        <v>1599</v>
      </c>
      <c r="I346" s="45">
        <v>1599</v>
      </c>
      <c r="J346" s="45">
        <v>999</v>
      </c>
      <c r="K346" s="45">
        <v>999</v>
      </c>
      <c r="L346" s="45">
        <v>999</v>
      </c>
      <c r="M346" s="45">
        <v>999</v>
      </c>
      <c r="N346" s="45">
        <v>999</v>
      </c>
      <c r="O346" s="45">
        <v>999</v>
      </c>
      <c r="P346" s="46">
        <v>999</v>
      </c>
      <c r="Q346" s="46">
        <v>999</v>
      </c>
      <c r="R346" s="46">
        <v>999</v>
      </c>
      <c r="S346" s="46">
        <v>999</v>
      </c>
      <c r="T346" s="45">
        <v>999</v>
      </c>
      <c r="U346" s="45">
        <v>999</v>
      </c>
      <c r="V346" s="45">
        <v>999</v>
      </c>
      <c r="W346" s="45">
        <v>999</v>
      </c>
      <c r="X346" s="45">
        <v>999</v>
      </c>
      <c r="Y346" s="45">
        <v>999</v>
      </c>
      <c r="Z346" s="45">
        <v>999</v>
      </c>
      <c r="AA346" s="45">
        <v>999</v>
      </c>
      <c r="AB346" s="45"/>
      <c r="AC346" s="45"/>
      <c r="AD346" s="45"/>
      <c r="AE346" s="45"/>
      <c r="AF346" s="45"/>
      <c r="AG346" s="45"/>
      <c r="AH346" s="45"/>
      <c r="AI346" s="45"/>
      <c r="AJ346" s="45"/>
      <c r="AK346" s="45"/>
      <c r="AL346" s="45"/>
      <c r="AM346" s="45"/>
      <c r="AN346" s="45"/>
      <c r="AO346" s="45"/>
      <c r="AP346" s="45"/>
      <c r="AQ346" s="45"/>
      <c r="AR346" s="45"/>
      <c r="AS346" s="45"/>
      <c r="AT346" s="45"/>
      <c r="AU346" s="45"/>
      <c r="AV346" s="47"/>
      <c r="AW346" s="48" t="s">
        <v>67</v>
      </c>
      <c r="AX346" s="49" t="s">
        <v>68</v>
      </c>
      <c r="AY346" s="50">
        <f t="shared" si="35"/>
        <v>32.299799999999998</v>
      </c>
      <c r="AZ346" s="50">
        <f t="shared" si="36"/>
        <v>29.101800000000001</v>
      </c>
      <c r="BA346" s="51">
        <f t="shared" si="37"/>
        <v>16.4697</v>
      </c>
    </row>
    <row r="347" spans="1:53" ht="22.5" customHeight="1">
      <c r="A347" s="41" t="s">
        <v>63</v>
      </c>
      <c r="B347" s="42" t="s">
        <v>64</v>
      </c>
      <c r="C347" s="43">
        <v>4016063</v>
      </c>
      <c r="D347" s="56" t="s">
        <v>522</v>
      </c>
      <c r="E347" s="56" t="s">
        <v>524</v>
      </c>
      <c r="F347" s="45">
        <v>5999</v>
      </c>
      <c r="G347" s="45">
        <v>1399</v>
      </c>
      <c r="H347" s="45">
        <v>1599</v>
      </c>
      <c r="I347" s="45">
        <v>1599</v>
      </c>
      <c r="J347" s="45">
        <v>999</v>
      </c>
      <c r="K347" s="45">
        <v>999</v>
      </c>
      <c r="L347" s="45">
        <v>999</v>
      </c>
      <c r="M347" s="45">
        <v>999</v>
      </c>
      <c r="N347" s="45">
        <v>999</v>
      </c>
      <c r="O347" s="45">
        <v>999</v>
      </c>
      <c r="P347" s="46">
        <v>999</v>
      </c>
      <c r="Q347" s="46">
        <v>999</v>
      </c>
      <c r="R347" s="46">
        <v>999</v>
      </c>
      <c r="S347" s="46">
        <v>999</v>
      </c>
      <c r="T347" s="45">
        <v>999</v>
      </c>
      <c r="U347" s="45">
        <v>999</v>
      </c>
      <c r="V347" s="45">
        <v>999</v>
      </c>
      <c r="W347" s="45">
        <v>999</v>
      </c>
      <c r="X347" s="45">
        <v>999</v>
      </c>
      <c r="Y347" s="45">
        <v>999</v>
      </c>
      <c r="Z347" s="45">
        <v>999</v>
      </c>
      <c r="AA347" s="45">
        <v>999</v>
      </c>
      <c r="AB347" s="45"/>
      <c r="AC347" s="45"/>
      <c r="AD347" s="45"/>
      <c r="AE347" s="45"/>
      <c r="AF347" s="45"/>
      <c r="AG347" s="45"/>
      <c r="AH347" s="45"/>
      <c r="AI347" s="45"/>
      <c r="AJ347" s="45"/>
      <c r="AK347" s="45"/>
      <c r="AL347" s="45"/>
      <c r="AM347" s="45"/>
      <c r="AN347" s="45"/>
      <c r="AO347" s="45"/>
      <c r="AP347" s="45"/>
      <c r="AQ347" s="45"/>
      <c r="AR347" s="45"/>
      <c r="AS347" s="45"/>
      <c r="AT347" s="45"/>
      <c r="AU347" s="45"/>
      <c r="AV347" s="47"/>
      <c r="AW347" s="48" t="s">
        <v>67</v>
      </c>
      <c r="AX347" s="49" t="s">
        <v>68</v>
      </c>
      <c r="AY347" s="50">
        <f t="shared" si="35"/>
        <v>32.299799999999998</v>
      </c>
      <c r="AZ347" s="50">
        <f t="shared" si="36"/>
        <v>29.101800000000001</v>
      </c>
      <c r="BA347" s="51">
        <f t="shared" si="37"/>
        <v>16.4697</v>
      </c>
    </row>
    <row r="348" spans="1:53" ht="22.5" customHeight="1">
      <c r="A348" s="41" t="s">
        <v>63</v>
      </c>
      <c r="B348" s="42" t="s">
        <v>64</v>
      </c>
      <c r="C348" s="43">
        <v>4015884</v>
      </c>
      <c r="D348" s="56" t="s">
        <v>522</v>
      </c>
      <c r="E348" s="56" t="s">
        <v>525</v>
      </c>
      <c r="F348" s="45">
        <v>5999</v>
      </c>
      <c r="G348" s="45">
        <v>1399</v>
      </c>
      <c r="H348" s="45">
        <v>1599</v>
      </c>
      <c r="I348" s="45">
        <v>1599</v>
      </c>
      <c r="J348" s="45">
        <v>999</v>
      </c>
      <c r="K348" s="45">
        <v>999</v>
      </c>
      <c r="L348" s="45">
        <v>999</v>
      </c>
      <c r="M348" s="45">
        <v>999</v>
      </c>
      <c r="N348" s="45">
        <v>999</v>
      </c>
      <c r="O348" s="45">
        <v>999</v>
      </c>
      <c r="P348" s="46">
        <v>999</v>
      </c>
      <c r="Q348" s="46">
        <v>999</v>
      </c>
      <c r="R348" s="46">
        <v>999</v>
      </c>
      <c r="S348" s="46">
        <v>999</v>
      </c>
      <c r="T348" s="45">
        <v>999</v>
      </c>
      <c r="U348" s="45">
        <v>999</v>
      </c>
      <c r="V348" s="45">
        <v>999</v>
      </c>
      <c r="W348" s="45">
        <v>999</v>
      </c>
      <c r="X348" s="45">
        <v>999</v>
      </c>
      <c r="Y348" s="45">
        <v>999</v>
      </c>
      <c r="Z348" s="45">
        <v>999</v>
      </c>
      <c r="AA348" s="45">
        <v>999</v>
      </c>
      <c r="AB348" s="45"/>
      <c r="AC348" s="45"/>
      <c r="AD348" s="45"/>
      <c r="AE348" s="45"/>
      <c r="AF348" s="45"/>
      <c r="AG348" s="45"/>
      <c r="AH348" s="45"/>
      <c r="AI348" s="45"/>
      <c r="AJ348" s="45"/>
      <c r="AK348" s="45"/>
      <c r="AL348" s="45"/>
      <c r="AM348" s="45"/>
      <c r="AN348" s="45"/>
      <c r="AO348" s="45"/>
      <c r="AP348" s="45"/>
      <c r="AQ348" s="45"/>
      <c r="AR348" s="45"/>
      <c r="AS348" s="45"/>
      <c r="AT348" s="45"/>
      <c r="AU348" s="45"/>
      <c r="AV348" s="47"/>
      <c r="AW348" s="48" t="s">
        <v>67</v>
      </c>
      <c r="AX348" s="49" t="s">
        <v>68</v>
      </c>
      <c r="AY348" s="50">
        <f t="shared" si="35"/>
        <v>32.299799999999998</v>
      </c>
      <c r="AZ348" s="50">
        <f t="shared" si="36"/>
        <v>29.101800000000001</v>
      </c>
      <c r="BA348" s="51">
        <f t="shared" si="37"/>
        <v>16.4697</v>
      </c>
    </row>
    <row r="349" spans="1:53" ht="22.5" customHeight="1">
      <c r="A349" s="41" t="s">
        <v>63</v>
      </c>
      <c r="B349" s="42" t="s">
        <v>64</v>
      </c>
      <c r="C349" s="43">
        <v>4016047</v>
      </c>
      <c r="D349" s="56" t="s">
        <v>522</v>
      </c>
      <c r="E349" s="56" t="s">
        <v>526</v>
      </c>
      <c r="F349" s="45">
        <v>5999</v>
      </c>
      <c r="G349" s="45">
        <v>1399</v>
      </c>
      <c r="H349" s="45">
        <v>1599</v>
      </c>
      <c r="I349" s="45">
        <v>1599</v>
      </c>
      <c r="J349" s="45">
        <v>999</v>
      </c>
      <c r="K349" s="45">
        <v>999</v>
      </c>
      <c r="L349" s="45">
        <v>999</v>
      </c>
      <c r="M349" s="45">
        <v>999</v>
      </c>
      <c r="N349" s="45">
        <v>999</v>
      </c>
      <c r="O349" s="45">
        <v>999</v>
      </c>
      <c r="P349" s="46">
        <v>999</v>
      </c>
      <c r="Q349" s="46">
        <v>999</v>
      </c>
      <c r="R349" s="46">
        <v>999</v>
      </c>
      <c r="S349" s="46">
        <v>999</v>
      </c>
      <c r="T349" s="45">
        <v>999</v>
      </c>
      <c r="U349" s="45">
        <v>999</v>
      </c>
      <c r="V349" s="45">
        <v>999</v>
      </c>
      <c r="W349" s="45">
        <v>999</v>
      </c>
      <c r="X349" s="45">
        <v>999</v>
      </c>
      <c r="Y349" s="45">
        <v>999</v>
      </c>
      <c r="Z349" s="45">
        <v>999</v>
      </c>
      <c r="AA349" s="45">
        <v>999</v>
      </c>
      <c r="AB349" s="45"/>
      <c r="AC349" s="45"/>
      <c r="AD349" s="45"/>
      <c r="AE349" s="45"/>
      <c r="AF349" s="45"/>
      <c r="AG349" s="45"/>
      <c r="AH349" s="45"/>
      <c r="AI349" s="45"/>
      <c r="AJ349" s="45"/>
      <c r="AK349" s="45"/>
      <c r="AL349" s="45"/>
      <c r="AM349" s="45"/>
      <c r="AN349" s="45"/>
      <c r="AO349" s="45"/>
      <c r="AP349" s="45"/>
      <c r="AQ349" s="45"/>
      <c r="AR349" s="45"/>
      <c r="AS349" s="45"/>
      <c r="AT349" s="45"/>
      <c r="AU349" s="45"/>
      <c r="AV349" s="47"/>
      <c r="AW349" s="48" t="s">
        <v>67</v>
      </c>
      <c r="AX349" s="49" t="s">
        <v>68</v>
      </c>
      <c r="AY349" s="50">
        <f t="shared" si="35"/>
        <v>32.299799999999998</v>
      </c>
      <c r="AZ349" s="50">
        <f t="shared" si="36"/>
        <v>29.101800000000001</v>
      </c>
      <c r="BA349" s="51">
        <f t="shared" si="37"/>
        <v>16.4697</v>
      </c>
    </row>
    <row r="350" spans="1:53" ht="22.5" customHeight="1">
      <c r="A350" s="41" t="s">
        <v>63</v>
      </c>
      <c r="B350" s="42" t="s">
        <v>64</v>
      </c>
      <c r="C350" s="43">
        <v>4016039</v>
      </c>
      <c r="D350" s="56" t="s">
        <v>522</v>
      </c>
      <c r="E350" s="56" t="s">
        <v>527</v>
      </c>
      <c r="F350" s="45">
        <v>5999</v>
      </c>
      <c r="G350" s="45">
        <v>1399</v>
      </c>
      <c r="H350" s="45">
        <v>1599</v>
      </c>
      <c r="I350" s="45">
        <v>1599</v>
      </c>
      <c r="J350" s="45">
        <v>999</v>
      </c>
      <c r="K350" s="45">
        <v>999</v>
      </c>
      <c r="L350" s="45">
        <v>999</v>
      </c>
      <c r="M350" s="45">
        <v>999</v>
      </c>
      <c r="N350" s="45">
        <v>999</v>
      </c>
      <c r="O350" s="45">
        <v>999</v>
      </c>
      <c r="P350" s="46">
        <v>999</v>
      </c>
      <c r="Q350" s="46">
        <v>999</v>
      </c>
      <c r="R350" s="46">
        <v>999</v>
      </c>
      <c r="S350" s="46">
        <v>999</v>
      </c>
      <c r="T350" s="45">
        <v>999</v>
      </c>
      <c r="U350" s="45">
        <v>999</v>
      </c>
      <c r="V350" s="45">
        <v>999</v>
      </c>
      <c r="W350" s="45">
        <v>999</v>
      </c>
      <c r="X350" s="45">
        <v>999</v>
      </c>
      <c r="Y350" s="45">
        <v>999</v>
      </c>
      <c r="Z350" s="45">
        <v>999</v>
      </c>
      <c r="AA350" s="45">
        <v>999</v>
      </c>
      <c r="AB350" s="45"/>
      <c r="AC350" s="45"/>
      <c r="AD350" s="45"/>
      <c r="AE350" s="45"/>
      <c r="AF350" s="45"/>
      <c r="AG350" s="45"/>
      <c r="AH350" s="45"/>
      <c r="AI350" s="45"/>
      <c r="AJ350" s="45"/>
      <c r="AK350" s="45"/>
      <c r="AL350" s="45"/>
      <c r="AM350" s="45"/>
      <c r="AN350" s="45"/>
      <c r="AO350" s="45"/>
      <c r="AP350" s="45"/>
      <c r="AQ350" s="45"/>
      <c r="AR350" s="45"/>
      <c r="AS350" s="45"/>
      <c r="AT350" s="45"/>
      <c r="AU350" s="45"/>
      <c r="AV350" s="47"/>
      <c r="AW350" s="48" t="s">
        <v>67</v>
      </c>
      <c r="AX350" s="49" t="s">
        <v>68</v>
      </c>
      <c r="AY350" s="50">
        <f t="shared" si="35"/>
        <v>32.299799999999998</v>
      </c>
      <c r="AZ350" s="50">
        <f t="shared" si="36"/>
        <v>29.101800000000001</v>
      </c>
      <c r="BA350" s="51">
        <f t="shared" si="37"/>
        <v>16.4697</v>
      </c>
    </row>
    <row r="351" spans="1:53" ht="22.5" customHeight="1">
      <c r="A351" s="41" t="s">
        <v>63</v>
      </c>
      <c r="B351" s="42" t="s">
        <v>64</v>
      </c>
      <c r="C351" s="43">
        <v>4016071</v>
      </c>
      <c r="D351" s="56" t="s">
        <v>522</v>
      </c>
      <c r="E351" s="56" t="s">
        <v>528</v>
      </c>
      <c r="F351" s="45">
        <v>5999</v>
      </c>
      <c r="G351" s="45">
        <v>1399</v>
      </c>
      <c r="H351" s="45">
        <v>1599</v>
      </c>
      <c r="I351" s="45">
        <v>1599</v>
      </c>
      <c r="J351" s="45">
        <v>999</v>
      </c>
      <c r="K351" s="45">
        <v>999</v>
      </c>
      <c r="L351" s="45">
        <v>999</v>
      </c>
      <c r="M351" s="45">
        <v>999</v>
      </c>
      <c r="N351" s="45">
        <v>999</v>
      </c>
      <c r="O351" s="45">
        <v>999</v>
      </c>
      <c r="P351" s="46">
        <v>999</v>
      </c>
      <c r="Q351" s="46">
        <v>999</v>
      </c>
      <c r="R351" s="46">
        <v>999</v>
      </c>
      <c r="S351" s="46">
        <v>999</v>
      </c>
      <c r="T351" s="45">
        <v>999</v>
      </c>
      <c r="U351" s="45">
        <v>999</v>
      </c>
      <c r="V351" s="45">
        <v>999</v>
      </c>
      <c r="W351" s="45">
        <v>999</v>
      </c>
      <c r="X351" s="45">
        <v>999</v>
      </c>
      <c r="Y351" s="45">
        <v>999</v>
      </c>
      <c r="Z351" s="45">
        <v>999</v>
      </c>
      <c r="AA351" s="45">
        <v>999</v>
      </c>
      <c r="AB351" s="45"/>
      <c r="AC351" s="45"/>
      <c r="AD351" s="45"/>
      <c r="AE351" s="45"/>
      <c r="AF351" s="45"/>
      <c r="AG351" s="45"/>
      <c r="AH351" s="45"/>
      <c r="AI351" s="45"/>
      <c r="AJ351" s="45"/>
      <c r="AK351" s="45"/>
      <c r="AL351" s="45"/>
      <c r="AM351" s="45"/>
      <c r="AN351" s="45"/>
      <c r="AO351" s="45"/>
      <c r="AP351" s="45"/>
      <c r="AQ351" s="45"/>
      <c r="AR351" s="45"/>
      <c r="AS351" s="45"/>
      <c r="AT351" s="45"/>
      <c r="AU351" s="45"/>
      <c r="AV351" s="47"/>
      <c r="AW351" s="48" t="s">
        <v>67</v>
      </c>
      <c r="AX351" s="49" t="s">
        <v>68</v>
      </c>
      <c r="AY351" s="50">
        <f t="shared" si="35"/>
        <v>32.299799999999998</v>
      </c>
      <c r="AZ351" s="50">
        <f t="shared" si="36"/>
        <v>29.101800000000001</v>
      </c>
      <c r="BA351" s="51">
        <f t="shared" si="37"/>
        <v>16.4697</v>
      </c>
    </row>
    <row r="352" spans="1:53" ht="22.5" customHeight="1">
      <c r="A352" s="41" t="s">
        <v>63</v>
      </c>
      <c r="B352" s="42" t="s">
        <v>64</v>
      </c>
      <c r="C352" s="43">
        <v>4016055</v>
      </c>
      <c r="D352" s="56" t="s">
        <v>522</v>
      </c>
      <c r="E352" s="56" t="s">
        <v>529</v>
      </c>
      <c r="F352" s="45">
        <v>5999</v>
      </c>
      <c r="G352" s="45">
        <v>1399</v>
      </c>
      <c r="H352" s="45">
        <v>1599</v>
      </c>
      <c r="I352" s="45">
        <v>1599</v>
      </c>
      <c r="J352" s="45">
        <v>999</v>
      </c>
      <c r="K352" s="45">
        <v>999</v>
      </c>
      <c r="L352" s="45">
        <v>999</v>
      </c>
      <c r="M352" s="45">
        <v>999</v>
      </c>
      <c r="N352" s="45">
        <v>999</v>
      </c>
      <c r="O352" s="45">
        <v>999</v>
      </c>
      <c r="P352" s="46">
        <v>999</v>
      </c>
      <c r="Q352" s="46">
        <v>999</v>
      </c>
      <c r="R352" s="46">
        <v>999</v>
      </c>
      <c r="S352" s="46">
        <v>999</v>
      </c>
      <c r="T352" s="45">
        <v>999</v>
      </c>
      <c r="U352" s="45">
        <v>999</v>
      </c>
      <c r="V352" s="45">
        <v>999</v>
      </c>
      <c r="W352" s="45">
        <v>999</v>
      </c>
      <c r="X352" s="45">
        <v>999</v>
      </c>
      <c r="Y352" s="45">
        <v>999</v>
      </c>
      <c r="Z352" s="45">
        <v>999</v>
      </c>
      <c r="AA352" s="45">
        <v>999</v>
      </c>
      <c r="AB352" s="45"/>
      <c r="AC352" s="45"/>
      <c r="AD352" s="45"/>
      <c r="AE352" s="45"/>
      <c r="AF352" s="45"/>
      <c r="AG352" s="45"/>
      <c r="AH352" s="45"/>
      <c r="AI352" s="45"/>
      <c r="AJ352" s="45"/>
      <c r="AK352" s="45"/>
      <c r="AL352" s="45"/>
      <c r="AM352" s="45"/>
      <c r="AN352" s="45"/>
      <c r="AO352" s="45"/>
      <c r="AP352" s="45"/>
      <c r="AQ352" s="45"/>
      <c r="AR352" s="45"/>
      <c r="AS352" s="45"/>
      <c r="AT352" s="45"/>
      <c r="AU352" s="45"/>
      <c r="AV352" s="47"/>
      <c r="AW352" s="48" t="s">
        <v>67</v>
      </c>
      <c r="AX352" s="49" t="s">
        <v>68</v>
      </c>
      <c r="AY352" s="50">
        <f t="shared" si="35"/>
        <v>32.299799999999998</v>
      </c>
      <c r="AZ352" s="50">
        <f t="shared" si="36"/>
        <v>29.101800000000001</v>
      </c>
      <c r="BA352" s="51">
        <f t="shared" si="37"/>
        <v>16.4697</v>
      </c>
    </row>
    <row r="353" spans="1:53" ht="22.5" customHeight="1">
      <c r="A353" s="41" t="s">
        <v>63</v>
      </c>
      <c r="B353" s="42" t="s">
        <v>64</v>
      </c>
      <c r="C353" s="43">
        <v>4016034</v>
      </c>
      <c r="D353" s="56" t="s">
        <v>530</v>
      </c>
      <c r="E353" s="56" t="s">
        <v>531</v>
      </c>
      <c r="F353" s="45">
        <v>6499</v>
      </c>
      <c r="G353" s="45">
        <v>1699</v>
      </c>
      <c r="H353" s="45">
        <v>1599</v>
      </c>
      <c r="I353" s="45">
        <v>1599</v>
      </c>
      <c r="J353" s="45">
        <v>999</v>
      </c>
      <c r="K353" s="45">
        <v>999</v>
      </c>
      <c r="L353" s="45">
        <v>999</v>
      </c>
      <c r="M353" s="45">
        <v>999</v>
      </c>
      <c r="N353" s="45">
        <v>999</v>
      </c>
      <c r="O353" s="45">
        <v>999</v>
      </c>
      <c r="P353" s="46">
        <v>999</v>
      </c>
      <c r="Q353" s="46">
        <v>999</v>
      </c>
      <c r="R353" s="45">
        <v>999</v>
      </c>
      <c r="S353" s="45">
        <v>999</v>
      </c>
      <c r="T353" s="45">
        <v>999</v>
      </c>
      <c r="U353" s="45">
        <v>999</v>
      </c>
      <c r="V353" s="45">
        <v>999</v>
      </c>
      <c r="W353" s="45">
        <v>999</v>
      </c>
      <c r="X353" s="45">
        <v>999</v>
      </c>
      <c r="Y353" s="45">
        <v>999</v>
      </c>
      <c r="Z353" s="45">
        <v>999</v>
      </c>
      <c r="AA353" s="45">
        <v>999</v>
      </c>
      <c r="AB353" s="45"/>
      <c r="AC353" s="45"/>
      <c r="AD353" s="45"/>
      <c r="AE353" s="45"/>
      <c r="AF353" s="45"/>
      <c r="AG353" s="45"/>
      <c r="AH353" s="45"/>
      <c r="AI353" s="45"/>
      <c r="AJ353" s="45"/>
      <c r="AK353" s="45"/>
      <c r="AL353" s="45"/>
      <c r="AM353" s="45"/>
      <c r="AN353" s="45"/>
      <c r="AO353" s="45"/>
      <c r="AP353" s="45"/>
      <c r="AQ353" s="45"/>
      <c r="AR353" s="45"/>
      <c r="AS353" s="45"/>
      <c r="AT353" s="45"/>
      <c r="AU353" s="45"/>
      <c r="AV353" s="47"/>
      <c r="AW353" s="48" t="s">
        <v>67</v>
      </c>
      <c r="AX353" s="49" t="s">
        <v>68</v>
      </c>
      <c r="AY353" s="50">
        <f t="shared" si="35"/>
        <v>32.299799999999998</v>
      </c>
      <c r="AZ353" s="50">
        <f t="shared" si="36"/>
        <v>29.101800000000001</v>
      </c>
      <c r="BA353" s="51">
        <f t="shared" si="37"/>
        <v>16.4697</v>
      </c>
    </row>
    <row r="354" spans="1:53" ht="22.5" customHeight="1">
      <c r="A354" s="41" t="s">
        <v>63</v>
      </c>
      <c r="B354" s="42" t="s">
        <v>64</v>
      </c>
      <c r="C354" s="43">
        <v>4016066</v>
      </c>
      <c r="D354" s="56" t="s">
        <v>530</v>
      </c>
      <c r="E354" s="56" t="s">
        <v>532</v>
      </c>
      <c r="F354" s="45">
        <v>6499</v>
      </c>
      <c r="G354" s="45">
        <v>1699</v>
      </c>
      <c r="H354" s="45">
        <v>1599</v>
      </c>
      <c r="I354" s="45">
        <v>1599</v>
      </c>
      <c r="J354" s="45">
        <v>999</v>
      </c>
      <c r="K354" s="45">
        <v>999</v>
      </c>
      <c r="L354" s="45">
        <v>999</v>
      </c>
      <c r="M354" s="45">
        <v>999</v>
      </c>
      <c r="N354" s="45">
        <v>999</v>
      </c>
      <c r="O354" s="45">
        <v>999</v>
      </c>
      <c r="P354" s="46">
        <v>999</v>
      </c>
      <c r="Q354" s="46">
        <v>999</v>
      </c>
      <c r="R354" s="45">
        <v>999</v>
      </c>
      <c r="S354" s="45">
        <v>999</v>
      </c>
      <c r="T354" s="45">
        <v>999</v>
      </c>
      <c r="U354" s="45">
        <v>999</v>
      </c>
      <c r="V354" s="45">
        <v>999</v>
      </c>
      <c r="W354" s="45">
        <v>999</v>
      </c>
      <c r="X354" s="45">
        <v>999</v>
      </c>
      <c r="Y354" s="45">
        <v>999</v>
      </c>
      <c r="Z354" s="45">
        <v>999</v>
      </c>
      <c r="AA354" s="45">
        <v>999</v>
      </c>
      <c r="AB354" s="45"/>
      <c r="AC354" s="45"/>
      <c r="AD354" s="45"/>
      <c r="AE354" s="45"/>
      <c r="AF354" s="45"/>
      <c r="AG354" s="45"/>
      <c r="AH354" s="45"/>
      <c r="AI354" s="45"/>
      <c r="AJ354" s="45"/>
      <c r="AK354" s="45"/>
      <c r="AL354" s="45"/>
      <c r="AM354" s="45"/>
      <c r="AN354" s="45"/>
      <c r="AO354" s="45"/>
      <c r="AP354" s="45"/>
      <c r="AQ354" s="45"/>
      <c r="AR354" s="45"/>
      <c r="AS354" s="45"/>
      <c r="AT354" s="45"/>
      <c r="AU354" s="45"/>
      <c r="AV354" s="47"/>
      <c r="AW354" s="48" t="s">
        <v>67</v>
      </c>
      <c r="AX354" s="49" t="s">
        <v>68</v>
      </c>
      <c r="AY354" s="50">
        <f t="shared" si="35"/>
        <v>32.299799999999998</v>
      </c>
      <c r="AZ354" s="50">
        <f t="shared" si="36"/>
        <v>29.101800000000001</v>
      </c>
      <c r="BA354" s="51">
        <f t="shared" si="37"/>
        <v>16.4697</v>
      </c>
    </row>
    <row r="355" spans="1:53" ht="22.5" customHeight="1">
      <c r="A355" s="41" t="s">
        <v>63</v>
      </c>
      <c r="B355" s="42" t="s">
        <v>64</v>
      </c>
      <c r="C355" s="43">
        <v>4016020</v>
      </c>
      <c r="D355" s="56" t="s">
        <v>530</v>
      </c>
      <c r="E355" s="56" t="s">
        <v>533</v>
      </c>
      <c r="F355" s="45">
        <v>6499</v>
      </c>
      <c r="G355" s="45">
        <v>1699</v>
      </c>
      <c r="H355" s="45">
        <v>1599</v>
      </c>
      <c r="I355" s="45">
        <v>1599</v>
      </c>
      <c r="J355" s="45">
        <v>999</v>
      </c>
      <c r="K355" s="45">
        <v>999</v>
      </c>
      <c r="L355" s="45">
        <v>999</v>
      </c>
      <c r="M355" s="45">
        <v>999</v>
      </c>
      <c r="N355" s="45">
        <v>999</v>
      </c>
      <c r="O355" s="45">
        <v>999</v>
      </c>
      <c r="P355" s="46">
        <v>999</v>
      </c>
      <c r="Q355" s="46">
        <v>999</v>
      </c>
      <c r="R355" s="45">
        <v>999</v>
      </c>
      <c r="S355" s="45">
        <v>999</v>
      </c>
      <c r="T355" s="45">
        <v>999</v>
      </c>
      <c r="U355" s="45">
        <v>999</v>
      </c>
      <c r="V355" s="45">
        <v>999</v>
      </c>
      <c r="W355" s="45">
        <v>999</v>
      </c>
      <c r="X355" s="45">
        <v>999</v>
      </c>
      <c r="Y355" s="45">
        <v>999</v>
      </c>
      <c r="Z355" s="45">
        <v>999</v>
      </c>
      <c r="AA355" s="45">
        <v>999</v>
      </c>
      <c r="AB355" s="45"/>
      <c r="AC355" s="45"/>
      <c r="AD355" s="45"/>
      <c r="AE355" s="45"/>
      <c r="AF355" s="45"/>
      <c r="AG355" s="45"/>
      <c r="AH355" s="45"/>
      <c r="AI355" s="45"/>
      <c r="AJ355" s="45"/>
      <c r="AK355" s="45"/>
      <c r="AL355" s="45"/>
      <c r="AM355" s="45"/>
      <c r="AN355" s="45"/>
      <c r="AO355" s="45"/>
      <c r="AP355" s="45"/>
      <c r="AQ355" s="45"/>
      <c r="AR355" s="45"/>
      <c r="AS355" s="45"/>
      <c r="AT355" s="45"/>
      <c r="AU355" s="45"/>
      <c r="AV355" s="47"/>
      <c r="AW355" s="48" t="s">
        <v>67</v>
      </c>
      <c r="AX355" s="49" t="s">
        <v>68</v>
      </c>
      <c r="AY355" s="50">
        <f t="shared" si="35"/>
        <v>32.299799999999998</v>
      </c>
      <c r="AZ355" s="50">
        <f t="shared" si="36"/>
        <v>29.101800000000001</v>
      </c>
      <c r="BA355" s="51">
        <f t="shared" si="37"/>
        <v>16.4697</v>
      </c>
    </row>
    <row r="356" spans="1:53" ht="22.5" customHeight="1">
      <c r="A356" s="41" t="s">
        <v>63</v>
      </c>
      <c r="B356" s="42" t="s">
        <v>64</v>
      </c>
      <c r="C356" s="43">
        <v>4016048</v>
      </c>
      <c r="D356" s="56" t="s">
        <v>530</v>
      </c>
      <c r="E356" s="56" t="s">
        <v>534</v>
      </c>
      <c r="F356" s="45">
        <v>6499</v>
      </c>
      <c r="G356" s="45">
        <v>1699</v>
      </c>
      <c r="H356" s="45">
        <v>1599</v>
      </c>
      <c r="I356" s="45">
        <v>1599</v>
      </c>
      <c r="J356" s="45">
        <v>999</v>
      </c>
      <c r="K356" s="45">
        <v>999</v>
      </c>
      <c r="L356" s="45">
        <v>999</v>
      </c>
      <c r="M356" s="45">
        <v>999</v>
      </c>
      <c r="N356" s="45">
        <v>999</v>
      </c>
      <c r="O356" s="45">
        <v>999</v>
      </c>
      <c r="P356" s="46">
        <v>999</v>
      </c>
      <c r="Q356" s="46">
        <v>999</v>
      </c>
      <c r="R356" s="45">
        <v>999</v>
      </c>
      <c r="S356" s="45">
        <v>999</v>
      </c>
      <c r="T356" s="45">
        <v>999</v>
      </c>
      <c r="U356" s="45">
        <v>999</v>
      </c>
      <c r="V356" s="45">
        <v>999</v>
      </c>
      <c r="W356" s="45">
        <v>999</v>
      </c>
      <c r="X356" s="45">
        <v>999</v>
      </c>
      <c r="Y356" s="45">
        <v>999</v>
      </c>
      <c r="Z356" s="45">
        <v>999</v>
      </c>
      <c r="AA356" s="45">
        <v>999</v>
      </c>
      <c r="AB356" s="45"/>
      <c r="AC356" s="45"/>
      <c r="AD356" s="45"/>
      <c r="AE356" s="45"/>
      <c r="AF356" s="45"/>
      <c r="AG356" s="45"/>
      <c r="AH356" s="45"/>
      <c r="AI356" s="45"/>
      <c r="AJ356" s="45"/>
      <c r="AK356" s="45"/>
      <c r="AL356" s="45"/>
      <c r="AM356" s="45"/>
      <c r="AN356" s="45"/>
      <c r="AO356" s="45"/>
      <c r="AP356" s="45"/>
      <c r="AQ356" s="45"/>
      <c r="AR356" s="45"/>
      <c r="AS356" s="45"/>
      <c r="AT356" s="45"/>
      <c r="AU356" s="45"/>
      <c r="AV356" s="47"/>
      <c r="AW356" s="48" t="s">
        <v>67</v>
      </c>
      <c r="AX356" s="49" t="s">
        <v>68</v>
      </c>
      <c r="AY356" s="50">
        <f t="shared" si="35"/>
        <v>32.299799999999998</v>
      </c>
      <c r="AZ356" s="50">
        <f t="shared" si="36"/>
        <v>29.101800000000001</v>
      </c>
      <c r="BA356" s="51">
        <f t="shared" si="37"/>
        <v>16.4697</v>
      </c>
    </row>
    <row r="357" spans="1:53" ht="22.5" customHeight="1">
      <c r="A357" s="41" t="s">
        <v>63</v>
      </c>
      <c r="B357" s="42" t="s">
        <v>64</v>
      </c>
      <c r="C357" s="43">
        <v>4016042</v>
      </c>
      <c r="D357" s="56" t="s">
        <v>530</v>
      </c>
      <c r="E357" s="56" t="s">
        <v>535</v>
      </c>
      <c r="F357" s="45">
        <v>6499</v>
      </c>
      <c r="G357" s="45">
        <v>1699</v>
      </c>
      <c r="H357" s="45">
        <v>1599</v>
      </c>
      <c r="I357" s="45">
        <v>1599</v>
      </c>
      <c r="J357" s="45">
        <v>999</v>
      </c>
      <c r="K357" s="45">
        <v>999</v>
      </c>
      <c r="L357" s="45">
        <v>999</v>
      </c>
      <c r="M357" s="45">
        <v>999</v>
      </c>
      <c r="N357" s="45">
        <v>999</v>
      </c>
      <c r="O357" s="45">
        <v>999</v>
      </c>
      <c r="P357" s="46">
        <v>999</v>
      </c>
      <c r="Q357" s="46">
        <v>999</v>
      </c>
      <c r="R357" s="45">
        <v>999</v>
      </c>
      <c r="S357" s="45">
        <v>999</v>
      </c>
      <c r="T357" s="45">
        <v>999</v>
      </c>
      <c r="U357" s="45">
        <v>999</v>
      </c>
      <c r="V357" s="45">
        <v>999</v>
      </c>
      <c r="W357" s="45">
        <v>999</v>
      </c>
      <c r="X357" s="45">
        <v>999</v>
      </c>
      <c r="Y357" s="45">
        <v>999</v>
      </c>
      <c r="Z357" s="45">
        <v>999</v>
      </c>
      <c r="AA357" s="45">
        <v>999</v>
      </c>
      <c r="AB357" s="45"/>
      <c r="AC357" s="45"/>
      <c r="AD357" s="45"/>
      <c r="AE357" s="45"/>
      <c r="AF357" s="45"/>
      <c r="AG357" s="45"/>
      <c r="AH357" s="45"/>
      <c r="AI357" s="45"/>
      <c r="AJ357" s="45"/>
      <c r="AK357" s="45"/>
      <c r="AL357" s="45"/>
      <c r="AM357" s="45"/>
      <c r="AN357" s="45"/>
      <c r="AO357" s="45"/>
      <c r="AP357" s="45"/>
      <c r="AQ357" s="45"/>
      <c r="AR357" s="45"/>
      <c r="AS357" s="45"/>
      <c r="AT357" s="45"/>
      <c r="AU357" s="45"/>
      <c r="AV357" s="47"/>
      <c r="AW357" s="48" t="s">
        <v>67</v>
      </c>
      <c r="AX357" s="49" t="s">
        <v>68</v>
      </c>
      <c r="AY357" s="50">
        <f t="shared" si="35"/>
        <v>32.299799999999998</v>
      </c>
      <c r="AZ357" s="50">
        <f t="shared" si="36"/>
        <v>29.101800000000001</v>
      </c>
      <c r="BA357" s="51">
        <f t="shared" si="37"/>
        <v>16.4697</v>
      </c>
    </row>
    <row r="358" spans="1:53" ht="22.5" customHeight="1">
      <c r="A358" s="41" t="s">
        <v>63</v>
      </c>
      <c r="B358" s="42" t="s">
        <v>64</v>
      </c>
      <c r="C358" s="43">
        <v>4016076</v>
      </c>
      <c r="D358" s="56" t="s">
        <v>530</v>
      </c>
      <c r="E358" s="56" t="s">
        <v>536</v>
      </c>
      <c r="F358" s="45">
        <v>6499</v>
      </c>
      <c r="G358" s="45">
        <v>1699</v>
      </c>
      <c r="H358" s="45">
        <v>1599</v>
      </c>
      <c r="I358" s="45">
        <v>1599</v>
      </c>
      <c r="J358" s="45">
        <v>999</v>
      </c>
      <c r="K358" s="45">
        <v>999</v>
      </c>
      <c r="L358" s="45">
        <v>999</v>
      </c>
      <c r="M358" s="45">
        <v>999</v>
      </c>
      <c r="N358" s="45">
        <v>999</v>
      </c>
      <c r="O358" s="45">
        <v>999</v>
      </c>
      <c r="P358" s="46">
        <v>999</v>
      </c>
      <c r="Q358" s="46">
        <v>999</v>
      </c>
      <c r="R358" s="45">
        <v>999</v>
      </c>
      <c r="S358" s="45">
        <v>999</v>
      </c>
      <c r="T358" s="45">
        <v>999</v>
      </c>
      <c r="U358" s="45">
        <v>999</v>
      </c>
      <c r="V358" s="45">
        <v>999</v>
      </c>
      <c r="W358" s="45">
        <v>999</v>
      </c>
      <c r="X358" s="45">
        <v>999</v>
      </c>
      <c r="Y358" s="45">
        <v>999</v>
      </c>
      <c r="Z358" s="45">
        <v>999</v>
      </c>
      <c r="AA358" s="45">
        <v>999</v>
      </c>
      <c r="AB358" s="45"/>
      <c r="AC358" s="45"/>
      <c r="AD358" s="45"/>
      <c r="AE358" s="45"/>
      <c r="AF358" s="45"/>
      <c r="AG358" s="45"/>
      <c r="AH358" s="45"/>
      <c r="AI358" s="45"/>
      <c r="AJ358" s="45"/>
      <c r="AK358" s="45"/>
      <c r="AL358" s="45"/>
      <c r="AM358" s="45"/>
      <c r="AN358" s="45"/>
      <c r="AO358" s="45"/>
      <c r="AP358" s="45"/>
      <c r="AQ358" s="45"/>
      <c r="AR358" s="45"/>
      <c r="AS358" s="45"/>
      <c r="AT358" s="45"/>
      <c r="AU358" s="45"/>
      <c r="AV358" s="47"/>
      <c r="AW358" s="48" t="s">
        <v>67</v>
      </c>
      <c r="AX358" s="49" t="s">
        <v>68</v>
      </c>
      <c r="AY358" s="50">
        <f t="shared" si="35"/>
        <v>32.299799999999998</v>
      </c>
      <c r="AZ358" s="50">
        <f t="shared" si="36"/>
        <v>29.101800000000001</v>
      </c>
      <c r="BA358" s="51">
        <f t="shared" si="37"/>
        <v>16.4697</v>
      </c>
    </row>
    <row r="359" spans="1:53" ht="22.5" customHeight="1">
      <c r="A359" s="41" t="s">
        <v>63</v>
      </c>
      <c r="B359" s="42" t="s">
        <v>64</v>
      </c>
      <c r="C359" s="43">
        <v>4016040</v>
      </c>
      <c r="D359" s="56" t="s">
        <v>537</v>
      </c>
      <c r="E359" s="56" t="s">
        <v>538</v>
      </c>
      <c r="F359" s="45">
        <v>6999</v>
      </c>
      <c r="G359" s="45">
        <v>2899</v>
      </c>
      <c r="H359" s="45">
        <v>1999</v>
      </c>
      <c r="I359" s="45">
        <v>1999</v>
      </c>
      <c r="J359" s="45">
        <v>1499</v>
      </c>
      <c r="K359" s="45">
        <v>1499</v>
      </c>
      <c r="L359" s="45">
        <v>1499</v>
      </c>
      <c r="M359" s="45">
        <v>1499</v>
      </c>
      <c r="N359" s="45">
        <v>1499</v>
      </c>
      <c r="O359" s="45">
        <v>1499</v>
      </c>
      <c r="P359" s="46">
        <v>1499</v>
      </c>
      <c r="Q359" s="46">
        <v>1499</v>
      </c>
      <c r="R359" s="45">
        <v>1499</v>
      </c>
      <c r="S359" s="45">
        <v>1499</v>
      </c>
      <c r="T359" s="45">
        <v>1499</v>
      </c>
      <c r="U359" s="45">
        <v>1499</v>
      </c>
      <c r="V359" s="45">
        <v>1499</v>
      </c>
      <c r="W359" s="45">
        <v>1499</v>
      </c>
      <c r="X359" s="45">
        <v>1499</v>
      </c>
      <c r="Y359" s="45">
        <v>1499</v>
      </c>
      <c r="Z359" s="45">
        <v>1499</v>
      </c>
      <c r="AA359" s="45">
        <v>1499</v>
      </c>
      <c r="AB359" s="45"/>
      <c r="AC359" s="45"/>
      <c r="AD359" s="45"/>
      <c r="AE359" s="45"/>
      <c r="AF359" s="45"/>
      <c r="AG359" s="45"/>
      <c r="AH359" s="45"/>
      <c r="AI359" s="45"/>
      <c r="AJ359" s="45"/>
      <c r="AK359" s="45"/>
      <c r="AL359" s="45"/>
      <c r="AM359" s="45"/>
      <c r="AN359" s="45"/>
      <c r="AO359" s="45"/>
      <c r="AP359" s="45"/>
      <c r="AQ359" s="45"/>
      <c r="AR359" s="45"/>
      <c r="AS359" s="45"/>
      <c r="AT359" s="45"/>
      <c r="AU359" s="45"/>
      <c r="AV359" s="47"/>
      <c r="AW359" s="48" t="s">
        <v>67</v>
      </c>
      <c r="AX359" s="49" t="s">
        <v>68</v>
      </c>
      <c r="AY359" s="50">
        <f t="shared" si="35"/>
        <v>40.379799999999996</v>
      </c>
      <c r="AZ359" s="50">
        <f t="shared" si="36"/>
        <v>36.381799999999998</v>
      </c>
      <c r="BA359" s="51">
        <f t="shared" si="37"/>
        <v>20.589700000000001</v>
      </c>
    </row>
    <row r="360" spans="1:53" ht="22.5" customHeight="1">
      <c r="A360" s="41" t="s">
        <v>63</v>
      </c>
      <c r="B360" s="42" t="s">
        <v>64</v>
      </c>
      <c r="C360" s="43">
        <v>4015889</v>
      </c>
      <c r="D360" s="56" t="s">
        <v>537</v>
      </c>
      <c r="E360" s="56" t="s">
        <v>539</v>
      </c>
      <c r="F360" s="45">
        <v>6999</v>
      </c>
      <c r="G360" s="45">
        <v>2899</v>
      </c>
      <c r="H360" s="45">
        <v>1999</v>
      </c>
      <c r="I360" s="45">
        <v>1999</v>
      </c>
      <c r="J360" s="45">
        <v>1499</v>
      </c>
      <c r="K360" s="45">
        <v>1499</v>
      </c>
      <c r="L360" s="45">
        <v>1499</v>
      </c>
      <c r="M360" s="45">
        <v>1499</v>
      </c>
      <c r="N360" s="45">
        <v>1499</v>
      </c>
      <c r="O360" s="45">
        <v>1499</v>
      </c>
      <c r="P360" s="46">
        <v>1499</v>
      </c>
      <c r="Q360" s="46">
        <v>1499</v>
      </c>
      <c r="R360" s="45">
        <v>1499</v>
      </c>
      <c r="S360" s="45">
        <v>1499</v>
      </c>
      <c r="T360" s="45">
        <v>1499</v>
      </c>
      <c r="U360" s="45">
        <v>1499</v>
      </c>
      <c r="V360" s="45">
        <v>1499</v>
      </c>
      <c r="W360" s="45">
        <v>1499</v>
      </c>
      <c r="X360" s="45">
        <v>1499</v>
      </c>
      <c r="Y360" s="45">
        <v>1499</v>
      </c>
      <c r="Z360" s="45">
        <v>1499</v>
      </c>
      <c r="AA360" s="45">
        <v>1499</v>
      </c>
      <c r="AB360" s="45"/>
      <c r="AC360" s="45"/>
      <c r="AD360" s="45"/>
      <c r="AE360" s="45"/>
      <c r="AF360" s="45"/>
      <c r="AG360" s="45"/>
      <c r="AH360" s="45"/>
      <c r="AI360" s="45"/>
      <c r="AJ360" s="45"/>
      <c r="AK360" s="45"/>
      <c r="AL360" s="45"/>
      <c r="AM360" s="45"/>
      <c r="AN360" s="45"/>
      <c r="AO360" s="45"/>
      <c r="AP360" s="45"/>
      <c r="AQ360" s="45"/>
      <c r="AR360" s="45"/>
      <c r="AS360" s="45"/>
      <c r="AT360" s="45"/>
      <c r="AU360" s="45"/>
      <c r="AV360" s="47"/>
      <c r="AW360" s="48" t="s">
        <v>67</v>
      </c>
      <c r="AX360" s="49" t="s">
        <v>68</v>
      </c>
      <c r="AY360" s="50">
        <f t="shared" si="35"/>
        <v>40.379799999999996</v>
      </c>
      <c r="AZ360" s="50">
        <f t="shared" si="36"/>
        <v>36.381799999999998</v>
      </c>
      <c r="BA360" s="51">
        <f t="shared" si="37"/>
        <v>20.589700000000001</v>
      </c>
    </row>
    <row r="361" spans="1:53" ht="22.5" customHeight="1">
      <c r="A361" s="41" t="s">
        <v>63</v>
      </c>
      <c r="B361" s="42" t="s">
        <v>64</v>
      </c>
      <c r="C361" s="43">
        <v>4016049</v>
      </c>
      <c r="D361" s="56" t="s">
        <v>537</v>
      </c>
      <c r="E361" s="56" t="s">
        <v>540</v>
      </c>
      <c r="F361" s="45">
        <v>6999</v>
      </c>
      <c r="G361" s="45">
        <v>2899</v>
      </c>
      <c r="H361" s="45">
        <v>1999</v>
      </c>
      <c r="I361" s="45">
        <v>1999</v>
      </c>
      <c r="J361" s="45">
        <v>1499</v>
      </c>
      <c r="K361" s="45">
        <v>1499</v>
      </c>
      <c r="L361" s="45">
        <v>1499</v>
      </c>
      <c r="M361" s="45">
        <v>1499</v>
      </c>
      <c r="N361" s="45">
        <v>1499</v>
      </c>
      <c r="O361" s="45">
        <v>1499</v>
      </c>
      <c r="P361" s="46">
        <v>1499</v>
      </c>
      <c r="Q361" s="46">
        <v>1499</v>
      </c>
      <c r="R361" s="45">
        <v>1499</v>
      </c>
      <c r="S361" s="45">
        <v>1499</v>
      </c>
      <c r="T361" s="45">
        <v>1499</v>
      </c>
      <c r="U361" s="45">
        <v>1499</v>
      </c>
      <c r="V361" s="45">
        <v>1499</v>
      </c>
      <c r="W361" s="45">
        <v>1499</v>
      </c>
      <c r="X361" s="45">
        <v>1499</v>
      </c>
      <c r="Y361" s="45">
        <v>1499</v>
      </c>
      <c r="Z361" s="45">
        <v>1499</v>
      </c>
      <c r="AA361" s="45">
        <v>1499</v>
      </c>
      <c r="AB361" s="45"/>
      <c r="AC361" s="45"/>
      <c r="AD361" s="45"/>
      <c r="AE361" s="45"/>
      <c r="AF361" s="45"/>
      <c r="AG361" s="45"/>
      <c r="AH361" s="45"/>
      <c r="AI361" s="45"/>
      <c r="AJ361" s="45"/>
      <c r="AK361" s="45"/>
      <c r="AL361" s="45"/>
      <c r="AM361" s="45"/>
      <c r="AN361" s="45"/>
      <c r="AO361" s="45"/>
      <c r="AP361" s="45"/>
      <c r="AQ361" s="45"/>
      <c r="AR361" s="45"/>
      <c r="AS361" s="45"/>
      <c r="AT361" s="45"/>
      <c r="AU361" s="45"/>
      <c r="AV361" s="47"/>
      <c r="AW361" s="48" t="s">
        <v>67</v>
      </c>
      <c r="AX361" s="49" t="s">
        <v>68</v>
      </c>
      <c r="AY361" s="50">
        <f t="shared" si="35"/>
        <v>40.379799999999996</v>
      </c>
      <c r="AZ361" s="50">
        <f t="shared" si="36"/>
        <v>36.381799999999998</v>
      </c>
      <c r="BA361" s="51">
        <f t="shared" si="37"/>
        <v>20.589700000000001</v>
      </c>
    </row>
    <row r="362" spans="1:53" ht="22.5" customHeight="1">
      <c r="A362" s="41" t="s">
        <v>63</v>
      </c>
      <c r="B362" s="42" t="s">
        <v>64</v>
      </c>
      <c r="C362" s="43">
        <v>4016072</v>
      </c>
      <c r="D362" s="56" t="s">
        <v>537</v>
      </c>
      <c r="E362" s="56" t="s">
        <v>541</v>
      </c>
      <c r="F362" s="45">
        <v>6999</v>
      </c>
      <c r="G362" s="45">
        <v>2899</v>
      </c>
      <c r="H362" s="45">
        <v>1999</v>
      </c>
      <c r="I362" s="45">
        <v>1999</v>
      </c>
      <c r="J362" s="45">
        <v>1499</v>
      </c>
      <c r="K362" s="45">
        <v>1499</v>
      </c>
      <c r="L362" s="45">
        <v>1499</v>
      </c>
      <c r="M362" s="45">
        <v>1499</v>
      </c>
      <c r="N362" s="45">
        <v>1499</v>
      </c>
      <c r="O362" s="45">
        <v>1499</v>
      </c>
      <c r="P362" s="46">
        <v>1499</v>
      </c>
      <c r="Q362" s="46">
        <v>1499</v>
      </c>
      <c r="R362" s="45">
        <v>1499</v>
      </c>
      <c r="S362" s="45">
        <v>1499</v>
      </c>
      <c r="T362" s="45">
        <v>1499</v>
      </c>
      <c r="U362" s="45">
        <v>1499</v>
      </c>
      <c r="V362" s="45">
        <v>1499</v>
      </c>
      <c r="W362" s="45">
        <v>1499</v>
      </c>
      <c r="X362" s="45">
        <v>1499</v>
      </c>
      <c r="Y362" s="45">
        <v>1499</v>
      </c>
      <c r="Z362" s="45">
        <v>1499</v>
      </c>
      <c r="AA362" s="45">
        <v>1499</v>
      </c>
      <c r="AB362" s="45"/>
      <c r="AC362" s="45"/>
      <c r="AD362" s="45"/>
      <c r="AE362" s="45"/>
      <c r="AF362" s="45"/>
      <c r="AG362" s="45"/>
      <c r="AH362" s="45"/>
      <c r="AI362" s="45"/>
      <c r="AJ362" s="45"/>
      <c r="AK362" s="45"/>
      <c r="AL362" s="45"/>
      <c r="AM362" s="45"/>
      <c r="AN362" s="45"/>
      <c r="AO362" s="45"/>
      <c r="AP362" s="45"/>
      <c r="AQ362" s="45"/>
      <c r="AR362" s="45"/>
      <c r="AS362" s="45"/>
      <c r="AT362" s="45"/>
      <c r="AU362" s="45"/>
      <c r="AV362" s="47"/>
      <c r="AW362" s="48" t="s">
        <v>67</v>
      </c>
      <c r="AX362" s="49" t="s">
        <v>68</v>
      </c>
      <c r="AY362" s="50">
        <f t="shared" si="35"/>
        <v>40.379799999999996</v>
      </c>
      <c r="AZ362" s="50">
        <f t="shared" si="36"/>
        <v>36.381799999999998</v>
      </c>
      <c r="BA362" s="51">
        <f t="shared" si="37"/>
        <v>20.589700000000001</v>
      </c>
    </row>
    <row r="363" spans="1:53" ht="22.5" customHeight="1">
      <c r="A363" s="41" t="s">
        <v>63</v>
      </c>
      <c r="B363" s="42" t="s">
        <v>64</v>
      </c>
      <c r="C363" s="43">
        <v>4016064</v>
      </c>
      <c r="D363" s="56" t="s">
        <v>537</v>
      </c>
      <c r="E363" s="56" t="s">
        <v>542</v>
      </c>
      <c r="F363" s="45">
        <v>6999</v>
      </c>
      <c r="G363" s="45">
        <v>2899</v>
      </c>
      <c r="H363" s="45">
        <v>1999</v>
      </c>
      <c r="I363" s="45">
        <v>1999</v>
      </c>
      <c r="J363" s="45">
        <v>1499</v>
      </c>
      <c r="K363" s="45">
        <v>1499</v>
      </c>
      <c r="L363" s="45">
        <v>1499</v>
      </c>
      <c r="M363" s="45">
        <v>1499</v>
      </c>
      <c r="N363" s="45">
        <v>1499</v>
      </c>
      <c r="O363" s="45">
        <v>1499</v>
      </c>
      <c r="P363" s="46">
        <v>1499</v>
      </c>
      <c r="Q363" s="46">
        <v>1499</v>
      </c>
      <c r="R363" s="45">
        <v>1499</v>
      </c>
      <c r="S363" s="45">
        <v>1499</v>
      </c>
      <c r="T363" s="45">
        <v>1499</v>
      </c>
      <c r="U363" s="45">
        <v>1499</v>
      </c>
      <c r="V363" s="45">
        <v>1499</v>
      </c>
      <c r="W363" s="45">
        <v>1499</v>
      </c>
      <c r="X363" s="45">
        <v>1499</v>
      </c>
      <c r="Y363" s="45">
        <v>1499</v>
      </c>
      <c r="Z363" s="45">
        <v>1499</v>
      </c>
      <c r="AA363" s="45">
        <v>1499</v>
      </c>
      <c r="AB363" s="45"/>
      <c r="AC363" s="45"/>
      <c r="AD363" s="45"/>
      <c r="AE363" s="45"/>
      <c r="AF363" s="45"/>
      <c r="AG363" s="45"/>
      <c r="AH363" s="45"/>
      <c r="AI363" s="45"/>
      <c r="AJ363" s="45"/>
      <c r="AK363" s="45"/>
      <c r="AL363" s="45"/>
      <c r="AM363" s="45"/>
      <c r="AN363" s="45"/>
      <c r="AO363" s="45"/>
      <c r="AP363" s="45"/>
      <c r="AQ363" s="45"/>
      <c r="AR363" s="45"/>
      <c r="AS363" s="45"/>
      <c r="AT363" s="45"/>
      <c r="AU363" s="45"/>
      <c r="AV363" s="47"/>
      <c r="AW363" s="48" t="s">
        <v>67</v>
      </c>
      <c r="AX363" s="49" t="s">
        <v>68</v>
      </c>
      <c r="AY363" s="50">
        <f t="shared" si="35"/>
        <v>40.379799999999996</v>
      </c>
      <c r="AZ363" s="50">
        <f t="shared" si="36"/>
        <v>36.381799999999998</v>
      </c>
      <c r="BA363" s="51">
        <f t="shared" si="37"/>
        <v>20.589700000000001</v>
      </c>
    </row>
    <row r="364" spans="1:53" ht="22.5" customHeight="1">
      <c r="A364" s="41" t="s">
        <v>63</v>
      </c>
      <c r="B364" s="42" t="s">
        <v>64</v>
      </c>
      <c r="C364" s="43">
        <v>4016033</v>
      </c>
      <c r="D364" s="56" t="s">
        <v>537</v>
      </c>
      <c r="E364" s="56" t="s">
        <v>543</v>
      </c>
      <c r="F364" s="45">
        <v>6999</v>
      </c>
      <c r="G364" s="45">
        <v>2899</v>
      </c>
      <c r="H364" s="45">
        <v>1999</v>
      </c>
      <c r="I364" s="45">
        <v>1999</v>
      </c>
      <c r="J364" s="45">
        <v>1499</v>
      </c>
      <c r="K364" s="45">
        <v>1499</v>
      </c>
      <c r="L364" s="45">
        <v>1499</v>
      </c>
      <c r="M364" s="45">
        <v>1499</v>
      </c>
      <c r="N364" s="45">
        <v>1499</v>
      </c>
      <c r="O364" s="45">
        <v>1499</v>
      </c>
      <c r="P364" s="46">
        <v>1499</v>
      </c>
      <c r="Q364" s="46">
        <v>1499</v>
      </c>
      <c r="R364" s="45">
        <v>1499</v>
      </c>
      <c r="S364" s="45">
        <v>1499</v>
      </c>
      <c r="T364" s="45">
        <v>1499</v>
      </c>
      <c r="U364" s="45">
        <v>1499</v>
      </c>
      <c r="V364" s="45">
        <v>1499</v>
      </c>
      <c r="W364" s="45">
        <v>1499</v>
      </c>
      <c r="X364" s="45">
        <v>1499</v>
      </c>
      <c r="Y364" s="45">
        <v>1499</v>
      </c>
      <c r="Z364" s="45">
        <v>1499</v>
      </c>
      <c r="AA364" s="45">
        <v>1499</v>
      </c>
      <c r="AB364" s="45"/>
      <c r="AC364" s="45"/>
      <c r="AD364" s="45"/>
      <c r="AE364" s="45"/>
      <c r="AF364" s="45"/>
      <c r="AG364" s="45"/>
      <c r="AH364" s="45"/>
      <c r="AI364" s="45"/>
      <c r="AJ364" s="45"/>
      <c r="AK364" s="45"/>
      <c r="AL364" s="45"/>
      <c r="AM364" s="45"/>
      <c r="AN364" s="45"/>
      <c r="AO364" s="45"/>
      <c r="AP364" s="45"/>
      <c r="AQ364" s="45"/>
      <c r="AR364" s="45"/>
      <c r="AS364" s="45"/>
      <c r="AT364" s="45"/>
      <c r="AU364" s="45"/>
      <c r="AV364" s="47"/>
      <c r="AW364" s="48" t="s">
        <v>67</v>
      </c>
      <c r="AX364" s="49" t="s">
        <v>68</v>
      </c>
      <c r="AY364" s="50">
        <f t="shared" si="35"/>
        <v>40.379799999999996</v>
      </c>
      <c r="AZ364" s="50">
        <f t="shared" si="36"/>
        <v>36.381799999999998</v>
      </c>
      <c r="BA364" s="51">
        <f t="shared" si="37"/>
        <v>20.589700000000001</v>
      </c>
    </row>
    <row r="365" spans="1:53" ht="22.5" customHeight="1">
      <c r="A365" s="41" t="s">
        <v>63</v>
      </c>
      <c r="B365" s="42" t="s">
        <v>64</v>
      </c>
      <c r="C365" s="43">
        <v>4016026</v>
      </c>
      <c r="D365" s="56" t="s">
        <v>537</v>
      </c>
      <c r="E365" s="56" t="s">
        <v>544</v>
      </c>
      <c r="F365" s="45">
        <v>6999</v>
      </c>
      <c r="G365" s="45">
        <v>2899</v>
      </c>
      <c r="H365" s="45">
        <v>1999</v>
      </c>
      <c r="I365" s="45">
        <v>1999</v>
      </c>
      <c r="J365" s="45">
        <v>1499</v>
      </c>
      <c r="K365" s="45">
        <v>1499</v>
      </c>
      <c r="L365" s="45">
        <v>1499</v>
      </c>
      <c r="M365" s="45">
        <v>1499</v>
      </c>
      <c r="N365" s="45">
        <v>1499</v>
      </c>
      <c r="O365" s="45">
        <v>1499</v>
      </c>
      <c r="P365" s="46">
        <v>1499</v>
      </c>
      <c r="Q365" s="46">
        <v>1499</v>
      </c>
      <c r="R365" s="45">
        <v>1499</v>
      </c>
      <c r="S365" s="45">
        <v>1499</v>
      </c>
      <c r="T365" s="45">
        <v>1499</v>
      </c>
      <c r="U365" s="45">
        <v>1499</v>
      </c>
      <c r="V365" s="45">
        <v>1499</v>
      </c>
      <c r="W365" s="45">
        <v>1499</v>
      </c>
      <c r="X365" s="45">
        <v>1499</v>
      </c>
      <c r="Y365" s="45">
        <v>1499</v>
      </c>
      <c r="Z365" s="45">
        <v>1499</v>
      </c>
      <c r="AA365" s="45">
        <v>1499</v>
      </c>
      <c r="AB365" s="45"/>
      <c r="AC365" s="45"/>
      <c r="AD365" s="45"/>
      <c r="AE365" s="45"/>
      <c r="AF365" s="45"/>
      <c r="AG365" s="45"/>
      <c r="AH365" s="45"/>
      <c r="AI365" s="45"/>
      <c r="AJ365" s="45"/>
      <c r="AK365" s="45"/>
      <c r="AL365" s="45"/>
      <c r="AM365" s="45"/>
      <c r="AN365" s="45"/>
      <c r="AO365" s="45"/>
      <c r="AP365" s="45"/>
      <c r="AQ365" s="45"/>
      <c r="AR365" s="45"/>
      <c r="AS365" s="45"/>
      <c r="AT365" s="45"/>
      <c r="AU365" s="45"/>
      <c r="AV365" s="47"/>
      <c r="AW365" s="48" t="s">
        <v>67</v>
      </c>
      <c r="AX365" s="49" t="s">
        <v>68</v>
      </c>
      <c r="AY365" s="50">
        <f t="shared" si="35"/>
        <v>40.379799999999996</v>
      </c>
      <c r="AZ365" s="50">
        <f t="shared" si="36"/>
        <v>36.381799999999998</v>
      </c>
      <c r="BA365" s="51">
        <f t="shared" si="37"/>
        <v>20.589700000000001</v>
      </c>
    </row>
    <row r="366" spans="1:53" ht="22.5" customHeight="1">
      <c r="A366" s="41" t="s">
        <v>63</v>
      </c>
      <c r="B366" s="42" t="s">
        <v>64</v>
      </c>
      <c r="C366" s="43">
        <v>4016056</v>
      </c>
      <c r="D366" s="56" t="s">
        <v>537</v>
      </c>
      <c r="E366" s="56" t="s">
        <v>545</v>
      </c>
      <c r="F366" s="45">
        <v>6999</v>
      </c>
      <c r="G366" s="45">
        <v>2899</v>
      </c>
      <c r="H366" s="45">
        <v>1999</v>
      </c>
      <c r="I366" s="45">
        <v>1999</v>
      </c>
      <c r="J366" s="45">
        <v>1499</v>
      </c>
      <c r="K366" s="45">
        <v>1499</v>
      </c>
      <c r="L366" s="45">
        <v>1499</v>
      </c>
      <c r="M366" s="45">
        <v>1499</v>
      </c>
      <c r="N366" s="45">
        <v>1499</v>
      </c>
      <c r="O366" s="45">
        <v>1499</v>
      </c>
      <c r="P366" s="46">
        <v>1499</v>
      </c>
      <c r="Q366" s="46">
        <v>1499</v>
      </c>
      <c r="R366" s="45">
        <v>1499</v>
      </c>
      <c r="S366" s="45">
        <v>1499</v>
      </c>
      <c r="T366" s="45">
        <v>1499</v>
      </c>
      <c r="U366" s="45">
        <v>1499</v>
      </c>
      <c r="V366" s="45">
        <v>1499</v>
      </c>
      <c r="W366" s="45">
        <v>1499</v>
      </c>
      <c r="X366" s="45">
        <v>1499</v>
      </c>
      <c r="Y366" s="45">
        <v>1499</v>
      </c>
      <c r="Z366" s="45">
        <v>1499</v>
      </c>
      <c r="AA366" s="45">
        <v>1499</v>
      </c>
      <c r="AB366" s="45"/>
      <c r="AC366" s="45"/>
      <c r="AD366" s="45"/>
      <c r="AE366" s="45"/>
      <c r="AF366" s="45"/>
      <c r="AG366" s="45"/>
      <c r="AH366" s="45"/>
      <c r="AI366" s="45"/>
      <c r="AJ366" s="45"/>
      <c r="AK366" s="45"/>
      <c r="AL366" s="45"/>
      <c r="AM366" s="45"/>
      <c r="AN366" s="45"/>
      <c r="AO366" s="45"/>
      <c r="AP366" s="45"/>
      <c r="AQ366" s="45"/>
      <c r="AR366" s="45"/>
      <c r="AS366" s="45"/>
      <c r="AT366" s="45"/>
      <c r="AU366" s="45"/>
      <c r="AV366" s="47"/>
      <c r="AW366" s="48" t="s">
        <v>67</v>
      </c>
      <c r="AX366" s="49" t="s">
        <v>68</v>
      </c>
      <c r="AY366" s="50">
        <f t="shared" si="35"/>
        <v>40.379799999999996</v>
      </c>
      <c r="AZ366" s="50">
        <f t="shared" si="36"/>
        <v>36.381799999999998</v>
      </c>
      <c r="BA366" s="51">
        <f t="shared" si="37"/>
        <v>20.589700000000001</v>
      </c>
    </row>
    <row r="367" spans="1:53" ht="22.5" customHeight="1">
      <c r="A367" s="41" t="s">
        <v>63</v>
      </c>
      <c r="B367" s="42" t="s">
        <v>64</v>
      </c>
      <c r="C367" s="43">
        <v>4016036</v>
      </c>
      <c r="D367" s="56" t="s">
        <v>546</v>
      </c>
      <c r="E367" s="56" t="s">
        <v>547</v>
      </c>
      <c r="F367" s="45">
        <v>7999</v>
      </c>
      <c r="G367" s="45">
        <v>4499</v>
      </c>
      <c r="H367" s="45">
        <v>1999</v>
      </c>
      <c r="I367" s="45">
        <v>1999</v>
      </c>
      <c r="J367" s="45">
        <v>1499</v>
      </c>
      <c r="K367" s="45">
        <v>1499</v>
      </c>
      <c r="L367" s="45">
        <v>1499</v>
      </c>
      <c r="M367" s="45">
        <v>1499</v>
      </c>
      <c r="N367" s="45">
        <v>1499</v>
      </c>
      <c r="O367" s="45">
        <v>1499</v>
      </c>
      <c r="P367" s="46">
        <v>1499</v>
      </c>
      <c r="Q367" s="46">
        <v>1499</v>
      </c>
      <c r="R367" s="45">
        <v>1499</v>
      </c>
      <c r="S367" s="45">
        <v>1499</v>
      </c>
      <c r="T367" s="45">
        <v>1499</v>
      </c>
      <c r="U367" s="45">
        <v>1499</v>
      </c>
      <c r="V367" s="45">
        <v>1499</v>
      </c>
      <c r="W367" s="45">
        <v>1499</v>
      </c>
      <c r="X367" s="45">
        <v>1499</v>
      </c>
      <c r="Y367" s="45">
        <v>1499</v>
      </c>
      <c r="Z367" s="45">
        <v>1499</v>
      </c>
      <c r="AA367" s="45">
        <v>1499</v>
      </c>
      <c r="AB367" s="45"/>
      <c r="AC367" s="45"/>
      <c r="AD367" s="45"/>
      <c r="AE367" s="45"/>
      <c r="AF367" s="45"/>
      <c r="AG367" s="45"/>
      <c r="AH367" s="45"/>
      <c r="AI367" s="45"/>
      <c r="AJ367" s="45"/>
      <c r="AK367" s="45"/>
      <c r="AL367" s="45"/>
      <c r="AM367" s="45"/>
      <c r="AN367" s="45"/>
      <c r="AO367" s="45"/>
      <c r="AP367" s="45"/>
      <c r="AQ367" s="45"/>
      <c r="AR367" s="45"/>
      <c r="AS367" s="45"/>
      <c r="AT367" s="45"/>
      <c r="AU367" s="45"/>
      <c r="AV367" s="47"/>
      <c r="AW367" s="48" t="s">
        <v>67</v>
      </c>
      <c r="AX367" s="49" t="s">
        <v>68</v>
      </c>
      <c r="AY367" s="50">
        <f t="shared" si="35"/>
        <v>40.379799999999996</v>
      </c>
      <c r="AZ367" s="50">
        <f t="shared" si="36"/>
        <v>36.381799999999998</v>
      </c>
      <c r="BA367" s="51">
        <f t="shared" si="37"/>
        <v>20.589700000000001</v>
      </c>
    </row>
    <row r="368" spans="1:53" ht="22.5" customHeight="1">
      <c r="A368" s="41" t="s">
        <v>63</v>
      </c>
      <c r="B368" s="42" t="s">
        <v>64</v>
      </c>
      <c r="C368" s="43">
        <v>4016068</v>
      </c>
      <c r="D368" s="56" t="s">
        <v>546</v>
      </c>
      <c r="E368" s="56" t="s">
        <v>548</v>
      </c>
      <c r="F368" s="45">
        <v>7999</v>
      </c>
      <c r="G368" s="45">
        <v>4499</v>
      </c>
      <c r="H368" s="45">
        <v>1999</v>
      </c>
      <c r="I368" s="45">
        <v>1999</v>
      </c>
      <c r="J368" s="45">
        <v>1499</v>
      </c>
      <c r="K368" s="45">
        <v>1499</v>
      </c>
      <c r="L368" s="45">
        <v>1499</v>
      </c>
      <c r="M368" s="45">
        <v>1499</v>
      </c>
      <c r="N368" s="45">
        <v>1499</v>
      </c>
      <c r="O368" s="45">
        <v>1499</v>
      </c>
      <c r="P368" s="46">
        <v>1499</v>
      </c>
      <c r="Q368" s="46">
        <v>1499</v>
      </c>
      <c r="R368" s="45">
        <v>1499</v>
      </c>
      <c r="S368" s="45">
        <v>1499</v>
      </c>
      <c r="T368" s="45">
        <v>1499</v>
      </c>
      <c r="U368" s="45">
        <v>1499</v>
      </c>
      <c r="V368" s="45">
        <v>1499</v>
      </c>
      <c r="W368" s="45">
        <v>1499</v>
      </c>
      <c r="X368" s="45">
        <v>1499</v>
      </c>
      <c r="Y368" s="45">
        <v>1499</v>
      </c>
      <c r="Z368" s="45">
        <v>1499</v>
      </c>
      <c r="AA368" s="45">
        <v>1499</v>
      </c>
      <c r="AB368" s="45"/>
      <c r="AC368" s="45"/>
      <c r="AD368" s="45"/>
      <c r="AE368" s="45"/>
      <c r="AF368" s="45"/>
      <c r="AG368" s="45"/>
      <c r="AH368" s="45"/>
      <c r="AI368" s="45"/>
      <c r="AJ368" s="45"/>
      <c r="AK368" s="45"/>
      <c r="AL368" s="45"/>
      <c r="AM368" s="45"/>
      <c r="AN368" s="45"/>
      <c r="AO368" s="45"/>
      <c r="AP368" s="45"/>
      <c r="AQ368" s="45"/>
      <c r="AR368" s="45"/>
      <c r="AS368" s="45"/>
      <c r="AT368" s="45"/>
      <c r="AU368" s="45"/>
      <c r="AV368" s="47"/>
      <c r="AW368" s="48" t="s">
        <v>67</v>
      </c>
      <c r="AX368" s="49" t="s">
        <v>68</v>
      </c>
      <c r="AY368" s="50">
        <f t="shared" si="35"/>
        <v>40.379799999999996</v>
      </c>
      <c r="AZ368" s="50">
        <f t="shared" si="36"/>
        <v>36.381799999999998</v>
      </c>
      <c r="BA368" s="51">
        <f t="shared" si="37"/>
        <v>20.589700000000001</v>
      </c>
    </row>
    <row r="369" spans="1:53" ht="22.5" customHeight="1">
      <c r="A369" s="41" t="s">
        <v>63</v>
      </c>
      <c r="B369" s="42" t="s">
        <v>64</v>
      </c>
      <c r="C369" s="43">
        <v>4015888</v>
      </c>
      <c r="D369" s="56" t="s">
        <v>546</v>
      </c>
      <c r="E369" s="56" t="s">
        <v>549</v>
      </c>
      <c r="F369" s="45">
        <v>7999</v>
      </c>
      <c r="G369" s="45">
        <v>4499</v>
      </c>
      <c r="H369" s="45">
        <v>1999</v>
      </c>
      <c r="I369" s="45">
        <v>1999</v>
      </c>
      <c r="J369" s="45">
        <v>1499</v>
      </c>
      <c r="K369" s="45">
        <v>1499</v>
      </c>
      <c r="L369" s="45">
        <v>1499</v>
      </c>
      <c r="M369" s="45">
        <v>1499</v>
      </c>
      <c r="N369" s="45">
        <v>1499</v>
      </c>
      <c r="O369" s="45">
        <v>1499</v>
      </c>
      <c r="P369" s="46">
        <v>1499</v>
      </c>
      <c r="Q369" s="46">
        <v>1499</v>
      </c>
      <c r="R369" s="45">
        <v>1499</v>
      </c>
      <c r="S369" s="45">
        <v>1499</v>
      </c>
      <c r="T369" s="45">
        <v>1499</v>
      </c>
      <c r="U369" s="45">
        <v>1499</v>
      </c>
      <c r="V369" s="45">
        <v>1499</v>
      </c>
      <c r="W369" s="45">
        <v>1499</v>
      </c>
      <c r="X369" s="45">
        <v>1499</v>
      </c>
      <c r="Y369" s="45">
        <v>1499</v>
      </c>
      <c r="Z369" s="45">
        <v>1499</v>
      </c>
      <c r="AA369" s="45">
        <v>1499</v>
      </c>
      <c r="AB369" s="45"/>
      <c r="AC369" s="45"/>
      <c r="AD369" s="45"/>
      <c r="AE369" s="45"/>
      <c r="AF369" s="45"/>
      <c r="AG369" s="45"/>
      <c r="AH369" s="45"/>
      <c r="AI369" s="45"/>
      <c r="AJ369" s="45"/>
      <c r="AK369" s="45"/>
      <c r="AL369" s="45"/>
      <c r="AM369" s="45"/>
      <c r="AN369" s="45"/>
      <c r="AO369" s="45"/>
      <c r="AP369" s="45"/>
      <c r="AQ369" s="45"/>
      <c r="AR369" s="45"/>
      <c r="AS369" s="45"/>
      <c r="AT369" s="45"/>
      <c r="AU369" s="45"/>
      <c r="AV369" s="47"/>
      <c r="AW369" s="48" t="s">
        <v>67</v>
      </c>
      <c r="AX369" s="49" t="s">
        <v>68</v>
      </c>
      <c r="AY369" s="50">
        <f t="shared" si="35"/>
        <v>40.379799999999996</v>
      </c>
      <c r="AZ369" s="50">
        <f t="shared" si="36"/>
        <v>36.381799999999998</v>
      </c>
      <c r="BA369" s="51">
        <f t="shared" si="37"/>
        <v>20.589700000000001</v>
      </c>
    </row>
    <row r="370" spans="1:53" ht="22.5" customHeight="1">
      <c r="A370" s="41" t="s">
        <v>63</v>
      </c>
      <c r="B370" s="42" t="s">
        <v>64</v>
      </c>
      <c r="C370" s="43">
        <v>4016044</v>
      </c>
      <c r="D370" s="56" t="s">
        <v>546</v>
      </c>
      <c r="E370" s="56" t="s">
        <v>550</v>
      </c>
      <c r="F370" s="45">
        <v>7999</v>
      </c>
      <c r="G370" s="45">
        <v>4499</v>
      </c>
      <c r="H370" s="45">
        <v>1999</v>
      </c>
      <c r="I370" s="45">
        <v>1999</v>
      </c>
      <c r="J370" s="45">
        <v>1499</v>
      </c>
      <c r="K370" s="45">
        <v>1499</v>
      </c>
      <c r="L370" s="45">
        <v>1499</v>
      </c>
      <c r="M370" s="45">
        <v>1499</v>
      </c>
      <c r="N370" s="45">
        <v>1499</v>
      </c>
      <c r="O370" s="45">
        <v>1499</v>
      </c>
      <c r="P370" s="46">
        <v>1499</v>
      </c>
      <c r="Q370" s="46">
        <v>1499</v>
      </c>
      <c r="R370" s="45">
        <v>1499</v>
      </c>
      <c r="S370" s="45">
        <v>1499</v>
      </c>
      <c r="T370" s="45">
        <v>1499</v>
      </c>
      <c r="U370" s="45">
        <v>1499</v>
      </c>
      <c r="V370" s="45">
        <v>1499</v>
      </c>
      <c r="W370" s="45">
        <v>1499</v>
      </c>
      <c r="X370" s="45">
        <v>1499</v>
      </c>
      <c r="Y370" s="45">
        <v>1499</v>
      </c>
      <c r="Z370" s="45">
        <v>1499</v>
      </c>
      <c r="AA370" s="45">
        <v>1499</v>
      </c>
      <c r="AB370" s="45"/>
      <c r="AC370" s="45"/>
      <c r="AD370" s="45"/>
      <c r="AE370" s="45"/>
      <c r="AF370" s="45"/>
      <c r="AG370" s="45"/>
      <c r="AH370" s="45"/>
      <c r="AI370" s="45"/>
      <c r="AJ370" s="45"/>
      <c r="AK370" s="45"/>
      <c r="AL370" s="45"/>
      <c r="AM370" s="45"/>
      <c r="AN370" s="45"/>
      <c r="AO370" s="45"/>
      <c r="AP370" s="45"/>
      <c r="AQ370" s="45"/>
      <c r="AR370" s="45"/>
      <c r="AS370" s="45"/>
      <c r="AT370" s="45"/>
      <c r="AU370" s="45"/>
      <c r="AV370" s="47"/>
      <c r="AW370" s="48" t="s">
        <v>67</v>
      </c>
      <c r="AX370" s="49" t="s">
        <v>68</v>
      </c>
      <c r="AY370" s="50">
        <f t="shared" si="35"/>
        <v>40.379799999999996</v>
      </c>
      <c r="AZ370" s="50">
        <f t="shared" si="36"/>
        <v>36.381799999999998</v>
      </c>
      <c r="BA370" s="51">
        <f t="shared" si="37"/>
        <v>20.589700000000001</v>
      </c>
    </row>
    <row r="371" spans="1:53" ht="22.5" customHeight="1">
      <c r="A371" s="41" t="s">
        <v>63</v>
      </c>
      <c r="B371" s="42" t="s">
        <v>64</v>
      </c>
      <c r="C371" s="43">
        <v>4016074</v>
      </c>
      <c r="D371" s="56" t="s">
        <v>546</v>
      </c>
      <c r="E371" s="56" t="s">
        <v>551</v>
      </c>
      <c r="F371" s="45">
        <v>7999</v>
      </c>
      <c r="G371" s="45">
        <v>4499</v>
      </c>
      <c r="H371" s="45">
        <v>1999</v>
      </c>
      <c r="I371" s="45">
        <v>1999</v>
      </c>
      <c r="J371" s="45">
        <v>1499</v>
      </c>
      <c r="K371" s="45">
        <v>1499</v>
      </c>
      <c r="L371" s="45">
        <v>1499</v>
      </c>
      <c r="M371" s="45">
        <v>1499</v>
      </c>
      <c r="N371" s="45">
        <v>1499</v>
      </c>
      <c r="O371" s="45">
        <v>1499</v>
      </c>
      <c r="P371" s="46">
        <v>1499</v>
      </c>
      <c r="Q371" s="46">
        <v>1499</v>
      </c>
      <c r="R371" s="45">
        <v>1499</v>
      </c>
      <c r="S371" s="45">
        <v>1499</v>
      </c>
      <c r="T371" s="45">
        <v>1499</v>
      </c>
      <c r="U371" s="45">
        <v>1499</v>
      </c>
      <c r="V371" s="45">
        <v>1499</v>
      </c>
      <c r="W371" s="45">
        <v>1499</v>
      </c>
      <c r="X371" s="45">
        <v>1499</v>
      </c>
      <c r="Y371" s="45">
        <v>1499</v>
      </c>
      <c r="Z371" s="45">
        <v>1499</v>
      </c>
      <c r="AA371" s="45">
        <v>1499</v>
      </c>
      <c r="AB371" s="45"/>
      <c r="AC371" s="45"/>
      <c r="AD371" s="45"/>
      <c r="AE371" s="45"/>
      <c r="AF371" s="45"/>
      <c r="AG371" s="45"/>
      <c r="AH371" s="45"/>
      <c r="AI371" s="45"/>
      <c r="AJ371" s="45"/>
      <c r="AK371" s="45"/>
      <c r="AL371" s="45"/>
      <c r="AM371" s="45"/>
      <c r="AN371" s="45"/>
      <c r="AO371" s="45"/>
      <c r="AP371" s="45"/>
      <c r="AQ371" s="45"/>
      <c r="AR371" s="45"/>
      <c r="AS371" s="45"/>
      <c r="AT371" s="45"/>
      <c r="AU371" s="45"/>
      <c r="AV371" s="47"/>
      <c r="AW371" s="48" t="s">
        <v>67</v>
      </c>
      <c r="AX371" s="49" t="s">
        <v>68</v>
      </c>
      <c r="AY371" s="50">
        <f t="shared" si="35"/>
        <v>40.379799999999996</v>
      </c>
      <c r="AZ371" s="50">
        <f t="shared" si="36"/>
        <v>36.381799999999998</v>
      </c>
      <c r="BA371" s="51">
        <f t="shared" si="37"/>
        <v>20.589700000000001</v>
      </c>
    </row>
    <row r="372" spans="1:53" ht="22.5" customHeight="1">
      <c r="A372" s="41" t="s">
        <v>63</v>
      </c>
      <c r="B372" s="42" t="s">
        <v>64</v>
      </c>
      <c r="C372" s="43">
        <v>4016032</v>
      </c>
      <c r="D372" s="56" t="s">
        <v>552</v>
      </c>
      <c r="E372" s="56" t="s">
        <v>553</v>
      </c>
      <c r="F372" s="45">
        <v>9999</v>
      </c>
      <c r="G372" s="45">
        <v>5399</v>
      </c>
      <c r="H372" s="45">
        <v>2399</v>
      </c>
      <c r="I372" s="45">
        <v>2399</v>
      </c>
      <c r="J372" s="45">
        <v>1999</v>
      </c>
      <c r="K372" s="45">
        <v>1999</v>
      </c>
      <c r="L372" s="45">
        <v>1999</v>
      </c>
      <c r="M372" s="45">
        <v>1999</v>
      </c>
      <c r="N372" s="45">
        <v>1999</v>
      </c>
      <c r="O372" s="45">
        <v>1999</v>
      </c>
      <c r="P372" s="46">
        <v>1999</v>
      </c>
      <c r="Q372" s="46">
        <v>1999</v>
      </c>
      <c r="R372" s="45">
        <v>1999</v>
      </c>
      <c r="S372" s="45">
        <v>1999</v>
      </c>
      <c r="T372" s="45">
        <v>1999</v>
      </c>
      <c r="U372" s="45">
        <v>1999</v>
      </c>
      <c r="V372" s="45">
        <v>1999</v>
      </c>
      <c r="W372" s="45">
        <v>1999</v>
      </c>
      <c r="X372" s="45">
        <v>1999</v>
      </c>
      <c r="Y372" s="45">
        <v>1999</v>
      </c>
      <c r="Z372" s="45">
        <v>1999</v>
      </c>
      <c r="AA372" s="45">
        <v>1999</v>
      </c>
      <c r="AB372" s="45"/>
      <c r="AC372" s="45"/>
      <c r="AD372" s="45"/>
      <c r="AE372" s="45"/>
      <c r="AF372" s="45"/>
      <c r="AG372" s="45"/>
      <c r="AH372" s="45"/>
      <c r="AI372" s="45"/>
      <c r="AJ372" s="45"/>
      <c r="AK372" s="45"/>
      <c r="AL372" s="45"/>
      <c r="AM372" s="45"/>
      <c r="AN372" s="45"/>
      <c r="AO372" s="45"/>
      <c r="AP372" s="45"/>
      <c r="AQ372" s="45"/>
      <c r="AR372" s="45"/>
      <c r="AS372" s="45"/>
      <c r="AT372" s="45"/>
      <c r="AU372" s="45"/>
      <c r="AV372" s="47"/>
      <c r="AW372" s="48" t="s">
        <v>67</v>
      </c>
      <c r="AX372" s="49" t="s">
        <v>68</v>
      </c>
      <c r="AY372" s="50">
        <f t="shared" si="35"/>
        <v>48.459800000000001</v>
      </c>
      <c r="AZ372" s="50">
        <f t="shared" si="36"/>
        <v>43.661799999999999</v>
      </c>
      <c r="BA372" s="51">
        <f t="shared" si="37"/>
        <v>24.709700000000002</v>
      </c>
    </row>
    <row r="373" spans="1:53" ht="22.5" customHeight="1">
      <c r="A373" s="41" t="s">
        <v>63</v>
      </c>
      <c r="B373" s="42" t="s">
        <v>64</v>
      </c>
      <c r="C373" s="43">
        <v>4016065</v>
      </c>
      <c r="D373" s="56" t="s">
        <v>552</v>
      </c>
      <c r="E373" s="56" t="s">
        <v>554</v>
      </c>
      <c r="F373" s="45">
        <v>9999</v>
      </c>
      <c r="G373" s="45">
        <v>5399</v>
      </c>
      <c r="H373" s="45">
        <v>2399</v>
      </c>
      <c r="I373" s="45">
        <v>2399</v>
      </c>
      <c r="J373" s="45">
        <v>1999</v>
      </c>
      <c r="K373" s="45">
        <v>1999</v>
      </c>
      <c r="L373" s="45">
        <v>1999</v>
      </c>
      <c r="M373" s="45">
        <v>1999</v>
      </c>
      <c r="N373" s="45">
        <v>1999</v>
      </c>
      <c r="O373" s="45">
        <v>1999</v>
      </c>
      <c r="P373" s="46">
        <v>1999</v>
      </c>
      <c r="Q373" s="46">
        <v>1999</v>
      </c>
      <c r="R373" s="45">
        <v>1999</v>
      </c>
      <c r="S373" s="45">
        <v>1999</v>
      </c>
      <c r="T373" s="45">
        <v>1999</v>
      </c>
      <c r="U373" s="45">
        <v>1999</v>
      </c>
      <c r="V373" s="45">
        <v>1999</v>
      </c>
      <c r="W373" s="45">
        <v>1999</v>
      </c>
      <c r="X373" s="45">
        <v>1999</v>
      </c>
      <c r="Y373" s="45">
        <v>1999</v>
      </c>
      <c r="Z373" s="45">
        <v>1999</v>
      </c>
      <c r="AA373" s="45">
        <v>1999</v>
      </c>
      <c r="AB373" s="45"/>
      <c r="AC373" s="45"/>
      <c r="AD373" s="45"/>
      <c r="AE373" s="45"/>
      <c r="AF373" s="45"/>
      <c r="AG373" s="45"/>
      <c r="AH373" s="45"/>
      <c r="AI373" s="45"/>
      <c r="AJ373" s="45"/>
      <c r="AK373" s="45"/>
      <c r="AL373" s="45"/>
      <c r="AM373" s="45"/>
      <c r="AN373" s="45"/>
      <c r="AO373" s="45"/>
      <c r="AP373" s="45"/>
      <c r="AQ373" s="45"/>
      <c r="AR373" s="45"/>
      <c r="AS373" s="45"/>
      <c r="AT373" s="45"/>
      <c r="AU373" s="45"/>
      <c r="AV373" s="47"/>
      <c r="AW373" s="48" t="s">
        <v>67</v>
      </c>
      <c r="AX373" s="49" t="s">
        <v>68</v>
      </c>
      <c r="AY373" s="50">
        <f t="shared" si="35"/>
        <v>48.459800000000001</v>
      </c>
      <c r="AZ373" s="50">
        <f t="shared" si="36"/>
        <v>43.661799999999999</v>
      </c>
      <c r="BA373" s="51">
        <f t="shared" si="37"/>
        <v>24.709700000000002</v>
      </c>
    </row>
    <row r="374" spans="1:53" ht="22.5" customHeight="1">
      <c r="A374" s="41" t="s">
        <v>63</v>
      </c>
      <c r="B374" s="42" t="s">
        <v>64</v>
      </c>
      <c r="C374" s="43">
        <v>4016041</v>
      </c>
      <c r="D374" s="56" t="s">
        <v>552</v>
      </c>
      <c r="E374" s="56" t="s">
        <v>555</v>
      </c>
      <c r="F374" s="45">
        <v>9999</v>
      </c>
      <c r="G374" s="45">
        <v>5399</v>
      </c>
      <c r="H374" s="45">
        <v>2399</v>
      </c>
      <c r="I374" s="45">
        <v>2399</v>
      </c>
      <c r="J374" s="45">
        <v>1999</v>
      </c>
      <c r="K374" s="45">
        <v>1999</v>
      </c>
      <c r="L374" s="45">
        <v>1999</v>
      </c>
      <c r="M374" s="45">
        <v>1999</v>
      </c>
      <c r="N374" s="45">
        <v>1999</v>
      </c>
      <c r="O374" s="45">
        <v>1999</v>
      </c>
      <c r="P374" s="46">
        <v>1999</v>
      </c>
      <c r="Q374" s="46">
        <v>1999</v>
      </c>
      <c r="R374" s="45">
        <v>1999</v>
      </c>
      <c r="S374" s="45">
        <v>1999</v>
      </c>
      <c r="T374" s="45">
        <v>1999</v>
      </c>
      <c r="U374" s="45">
        <v>1999</v>
      </c>
      <c r="V374" s="45">
        <v>1999</v>
      </c>
      <c r="W374" s="45">
        <v>1999</v>
      </c>
      <c r="X374" s="45">
        <v>1999</v>
      </c>
      <c r="Y374" s="45">
        <v>1999</v>
      </c>
      <c r="Z374" s="45">
        <v>1999</v>
      </c>
      <c r="AA374" s="45">
        <v>1999</v>
      </c>
      <c r="AB374" s="45"/>
      <c r="AC374" s="45"/>
      <c r="AD374" s="45"/>
      <c r="AE374" s="45"/>
      <c r="AF374" s="45"/>
      <c r="AG374" s="45"/>
      <c r="AH374" s="45"/>
      <c r="AI374" s="45"/>
      <c r="AJ374" s="45"/>
      <c r="AK374" s="45"/>
      <c r="AL374" s="45"/>
      <c r="AM374" s="45"/>
      <c r="AN374" s="45"/>
      <c r="AO374" s="45"/>
      <c r="AP374" s="45"/>
      <c r="AQ374" s="45"/>
      <c r="AR374" s="45"/>
      <c r="AS374" s="45"/>
      <c r="AT374" s="45"/>
      <c r="AU374" s="45"/>
      <c r="AV374" s="47"/>
      <c r="AW374" s="48" t="s">
        <v>67</v>
      </c>
      <c r="AX374" s="49" t="s">
        <v>68</v>
      </c>
      <c r="AY374" s="50">
        <f t="shared" si="35"/>
        <v>48.459800000000001</v>
      </c>
      <c r="AZ374" s="50">
        <f t="shared" si="36"/>
        <v>43.661799999999999</v>
      </c>
      <c r="BA374" s="51">
        <f t="shared" si="37"/>
        <v>24.709700000000002</v>
      </c>
    </row>
    <row r="375" spans="1:53" ht="22.5" customHeight="1">
      <c r="A375" s="41" t="s">
        <v>63</v>
      </c>
      <c r="B375" s="42" t="s">
        <v>64</v>
      </c>
      <c r="C375" s="43">
        <v>4016073</v>
      </c>
      <c r="D375" s="56" t="s">
        <v>552</v>
      </c>
      <c r="E375" s="56" t="s">
        <v>556</v>
      </c>
      <c r="F375" s="45">
        <v>9999</v>
      </c>
      <c r="G375" s="45">
        <v>5399</v>
      </c>
      <c r="H375" s="45">
        <v>2399</v>
      </c>
      <c r="I375" s="45">
        <v>2399</v>
      </c>
      <c r="J375" s="45">
        <v>1999</v>
      </c>
      <c r="K375" s="45">
        <v>1999</v>
      </c>
      <c r="L375" s="45">
        <v>1999</v>
      </c>
      <c r="M375" s="45">
        <v>1999</v>
      </c>
      <c r="N375" s="45">
        <v>1999</v>
      </c>
      <c r="O375" s="45">
        <v>1999</v>
      </c>
      <c r="P375" s="46">
        <v>1999</v>
      </c>
      <c r="Q375" s="46">
        <v>1999</v>
      </c>
      <c r="R375" s="45">
        <v>1999</v>
      </c>
      <c r="S375" s="45">
        <v>1999</v>
      </c>
      <c r="T375" s="45">
        <v>1999</v>
      </c>
      <c r="U375" s="45">
        <v>1999</v>
      </c>
      <c r="V375" s="45">
        <v>1999</v>
      </c>
      <c r="W375" s="45">
        <v>1999</v>
      </c>
      <c r="X375" s="45">
        <v>1999</v>
      </c>
      <c r="Y375" s="45">
        <v>1999</v>
      </c>
      <c r="Z375" s="45">
        <v>1999</v>
      </c>
      <c r="AA375" s="45">
        <v>1999</v>
      </c>
      <c r="AB375" s="45"/>
      <c r="AC375" s="45"/>
      <c r="AD375" s="45"/>
      <c r="AE375" s="45"/>
      <c r="AF375" s="45"/>
      <c r="AG375" s="45"/>
      <c r="AH375" s="45"/>
      <c r="AI375" s="45"/>
      <c r="AJ375" s="45"/>
      <c r="AK375" s="45"/>
      <c r="AL375" s="45"/>
      <c r="AM375" s="45"/>
      <c r="AN375" s="45"/>
      <c r="AO375" s="45"/>
      <c r="AP375" s="45"/>
      <c r="AQ375" s="45"/>
      <c r="AR375" s="45"/>
      <c r="AS375" s="45"/>
      <c r="AT375" s="45"/>
      <c r="AU375" s="45"/>
      <c r="AV375" s="47"/>
      <c r="AW375" s="48" t="s">
        <v>67</v>
      </c>
      <c r="AX375" s="49" t="s">
        <v>68</v>
      </c>
      <c r="AY375" s="50">
        <f t="shared" si="35"/>
        <v>48.459800000000001</v>
      </c>
      <c r="AZ375" s="50">
        <f t="shared" si="36"/>
        <v>43.661799999999999</v>
      </c>
      <c r="BA375" s="51">
        <f t="shared" si="37"/>
        <v>24.709700000000002</v>
      </c>
    </row>
    <row r="376" spans="1:53" ht="22.5" customHeight="1">
      <c r="A376" s="41" t="s">
        <v>63</v>
      </c>
      <c r="B376" s="42" t="s">
        <v>64</v>
      </c>
      <c r="C376" s="43">
        <v>4016554</v>
      </c>
      <c r="D376" s="56" t="s">
        <v>557</v>
      </c>
      <c r="E376" s="56" t="s">
        <v>558</v>
      </c>
      <c r="F376" s="45">
        <v>5099</v>
      </c>
      <c r="G376" s="45">
        <v>1399</v>
      </c>
      <c r="H376" s="45">
        <v>999</v>
      </c>
      <c r="I376" s="45">
        <v>999</v>
      </c>
      <c r="J376" s="45">
        <v>799</v>
      </c>
      <c r="K376" s="45">
        <v>799</v>
      </c>
      <c r="L376" s="45">
        <v>799</v>
      </c>
      <c r="M376" s="45">
        <v>799</v>
      </c>
      <c r="N376" s="45">
        <v>799</v>
      </c>
      <c r="O376" s="45">
        <v>799</v>
      </c>
      <c r="P376" s="46">
        <v>799</v>
      </c>
      <c r="Q376" s="46">
        <v>799</v>
      </c>
      <c r="R376" s="45">
        <v>799</v>
      </c>
      <c r="S376" s="45">
        <v>799</v>
      </c>
      <c r="T376" s="45">
        <v>799</v>
      </c>
      <c r="U376" s="45">
        <v>799</v>
      </c>
      <c r="V376" s="45">
        <v>799</v>
      </c>
      <c r="W376" s="45">
        <v>799</v>
      </c>
      <c r="X376" s="45">
        <v>799</v>
      </c>
      <c r="Y376" s="45">
        <v>799</v>
      </c>
      <c r="Z376" s="45">
        <v>799</v>
      </c>
      <c r="AA376" s="45">
        <v>799</v>
      </c>
      <c r="AB376" s="45"/>
      <c r="AC376" s="45"/>
      <c r="AD376" s="45"/>
      <c r="AE376" s="45"/>
      <c r="AF376" s="45"/>
      <c r="AG376" s="45"/>
      <c r="AH376" s="45"/>
      <c r="AI376" s="45"/>
      <c r="AJ376" s="45"/>
      <c r="AK376" s="45"/>
      <c r="AL376" s="45"/>
      <c r="AM376" s="45"/>
      <c r="AN376" s="45"/>
      <c r="AO376" s="45"/>
      <c r="AP376" s="45"/>
      <c r="AQ376" s="45"/>
      <c r="AR376" s="45"/>
      <c r="AS376" s="45"/>
      <c r="AT376" s="45"/>
      <c r="AU376" s="45"/>
      <c r="AV376" s="47"/>
      <c r="AW376" s="48" t="s">
        <v>67</v>
      </c>
      <c r="AX376" s="49" t="s">
        <v>68</v>
      </c>
      <c r="AY376" s="50">
        <f t="shared" si="35"/>
        <v>20.1798</v>
      </c>
      <c r="AZ376" s="50">
        <f t="shared" si="36"/>
        <v>18.181800000000003</v>
      </c>
      <c r="BA376" s="51">
        <f t="shared" si="37"/>
        <v>10.2897</v>
      </c>
    </row>
    <row r="377" spans="1:53" ht="22.5" customHeight="1">
      <c r="A377" s="41" t="s">
        <v>63</v>
      </c>
      <c r="B377" s="42" t="s">
        <v>64</v>
      </c>
      <c r="C377" s="43">
        <v>4016558</v>
      </c>
      <c r="D377" s="56" t="s">
        <v>557</v>
      </c>
      <c r="E377" s="56" t="s">
        <v>559</v>
      </c>
      <c r="F377" s="45">
        <v>5099</v>
      </c>
      <c r="G377" s="45">
        <v>1399</v>
      </c>
      <c r="H377" s="45">
        <v>999</v>
      </c>
      <c r="I377" s="45">
        <v>999</v>
      </c>
      <c r="J377" s="45">
        <v>799</v>
      </c>
      <c r="K377" s="45">
        <v>799</v>
      </c>
      <c r="L377" s="45">
        <v>799</v>
      </c>
      <c r="M377" s="45">
        <v>799</v>
      </c>
      <c r="N377" s="45">
        <v>799</v>
      </c>
      <c r="O377" s="45">
        <v>799</v>
      </c>
      <c r="P377" s="46">
        <v>799</v>
      </c>
      <c r="Q377" s="46">
        <v>799</v>
      </c>
      <c r="R377" s="45">
        <v>799</v>
      </c>
      <c r="S377" s="45">
        <v>799</v>
      </c>
      <c r="T377" s="45">
        <v>799</v>
      </c>
      <c r="U377" s="45">
        <v>799</v>
      </c>
      <c r="V377" s="45">
        <v>799</v>
      </c>
      <c r="W377" s="45">
        <v>799</v>
      </c>
      <c r="X377" s="45">
        <v>799</v>
      </c>
      <c r="Y377" s="45">
        <v>799</v>
      </c>
      <c r="Z377" s="45">
        <v>799</v>
      </c>
      <c r="AA377" s="45">
        <v>799</v>
      </c>
      <c r="AB377" s="45"/>
      <c r="AC377" s="45"/>
      <c r="AD377" s="45"/>
      <c r="AE377" s="45"/>
      <c r="AF377" s="45"/>
      <c r="AG377" s="45"/>
      <c r="AH377" s="45"/>
      <c r="AI377" s="45"/>
      <c r="AJ377" s="45"/>
      <c r="AK377" s="45"/>
      <c r="AL377" s="45"/>
      <c r="AM377" s="45"/>
      <c r="AN377" s="45"/>
      <c r="AO377" s="45"/>
      <c r="AP377" s="45"/>
      <c r="AQ377" s="45"/>
      <c r="AR377" s="45"/>
      <c r="AS377" s="45"/>
      <c r="AT377" s="45"/>
      <c r="AU377" s="45"/>
      <c r="AV377" s="47"/>
      <c r="AW377" s="48" t="s">
        <v>67</v>
      </c>
      <c r="AX377" s="49" t="s">
        <v>68</v>
      </c>
      <c r="AY377" s="50">
        <f t="shared" si="35"/>
        <v>20.1798</v>
      </c>
      <c r="AZ377" s="50">
        <f t="shared" si="36"/>
        <v>18.181800000000003</v>
      </c>
      <c r="BA377" s="51">
        <f t="shared" si="37"/>
        <v>10.2897</v>
      </c>
    </row>
    <row r="378" spans="1:53" ht="22.5" customHeight="1">
      <c r="A378" s="41" t="s">
        <v>63</v>
      </c>
      <c r="B378" s="42" t="s">
        <v>64</v>
      </c>
      <c r="C378" s="43">
        <v>4016555</v>
      </c>
      <c r="D378" s="56" t="s">
        <v>557</v>
      </c>
      <c r="E378" s="56" t="s">
        <v>560</v>
      </c>
      <c r="F378" s="45">
        <v>5099</v>
      </c>
      <c r="G378" s="45">
        <v>1399</v>
      </c>
      <c r="H378" s="45">
        <v>999</v>
      </c>
      <c r="I378" s="45">
        <v>999</v>
      </c>
      <c r="J378" s="45">
        <v>799</v>
      </c>
      <c r="K378" s="45">
        <v>799</v>
      </c>
      <c r="L378" s="45">
        <v>799</v>
      </c>
      <c r="M378" s="45">
        <v>799</v>
      </c>
      <c r="N378" s="45">
        <v>799</v>
      </c>
      <c r="O378" s="45">
        <v>799</v>
      </c>
      <c r="P378" s="46">
        <v>799</v>
      </c>
      <c r="Q378" s="46">
        <v>799</v>
      </c>
      <c r="R378" s="45">
        <v>799</v>
      </c>
      <c r="S378" s="45">
        <v>799</v>
      </c>
      <c r="T378" s="45">
        <v>799</v>
      </c>
      <c r="U378" s="45">
        <v>799</v>
      </c>
      <c r="V378" s="45">
        <v>799</v>
      </c>
      <c r="W378" s="45">
        <v>799</v>
      </c>
      <c r="X378" s="45">
        <v>799</v>
      </c>
      <c r="Y378" s="45">
        <v>799</v>
      </c>
      <c r="Z378" s="45">
        <v>799</v>
      </c>
      <c r="AA378" s="45">
        <v>799</v>
      </c>
      <c r="AB378" s="45"/>
      <c r="AC378" s="45"/>
      <c r="AD378" s="45"/>
      <c r="AE378" s="45"/>
      <c r="AF378" s="45"/>
      <c r="AG378" s="45"/>
      <c r="AH378" s="45"/>
      <c r="AI378" s="45"/>
      <c r="AJ378" s="45"/>
      <c r="AK378" s="45"/>
      <c r="AL378" s="45"/>
      <c r="AM378" s="45"/>
      <c r="AN378" s="45"/>
      <c r="AO378" s="45"/>
      <c r="AP378" s="45"/>
      <c r="AQ378" s="45"/>
      <c r="AR378" s="45"/>
      <c r="AS378" s="45"/>
      <c r="AT378" s="45"/>
      <c r="AU378" s="45"/>
      <c r="AV378" s="47"/>
      <c r="AW378" s="48" t="s">
        <v>67</v>
      </c>
      <c r="AX378" s="49" t="s">
        <v>68</v>
      </c>
      <c r="AY378" s="50">
        <f t="shared" si="35"/>
        <v>20.1798</v>
      </c>
      <c r="AZ378" s="50">
        <f t="shared" si="36"/>
        <v>18.181800000000003</v>
      </c>
      <c r="BA378" s="51">
        <f t="shared" si="37"/>
        <v>10.2897</v>
      </c>
    </row>
    <row r="379" spans="1:53" ht="22.5" customHeight="1">
      <c r="A379" s="41" t="s">
        <v>63</v>
      </c>
      <c r="B379" s="42" t="s">
        <v>64</v>
      </c>
      <c r="C379" s="43">
        <v>4016559</v>
      </c>
      <c r="D379" s="56" t="s">
        <v>557</v>
      </c>
      <c r="E379" s="56" t="s">
        <v>561</v>
      </c>
      <c r="F379" s="45">
        <v>5099</v>
      </c>
      <c r="G379" s="45">
        <v>1399</v>
      </c>
      <c r="H379" s="45">
        <v>999</v>
      </c>
      <c r="I379" s="45">
        <v>999</v>
      </c>
      <c r="J379" s="45">
        <v>799</v>
      </c>
      <c r="K379" s="45">
        <v>799</v>
      </c>
      <c r="L379" s="45">
        <v>799</v>
      </c>
      <c r="M379" s="45">
        <v>799</v>
      </c>
      <c r="N379" s="45">
        <v>799</v>
      </c>
      <c r="O379" s="45">
        <v>799</v>
      </c>
      <c r="P379" s="46">
        <v>799</v>
      </c>
      <c r="Q379" s="46">
        <v>799</v>
      </c>
      <c r="R379" s="45">
        <v>799</v>
      </c>
      <c r="S379" s="45">
        <v>799</v>
      </c>
      <c r="T379" s="45">
        <v>799</v>
      </c>
      <c r="U379" s="45">
        <v>799</v>
      </c>
      <c r="V379" s="45">
        <v>799</v>
      </c>
      <c r="W379" s="45">
        <v>799</v>
      </c>
      <c r="X379" s="45">
        <v>799</v>
      </c>
      <c r="Y379" s="45">
        <v>799</v>
      </c>
      <c r="Z379" s="45">
        <v>799</v>
      </c>
      <c r="AA379" s="45">
        <v>799</v>
      </c>
      <c r="AB379" s="45"/>
      <c r="AC379" s="45"/>
      <c r="AD379" s="45"/>
      <c r="AE379" s="45"/>
      <c r="AF379" s="45"/>
      <c r="AG379" s="45"/>
      <c r="AH379" s="45"/>
      <c r="AI379" s="45"/>
      <c r="AJ379" s="45"/>
      <c r="AK379" s="45"/>
      <c r="AL379" s="45"/>
      <c r="AM379" s="45"/>
      <c r="AN379" s="45"/>
      <c r="AO379" s="45"/>
      <c r="AP379" s="45"/>
      <c r="AQ379" s="45"/>
      <c r="AR379" s="45"/>
      <c r="AS379" s="45"/>
      <c r="AT379" s="45"/>
      <c r="AU379" s="45"/>
      <c r="AV379" s="47"/>
      <c r="AW379" s="48" t="s">
        <v>67</v>
      </c>
      <c r="AX379" s="49" t="s">
        <v>68</v>
      </c>
      <c r="AY379" s="50">
        <f t="shared" si="35"/>
        <v>20.1798</v>
      </c>
      <c r="AZ379" s="50">
        <f t="shared" si="36"/>
        <v>18.181800000000003</v>
      </c>
      <c r="BA379" s="51">
        <f t="shared" si="37"/>
        <v>10.2897</v>
      </c>
    </row>
    <row r="380" spans="1:53" ht="22.5" customHeight="1">
      <c r="A380" s="41" t="s">
        <v>63</v>
      </c>
      <c r="B380" s="42" t="s">
        <v>64</v>
      </c>
      <c r="C380" s="43">
        <v>4016552</v>
      </c>
      <c r="D380" s="56" t="s">
        <v>557</v>
      </c>
      <c r="E380" s="56" t="s">
        <v>562</v>
      </c>
      <c r="F380" s="45">
        <v>5099</v>
      </c>
      <c r="G380" s="45">
        <v>1399</v>
      </c>
      <c r="H380" s="45">
        <v>999</v>
      </c>
      <c r="I380" s="45">
        <v>999</v>
      </c>
      <c r="J380" s="45">
        <v>799</v>
      </c>
      <c r="K380" s="45">
        <v>799</v>
      </c>
      <c r="L380" s="45">
        <v>799</v>
      </c>
      <c r="M380" s="45">
        <v>799</v>
      </c>
      <c r="N380" s="45">
        <v>799</v>
      </c>
      <c r="O380" s="45">
        <v>799</v>
      </c>
      <c r="P380" s="46">
        <v>799</v>
      </c>
      <c r="Q380" s="46">
        <v>799</v>
      </c>
      <c r="R380" s="45">
        <v>799</v>
      </c>
      <c r="S380" s="45">
        <v>799</v>
      </c>
      <c r="T380" s="45">
        <v>799</v>
      </c>
      <c r="U380" s="45">
        <v>799</v>
      </c>
      <c r="V380" s="45">
        <v>799</v>
      </c>
      <c r="W380" s="45">
        <v>799</v>
      </c>
      <c r="X380" s="45">
        <v>799</v>
      </c>
      <c r="Y380" s="45">
        <v>799</v>
      </c>
      <c r="Z380" s="45">
        <v>799</v>
      </c>
      <c r="AA380" s="45">
        <v>799</v>
      </c>
      <c r="AB380" s="45"/>
      <c r="AC380" s="45"/>
      <c r="AD380" s="45"/>
      <c r="AE380" s="45"/>
      <c r="AF380" s="45"/>
      <c r="AG380" s="45"/>
      <c r="AH380" s="45"/>
      <c r="AI380" s="45"/>
      <c r="AJ380" s="45"/>
      <c r="AK380" s="45"/>
      <c r="AL380" s="45"/>
      <c r="AM380" s="45"/>
      <c r="AN380" s="45"/>
      <c r="AO380" s="45"/>
      <c r="AP380" s="45"/>
      <c r="AQ380" s="45"/>
      <c r="AR380" s="45"/>
      <c r="AS380" s="45"/>
      <c r="AT380" s="45"/>
      <c r="AU380" s="45"/>
      <c r="AV380" s="47"/>
      <c r="AW380" s="48" t="s">
        <v>67</v>
      </c>
      <c r="AX380" s="49" t="s">
        <v>68</v>
      </c>
      <c r="AY380" s="50">
        <f t="shared" si="35"/>
        <v>20.1798</v>
      </c>
      <c r="AZ380" s="50">
        <f t="shared" si="36"/>
        <v>18.181800000000003</v>
      </c>
      <c r="BA380" s="51">
        <f t="shared" si="37"/>
        <v>10.2897</v>
      </c>
    </row>
    <row r="381" spans="1:53" ht="22.5" customHeight="1">
      <c r="A381" s="41" t="s">
        <v>63</v>
      </c>
      <c r="B381" s="42" t="s">
        <v>64</v>
      </c>
      <c r="C381" s="43">
        <v>4016551</v>
      </c>
      <c r="D381" s="56" t="s">
        <v>557</v>
      </c>
      <c r="E381" s="56" t="s">
        <v>563</v>
      </c>
      <c r="F381" s="45">
        <v>5099</v>
      </c>
      <c r="G381" s="45">
        <v>1399</v>
      </c>
      <c r="H381" s="45">
        <v>999</v>
      </c>
      <c r="I381" s="45">
        <v>999</v>
      </c>
      <c r="J381" s="45">
        <v>799</v>
      </c>
      <c r="K381" s="45">
        <v>799</v>
      </c>
      <c r="L381" s="45">
        <v>799</v>
      </c>
      <c r="M381" s="45">
        <v>799</v>
      </c>
      <c r="N381" s="45">
        <v>799</v>
      </c>
      <c r="O381" s="45">
        <v>799</v>
      </c>
      <c r="P381" s="46">
        <v>799</v>
      </c>
      <c r="Q381" s="46">
        <v>799</v>
      </c>
      <c r="R381" s="45">
        <v>799</v>
      </c>
      <c r="S381" s="45">
        <v>799</v>
      </c>
      <c r="T381" s="45">
        <v>799</v>
      </c>
      <c r="U381" s="45">
        <v>799</v>
      </c>
      <c r="V381" s="45">
        <v>799</v>
      </c>
      <c r="W381" s="45">
        <v>799</v>
      </c>
      <c r="X381" s="45">
        <v>799</v>
      </c>
      <c r="Y381" s="45">
        <v>799</v>
      </c>
      <c r="Z381" s="45">
        <v>799</v>
      </c>
      <c r="AA381" s="45">
        <v>799</v>
      </c>
      <c r="AB381" s="45"/>
      <c r="AC381" s="45"/>
      <c r="AD381" s="45"/>
      <c r="AE381" s="45"/>
      <c r="AF381" s="45"/>
      <c r="AG381" s="45"/>
      <c r="AH381" s="45"/>
      <c r="AI381" s="45"/>
      <c r="AJ381" s="45"/>
      <c r="AK381" s="45"/>
      <c r="AL381" s="45"/>
      <c r="AM381" s="45"/>
      <c r="AN381" s="45"/>
      <c r="AO381" s="45"/>
      <c r="AP381" s="45"/>
      <c r="AQ381" s="45"/>
      <c r="AR381" s="45"/>
      <c r="AS381" s="45"/>
      <c r="AT381" s="45"/>
      <c r="AU381" s="45"/>
      <c r="AV381" s="47"/>
      <c r="AW381" s="48" t="s">
        <v>67</v>
      </c>
      <c r="AX381" s="49" t="s">
        <v>68</v>
      </c>
      <c r="AY381" s="50">
        <f t="shared" si="35"/>
        <v>20.1798</v>
      </c>
      <c r="AZ381" s="50">
        <f t="shared" si="36"/>
        <v>18.181800000000003</v>
      </c>
      <c r="BA381" s="51">
        <f t="shared" si="37"/>
        <v>10.2897</v>
      </c>
    </row>
    <row r="382" spans="1:53" ht="22.5" customHeight="1">
      <c r="A382" s="41" t="s">
        <v>63</v>
      </c>
      <c r="B382" s="42" t="s">
        <v>64</v>
      </c>
      <c r="C382" s="43">
        <v>4016839</v>
      </c>
      <c r="D382" s="57" t="s">
        <v>564</v>
      </c>
      <c r="E382" s="56" t="s">
        <v>565</v>
      </c>
      <c r="F382" s="45">
        <v>6499</v>
      </c>
      <c r="G382" s="45">
        <v>3899</v>
      </c>
      <c r="H382" s="45">
        <v>4669</v>
      </c>
      <c r="I382" s="45">
        <v>4669</v>
      </c>
      <c r="J382" s="45">
        <v>4499</v>
      </c>
      <c r="K382" s="45">
        <v>4499</v>
      </c>
      <c r="L382" s="45">
        <v>4499</v>
      </c>
      <c r="M382" s="45">
        <v>4499</v>
      </c>
      <c r="N382" s="45">
        <v>4499</v>
      </c>
      <c r="O382" s="45">
        <v>4399</v>
      </c>
      <c r="P382" s="46">
        <v>4299</v>
      </c>
      <c r="Q382" s="46">
        <v>3299</v>
      </c>
      <c r="R382" s="45">
        <v>4399</v>
      </c>
      <c r="S382" s="45">
        <v>4299</v>
      </c>
      <c r="T382" s="45">
        <v>3299</v>
      </c>
      <c r="U382" s="45">
        <v>3299</v>
      </c>
      <c r="V382" s="45">
        <v>3299</v>
      </c>
      <c r="W382" s="45">
        <v>3299</v>
      </c>
      <c r="X382" s="45">
        <v>3199</v>
      </c>
      <c r="Y382" s="54">
        <v>2799</v>
      </c>
      <c r="Z382" s="54">
        <v>2799</v>
      </c>
      <c r="AA382" s="54">
        <v>2599</v>
      </c>
      <c r="AB382" s="45">
        <v>4499</v>
      </c>
      <c r="AC382" s="45">
        <v>4499</v>
      </c>
      <c r="AD382" s="45">
        <v>4499</v>
      </c>
      <c r="AE382" s="45">
        <v>4399</v>
      </c>
      <c r="AF382" s="45">
        <v>4299</v>
      </c>
      <c r="AG382" s="45">
        <v>4299</v>
      </c>
      <c r="AH382" s="45">
        <v>3299</v>
      </c>
      <c r="AI382" s="45">
        <v>3299</v>
      </c>
      <c r="AJ382" s="45">
        <v>3299</v>
      </c>
      <c r="AK382" s="45">
        <v>3299</v>
      </c>
      <c r="AL382" s="54">
        <v>2799</v>
      </c>
      <c r="AM382" s="45"/>
      <c r="AN382" s="45"/>
      <c r="AO382" s="45"/>
      <c r="AP382" s="45"/>
      <c r="AQ382" s="45"/>
      <c r="AR382" s="45"/>
      <c r="AS382" s="45"/>
      <c r="AT382" s="45"/>
      <c r="AU382" s="45"/>
      <c r="AV382" s="47"/>
      <c r="AW382" s="48" t="s">
        <v>67</v>
      </c>
      <c r="AX382" s="49" t="s">
        <v>68</v>
      </c>
      <c r="AY382" s="50">
        <f t="shared" si="35"/>
        <v>94.313800000000001</v>
      </c>
      <c r="AZ382" s="50">
        <f t="shared" si="36"/>
        <v>84.975800000000007</v>
      </c>
      <c r="BA382" s="51">
        <f t="shared" si="37"/>
        <v>48.090699999999998</v>
      </c>
    </row>
    <row r="383" spans="1:53" ht="22.5" customHeight="1">
      <c r="A383" s="41" t="s">
        <v>63</v>
      </c>
      <c r="B383" s="42" t="s">
        <v>64</v>
      </c>
      <c r="C383" s="43">
        <v>4016872</v>
      </c>
      <c r="D383" s="57" t="s">
        <v>564</v>
      </c>
      <c r="E383" s="56" t="s">
        <v>566</v>
      </c>
      <c r="F383" s="45">
        <v>6499</v>
      </c>
      <c r="G383" s="45">
        <v>3899</v>
      </c>
      <c r="H383" s="45">
        <v>4669</v>
      </c>
      <c r="I383" s="45">
        <v>4669</v>
      </c>
      <c r="J383" s="45">
        <v>4499</v>
      </c>
      <c r="K383" s="45">
        <v>4499</v>
      </c>
      <c r="L383" s="45">
        <v>4499</v>
      </c>
      <c r="M383" s="45">
        <v>4499</v>
      </c>
      <c r="N383" s="45">
        <v>4499</v>
      </c>
      <c r="O383" s="45">
        <v>4399</v>
      </c>
      <c r="P383" s="46">
        <v>4299</v>
      </c>
      <c r="Q383" s="46">
        <v>3299</v>
      </c>
      <c r="R383" s="45">
        <v>4399</v>
      </c>
      <c r="S383" s="45">
        <v>4299</v>
      </c>
      <c r="T383" s="45">
        <v>3299</v>
      </c>
      <c r="U383" s="45">
        <v>3299</v>
      </c>
      <c r="V383" s="45">
        <v>3299</v>
      </c>
      <c r="W383" s="45">
        <v>3299</v>
      </c>
      <c r="X383" s="45">
        <v>3199</v>
      </c>
      <c r="Y383" s="54">
        <v>2799</v>
      </c>
      <c r="Z383" s="54">
        <v>2799</v>
      </c>
      <c r="AA383" s="54">
        <v>2599</v>
      </c>
      <c r="AB383" s="45">
        <v>4499</v>
      </c>
      <c r="AC383" s="45">
        <v>4499</v>
      </c>
      <c r="AD383" s="45">
        <v>4499</v>
      </c>
      <c r="AE383" s="45">
        <v>4399</v>
      </c>
      <c r="AF383" s="45">
        <v>4299</v>
      </c>
      <c r="AG383" s="45">
        <v>4299</v>
      </c>
      <c r="AH383" s="45">
        <v>3299</v>
      </c>
      <c r="AI383" s="45">
        <v>3299</v>
      </c>
      <c r="AJ383" s="45">
        <v>3299</v>
      </c>
      <c r="AK383" s="45">
        <v>3299</v>
      </c>
      <c r="AL383" s="54">
        <v>2799</v>
      </c>
      <c r="AM383" s="45"/>
      <c r="AN383" s="45"/>
      <c r="AO383" s="45"/>
      <c r="AP383" s="45"/>
      <c r="AQ383" s="45"/>
      <c r="AR383" s="45"/>
      <c r="AS383" s="45"/>
      <c r="AT383" s="45"/>
      <c r="AU383" s="45"/>
      <c r="AV383" s="47"/>
      <c r="AW383" s="48" t="s">
        <v>67</v>
      </c>
      <c r="AX383" s="49" t="s">
        <v>68</v>
      </c>
      <c r="AY383" s="50">
        <f t="shared" si="35"/>
        <v>94.313800000000001</v>
      </c>
      <c r="AZ383" s="50">
        <f t="shared" si="36"/>
        <v>84.975800000000007</v>
      </c>
      <c r="BA383" s="51">
        <f t="shared" si="37"/>
        <v>48.090699999999998</v>
      </c>
    </row>
    <row r="384" spans="1:53" ht="22.5" customHeight="1">
      <c r="A384" s="41" t="s">
        <v>63</v>
      </c>
      <c r="B384" s="42" t="s">
        <v>64</v>
      </c>
      <c r="C384" s="43">
        <v>4016858</v>
      </c>
      <c r="D384" s="57" t="s">
        <v>564</v>
      </c>
      <c r="E384" s="56" t="s">
        <v>567</v>
      </c>
      <c r="F384" s="45">
        <v>6499</v>
      </c>
      <c r="G384" s="45">
        <v>3899</v>
      </c>
      <c r="H384" s="45">
        <v>4669</v>
      </c>
      <c r="I384" s="45">
        <v>4669</v>
      </c>
      <c r="J384" s="45">
        <v>4499</v>
      </c>
      <c r="K384" s="45">
        <v>4499</v>
      </c>
      <c r="L384" s="45">
        <v>4499</v>
      </c>
      <c r="M384" s="45">
        <v>4499</v>
      </c>
      <c r="N384" s="45">
        <v>4499</v>
      </c>
      <c r="O384" s="45">
        <v>4399</v>
      </c>
      <c r="P384" s="46">
        <v>4299</v>
      </c>
      <c r="Q384" s="46">
        <v>3299</v>
      </c>
      <c r="R384" s="45">
        <v>4399</v>
      </c>
      <c r="S384" s="45">
        <v>4299</v>
      </c>
      <c r="T384" s="45">
        <v>3299</v>
      </c>
      <c r="U384" s="45">
        <v>3299</v>
      </c>
      <c r="V384" s="45">
        <v>3299</v>
      </c>
      <c r="W384" s="45">
        <v>3299</v>
      </c>
      <c r="X384" s="45">
        <v>3199</v>
      </c>
      <c r="Y384" s="54">
        <v>2799</v>
      </c>
      <c r="Z384" s="54">
        <v>2799</v>
      </c>
      <c r="AA384" s="54">
        <v>2599</v>
      </c>
      <c r="AB384" s="45">
        <v>4499</v>
      </c>
      <c r="AC384" s="45">
        <v>4499</v>
      </c>
      <c r="AD384" s="45">
        <v>4499</v>
      </c>
      <c r="AE384" s="45">
        <v>4399</v>
      </c>
      <c r="AF384" s="45">
        <v>4299</v>
      </c>
      <c r="AG384" s="45">
        <v>4299</v>
      </c>
      <c r="AH384" s="45">
        <v>3299</v>
      </c>
      <c r="AI384" s="45">
        <v>3299</v>
      </c>
      <c r="AJ384" s="45">
        <v>3299</v>
      </c>
      <c r="AK384" s="45">
        <v>3299</v>
      </c>
      <c r="AL384" s="54">
        <v>2799</v>
      </c>
      <c r="AM384" s="45"/>
      <c r="AN384" s="45"/>
      <c r="AO384" s="45"/>
      <c r="AP384" s="45"/>
      <c r="AQ384" s="45"/>
      <c r="AR384" s="45"/>
      <c r="AS384" s="45"/>
      <c r="AT384" s="45"/>
      <c r="AU384" s="45"/>
      <c r="AV384" s="47"/>
      <c r="AW384" s="48" t="s">
        <v>67</v>
      </c>
      <c r="AX384" s="49" t="s">
        <v>68</v>
      </c>
      <c r="AY384" s="50">
        <f t="shared" si="35"/>
        <v>94.313800000000001</v>
      </c>
      <c r="AZ384" s="50">
        <f t="shared" si="36"/>
        <v>84.975800000000007</v>
      </c>
      <c r="BA384" s="51">
        <f t="shared" si="37"/>
        <v>48.090699999999998</v>
      </c>
    </row>
    <row r="385" spans="1:53" ht="22.5" customHeight="1">
      <c r="A385" s="41" t="s">
        <v>63</v>
      </c>
      <c r="B385" s="42" t="s">
        <v>64</v>
      </c>
      <c r="C385" s="43">
        <v>4016863</v>
      </c>
      <c r="D385" s="57" t="s">
        <v>564</v>
      </c>
      <c r="E385" s="56" t="s">
        <v>568</v>
      </c>
      <c r="F385" s="45">
        <v>6499</v>
      </c>
      <c r="G385" s="45">
        <v>3899</v>
      </c>
      <c r="H385" s="45">
        <v>4669</v>
      </c>
      <c r="I385" s="45">
        <v>4669</v>
      </c>
      <c r="J385" s="45">
        <v>4499</v>
      </c>
      <c r="K385" s="45">
        <v>4499</v>
      </c>
      <c r="L385" s="45">
        <v>4499</v>
      </c>
      <c r="M385" s="45">
        <v>4499</v>
      </c>
      <c r="N385" s="45">
        <v>4499</v>
      </c>
      <c r="O385" s="45">
        <v>4399</v>
      </c>
      <c r="P385" s="46">
        <v>4299</v>
      </c>
      <c r="Q385" s="46">
        <v>3299</v>
      </c>
      <c r="R385" s="45">
        <v>4399</v>
      </c>
      <c r="S385" s="45">
        <v>4299</v>
      </c>
      <c r="T385" s="45">
        <v>3299</v>
      </c>
      <c r="U385" s="45">
        <v>3299</v>
      </c>
      <c r="V385" s="45">
        <v>3299</v>
      </c>
      <c r="W385" s="45">
        <v>3299</v>
      </c>
      <c r="X385" s="45">
        <v>3199</v>
      </c>
      <c r="Y385" s="54">
        <v>2799</v>
      </c>
      <c r="Z385" s="54">
        <v>2799</v>
      </c>
      <c r="AA385" s="54">
        <v>2599</v>
      </c>
      <c r="AB385" s="45">
        <v>4499</v>
      </c>
      <c r="AC385" s="45">
        <v>4499</v>
      </c>
      <c r="AD385" s="45">
        <v>4499</v>
      </c>
      <c r="AE385" s="45">
        <v>4399</v>
      </c>
      <c r="AF385" s="45">
        <v>4299</v>
      </c>
      <c r="AG385" s="45">
        <v>4299</v>
      </c>
      <c r="AH385" s="45">
        <v>3299</v>
      </c>
      <c r="AI385" s="45">
        <v>3299</v>
      </c>
      <c r="AJ385" s="45">
        <v>3299</v>
      </c>
      <c r="AK385" s="45">
        <v>3299</v>
      </c>
      <c r="AL385" s="54">
        <v>2799</v>
      </c>
      <c r="AM385" s="45"/>
      <c r="AN385" s="45"/>
      <c r="AO385" s="45"/>
      <c r="AP385" s="45"/>
      <c r="AQ385" s="45"/>
      <c r="AR385" s="45"/>
      <c r="AS385" s="45"/>
      <c r="AT385" s="45"/>
      <c r="AU385" s="45"/>
      <c r="AV385" s="47"/>
      <c r="AW385" s="48" t="s">
        <v>67</v>
      </c>
      <c r="AX385" s="49" t="s">
        <v>68</v>
      </c>
      <c r="AY385" s="50">
        <f t="shared" si="35"/>
        <v>94.313800000000001</v>
      </c>
      <c r="AZ385" s="50">
        <f t="shared" si="36"/>
        <v>84.975800000000007</v>
      </c>
      <c r="BA385" s="51">
        <f t="shared" si="37"/>
        <v>48.090699999999998</v>
      </c>
    </row>
    <row r="386" spans="1:53" ht="22.5" customHeight="1">
      <c r="A386" s="41" t="s">
        <v>63</v>
      </c>
      <c r="B386" s="42" t="s">
        <v>64</v>
      </c>
      <c r="C386" s="43">
        <v>4016886</v>
      </c>
      <c r="D386" s="57" t="s">
        <v>564</v>
      </c>
      <c r="E386" s="56" t="s">
        <v>569</v>
      </c>
      <c r="F386" s="45">
        <v>6499</v>
      </c>
      <c r="G386" s="45">
        <v>3899</v>
      </c>
      <c r="H386" s="45">
        <v>4669</v>
      </c>
      <c r="I386" s="45">
        <v>4669</v>
      </c>
      <c r="J386" s="45">
        <v>4499</v>
      </c>
      <c r="K386" s="45">
        <v>4499</v>
      </c>
      <c r="L386" s="45">
        <v>4499</v>
      </c>
      <c r="M386" s="45">
        <v>4499</v>
      </c>
      <c r="N386" s="45">
        <v>4499</v>
      </c>
      <c r="O386" s="45">
        <v>4399</v>
      </c>
      <c r="P386" s="46">
        <v>4299</v>
      </c>
      <c r="Q386" s="46">
        <v>3299</v>
      </c>
      <c r="R386" s="45">
        <v>4399</v>
      </c>
      <c r="S386" s="45">
        <v>4299</v>
      </c>
      <c r="T386" s="45">
        <v>3299</v>
      </c>
      <c r="U386" s="45">
        <v>3299</v>
      </c>
      <c r="V386" s="45">
        <v>3299</v>
      </c>
      <c r="W386" s="45">
        <v>3299</v>
      </c>
      <c r="X386" s="45">
        <v>3199</v>
      </c>
      <c r="Y386" s="54">
        <v>2799</v>
      </c>
      <c r="Z386" s="54">
        <v>2799</v>
      </c>
      <c r="AA386" s="54">
        <v>2599</v>
      </c>
      <c r="AB386" s="45">
        <v>4499</v>
      </c>
      <c r="AC386" s="45">
        <v>4499</v>
      </c>
      <c r="AD386" s="45">
        <v>4499</v>
      </c>
      <c r="AE386" s="45">
        <v>4399</v>
      </c>
      <c r="AF386" s="45">
        <v>4299</v>
      </c>
      <c r="AG386" s="45">
        <v>4299</v>
      </c>
      <c r="AH386" s="45">
        <v>3299</v>
      </c>
      <c r="AI386" s="45">
        <v>3299</v>
      </c>
      <c r="AJ386" s="45">
        <v>3299</v>
      </c>
      <c r="AK386" s="45">
        <v>3299</v>
      </c>
      <c r="AL386" s="54">
        <v>2799</v>
      </c>
      <c r="AM386" s="45"/>
      <c r="AN386" s="45"/>
      <c r="AO386" s="45"/>
      <c r="AP386" s="45"/>
      <c r="AQ386" s="45"/>
      <c r="AR386" s="45"/>
      <c r="AS386" s="45"/>
      <c r="AT386" s="45"/>
      <c r="AU386" s="45"/>
      <c r="AV386" s="47"/>
      <c r="AW386" s="48" t="s">
        <v>67</v>
      </c>
      <c r="AX386" s="49" t="s">
        <v>68</v>
      </c>
      <c r="AY386" s="50">
        <f t="shared" si="35"/>
        <v>94.313800000000001</v>
      </c>
      <c r="AZ386" s="50">
        <f t="shared" si="36"/>
        <v>84.975800000000007</v>
      </c>
      <c r="BA386" s="51">
        <f t="shared" si="37"/>
        <v>48.090699999999998</v>
      </c>
    </row>
    <row r="387" spans="1:53" ht="22.5" customHeight="1">
      <c r="A387" s="41" t="s">
        <v>63</v>
      </c>
      <c r="B387" s="42" t="s">
        <v>64</v>
      </c>
      <c r="C387" s="43">
        <v>4016901</v>
      </c>
      <c r="D387" s="57" t="s">
        <v>564</v>
      </c>
      <c r="E387" s="56" t="s">
        <v>570</v>
      </c>
      <c r="F387" s="45">
        <v>6499</v>
      </c>
      <c r="G387" s="45">
        <v>3899</v>
      </c>
      <c r="H387" s="45">
        <v>4669</v>
      </c>
      <c r="I387" s="45">
        <v>4669</v>
      </c>
      <c r="J387" s="45">
        <v>4499</v>
      </c>
      <c r="K387" s="45">
        <v>4499</v>
      </c>
      <c r="L387" s="45">
        <v>4499</v>
      </c>
      <c r="M387" s="45">
        <v>4499</v>
      </c>
      <c r="N387" s="45">
        <v>4499</v>
      </c>
      <c r="O387" s="45">
        <v>4399</v>
      </c>
      <c r="P387" s="46">
        <v>4299</v>
      </c>
      <c r="Q387" s="46">
        <v>3299</v>
      </c>
      <c r="R387" s="45">
        <v>4399</v>
      </c>
      <c r="S387" s="45">
        <v>4299</v>
      </c>
      <c r="T387" s="45">
        <v>3299</v>
      </c>
      <c r="U387" s="45">
        <v>3299</v>
      </c>
      <c r="V387" s="45">
        <v>3299</v>
      </c>
      <c r="W387" s="45">
        <v>3299</v>
      </c>
      <c r="X387" s="45">
        <v>3199</v>
      </c>
      <c r="Y387" s="54">
        <v>2799</v>
      </c>
      <c r="Z387" s="54">
        <v>2799</v>
      </c>
      <c r="AA387" s="54">
        <v>2599</v>
      </c>
      <c r="AB387" s="45">
        <v>4499</v>
      </c>
      <c r="AC387" s="45">
        <v>4499</v>
      </c>
      <c r="AD387" s="45">
        <v>4499</v>
      </c>
      <c r="AE387" s="45">
        <v>4399</v>
      </c>
      <c r="AF387" s="45">
        <v>4299</v>
      </c>
      <c r="AG387" s="45">
        <v>4299</v>
      </c>
      <c r="AH387" s="45">
        <v>3299</v>
      </c>
      <c r="AI387" s="45">
        <v>3299</v>
      </c>
      <c r="AJ387" s="45">
        <v>3299</v>
      </c>
      <c r="AK387" s="45">
        <v>3299</v>
      </c>
      <c r="AL387" s="54">
        <v>2799</v>
      </c>
      <c r="AM387" s="45"/>
      <c r="AN387" s="45"/>
      <c r="AO387" s="45"/>
      <c r="AP387" s="45"/>
      <c r="AQ387" s="45"/>
      <c r="AR387" s="45"/>
      <c r="AS387" s="45"/>
      <c r="AT387" s="45"/>
      <c r="AU387" s="45"/>
      <c r="AV387" s="47"/>
      <c r="AW387" s="48" t="s">
        <v>67</v>
      </c>
      <c r="AX387" s="49" t="s">
        <v>68</v>
      </c>
      <c r="AY387" s="50">
        <f t="shared" si="35"/>
        <v>94.313800000000001</v>
      </c>
      <c r="AZ387" s="50">
        <f t="shared" si="36"/>
        <v>84.975800000000007</v>
      </c>
      <c r="BA387" s="51">
        <f t="shared" si="37"/>
        <v>48.090699999999998</v>
      </c>
    </row>
    <row r="388" spans="1:53" ht="22.5" customHeight="1">
      <c r="A388" s="41" t="s">
        <v>63</v>
      </c>
      <c r="B388" s="42" t="s">
        <v>64</v>
      </c>
      <c r="C388" s="43">
        <v>4016895</v>
      </c>
      <c r="D388" s="57" t="s">
        <v>564</v>
      </c>
      <c r="E388" s="56" t="s">
        <v>571</v>
      </c>
      <c r="F388" s="45">
        <v>6499</v>
      </c>
      <c r="G388" s="45">
        <v>3899</v>
      </c>
      <c r="H388" s="45">
        <v>4669</v>
      </c>
      <c r="I388" s="45">
        <v>4669</v>
      </c>
      <c r="J388" s="45">
        <v>4499</v>
      </c>
      <c r="K388" s="45">
        <v>4499</v>
      </c>
      <c r="L388" s="45">
        <v>4499</v>
      </c>
      <c r="M388" s="45">
        <v>4499</v>
      </c>
      <c r="N388" s="45">
        <v>4499</v>
      </c>
      <c r="O388" s="45">
        <v>4399</v>
      </c>
      <c r="P388" s="46">
        <v>4299</v>
      </c>
      <c r="Q388" s="46">
        <v>3299</v>
      </c>
      <c r="R388" s="45">
        <v>4399</v>
      </c>
      <c r="S388" s="45">
        <v>4299</v>
      </c>
      <c r="T388" s="45">
        <v>3299</v>
      </c>
      <c r="U388" s="45">
        <v>3299</v>
      </c>
      <c r="V388" s="45">
        <v>3299</v>
      </c>
      <c r="W388" s="45">
        <v>3299</v>
      </c>
      <c r="X388" s="45">
        <v>3199</v>
      </c>
      <c r="Y388" s="54">
        <v>2799</v>
      </c>
      <c r="Z388" s="54">
        <v>2799</v>
      </c>
      <c r="AA388" s="54">
        <v>2599</v>
      </c>
      <c r="AB388" s="45">
        <v>4499</v>
      </c>
      <c r="AC388" s="45">
        <v>4499</v>
      </c>
      <c r="AD388" s="45">
        <v>4499</v>
      </c>
      <c r="AE388" s="45">
        <v>4399</v>
      </c>
      <c r="AF388" s="45">
        <v>4299</v>
      </c>
      <c r="AG388" s="45">
        <v>4299</v>
      </c>
      <c r="AH388" s="45">
        <v>3299</v>
      </c>
      <c r="AI388" s="45">
        <v>3299</v>
      </c>
      <c r="AJ388" s="45">
        <v>3299</v>
      </c>
      <c r="AK388" s="45">
        <v>3299</v>
      </c>
      <c r="AL388" s="54">
        <v>2799</v>
      </c>
      <c r="AM388" s="45"/>
      <c r="AN388" s="45"/>
      <c r="AO388" s="45"/>
      <c r="AP388" s="45"/>
      <c r="AQ388" s="45"/>
      <c r="AR388" s="45"/>
      <c r="AS388" s="45"/>
      <c r="AT388" s="45"/>
      <c r="AU388" s="45"/>
      <c r="AV388" s="47"/>
      <c r="AW388" s="48" t="s">
        <v>67</v>
      </c>
      <c r="AX388" s="49" t="s">
        <v>68</v>
      </c>
      <c r="AY388" s="50">
        <f t="shared" si="35"/>
        <v>94.313800000000001</v>
      </c>
      <c r="AZ388" s="50">
        <f t="shared" si="36"/>
        <v>84.975800000000007</v>
      </c>
      <c r="BA388" s="51">
        <f t="shared" si="37"/>
        <v>48.090699999999998</v>
      </c>
    </row>
    <row r="389" spans="1:53" ht="22.5" customHeight="1">
      <c r="A389" s="41" t="s">
        <v>63</v>
      </c>
      <c r="B389" s="42" t="s">
        <v>64</v>
      </c>
      <c r="C389" s="43">
        <v>4016880</v>
      </c>
      <c r="D389" s="57" t="s">
        <v>564</v>
      </c>
      <c r="E389" s="56" t="s">
        <v>572</v>
      </c>
      <c r="F389" s="45">
        <v>6499</v>
      </c>
      <c r="G389" s="45">
        <v>3899</v>
      </c>
      <c r="H389" s="45">
        <v>4669</v>
      </c>
      <c r="I389" s="45">
        <v>4669</v>
      </c>
      <c r="J389" s="45">
        <v>4499</v>
      </c>
      <c r="K389" s="45">
        <v>4499</v>
      </c>
      <c r="L389" s="45">
        <v>4499</v>
      </c>
      <c r="M389" s="45">
        <v>4499</v>
      </c>
      <c r="N389" s="45">
        <v>4499</v>
      </c>
      <c r="O389" s="45">
        <v>4399</v>
      </c>
      <c r="P389" s="46">
        <v>4299</v>
      </c>
      <c r="Q389" s="46">
        <v>3299</v>
      </c>
      <c r="R389" s="45">
        <v>4399</v>
      </c>
      <c r="S389" s="45">
        <v>4299</v>
      </c>
      <c r="T389" s="45">
        <v>3299</v>
      </c>
      <c r="U389" s="45">
        <v>3299</v>
      </c>
      <c r="V389" s="45">
        <v>3299</v>
      </c>
      <c r="W389" s="45">
        <v>3299</v>
      </c>
      <c r="X389" s="45">
        <v>3199</v>
      </c>
      <c r="Y389" s="54">
        <v>2799</v>
      </c>
      <c r="Z389" s="54">
        <v>2799</v>
      </c>
      <c r="AA389" s="54">
        <v>2599</v>
      </c>
      <c r="AB389" s="45">
        <v>4499</v>
      </c>
      <c r="AC389" s="45">
        <v>4499</v>
      </c>
      <c r="AD389" s="45">
        <v>4499</v>
      </c>
      <c r="AE389" s="45">
        <v>4399</v>
      </c>
      <c r="AF389" s="45">
        <v>4299</v>
      </c>
      <c r="AG389" s="45">
        <v>4299</v>
      </c>
      <c r="AH389" s="45">
        <v>3299</v>
      </c>
      <c r="AI389" s="45">
        <v>3299</v>
      </c>
      <c r="AJ389" s="45">
        <v>3299</v>
      </c>
      <c r="AK389" s="45">
        <v>3299</v>
      </c>
      <c r="AL389" s="54">
        <v>2799</v>
      </c>
      <c r="AM389" s="45"/>
      <c r="AN389" s="45"/>
      <c r="AO389" s="45"/>
      <c r="AP389" s="45"/>
      <c r="AQ389" s="45"/>
      <c r="AR389" s="45"/>
      <c r="AS389" s="45"/>
      <c r="AT389" s="45"/>
      <c r="AU389" s="45"/>
      <c r="AV389" s="47"/>
      <c r="AW389" s="48" t="s">
        <v>67</v>
      </c>
      <c r="AX389" s="49" t="s">
        <v>68</v>
      </c>
      <c r="AY389" s="50">
        <f t="shared" si="35"/>
        <v>94.313800000000001</v>
      </c>
      <c r="AZ389" s="50">
        <f t="shared" si="36"/>
        <v>84.975800000000007</v>
      </c>
      <c r="BA389" s="51">
        <f t="shared" si="37"/>
        <v>48.090699999999998</v>
      </c>
    </row>
    <row r="390" spans="1:53" ht="22.5" customHeight="1">
      <c r="A390" s="41" t="s">
        <v>63</v>
      </c>
      <c r="B390" s="42" t="s">
        <v>64</v>
      </c>
      <c r="C390" s="43">
        <v>4016871</v>
      </c>
      <c r="D390" s="56" t="s">
        <v>573</v>
      </c>
      <c r="E390" s="56" t="s">
        <v>574</v>
      </c>
      <c r="F390" s="45">
        <v>8499</v>
      </c>
      <c r="G390" s="45">
        <v>4899</v>
      </c>
      <c r="H390" s="45">
        <v>5699</v>
      </c>
      <c r="I390" s="45">
        <v>5699</v>
      </c>
      <c r="J390" s="45">
        <v>5599</v>
      </c>
      <c r="K390" s="45">
        <v>5599</v>
      </c>
      <c r="L390" s="45">
        <v>5599</v>
      </c>
      <c r="M390" s="45">
        <v>5599</v>
      </c>
      <c r="N390" s="45">
        <v>5599</v>
      </c>
      <c r="O390" s="45">
        <v>5499</v>
      </c>
      <c r="P390" s="46">
        <v>5399</v>
      </c>
      <c r="Q390" s="46">
        <v>4799</v>
      </c>
      <c r="R390" s="45">
        <v>5499</v>
      </c>
      <c r="S390" s="45">
        <v>5399</v>
      </c>
      <c r="T390" s="45">
        <v>4799</v>
      </c>
      <c r="U390" s="45">
        <v>4799</v>
      </c>
      <c r="V390" s="45">
        <v>4799</v>
      </c>
      <c r="W390" s="45">
        <v>4799</v>
      </c>
      <c r="X390" s="45">
        <v>4699</v>
      </c>
      <c r="Y390" s="45">
        <v>3999</v>
      </c>
      <c r="Z390" s="45">
        <v>3999</v>
      </c>
      <c r="AA390" s="45">
        <v>3799</v>
      </c>
      <c r="AB390" s="45"/>
      <c r="AC390" s="45"/>
      <c r="AD390" s="45"/>
      <c r="AE390" s="45"/>
      <c r="AF390" s="45"/>
      <c r="AG390" s="45"/>
      <c r="AH390" s="45"/>
      <c r="AI390" s="45"/>
      <c r="AJ390" s="45"/>
      <c r="AK390" s="45"/>
      <c r="AL390" s="45"/>
      <c r="AM390" s="45"/>
      <c r="AN390" s="45"/>
      <c r="AO390" s="45"/>
      <c r="AP390" s="45"/>
      <c r="AQ390" s="45"/>
      <c r="AR390" s="45"/>
      <c r="AS390" s="45"/>
      <c r="AT390" s="45"/>
      <c r="AU390" s="45"/>
      <c r="AV390" s="47"/>
      <c r="AW390" s="48" t="s">
        <v>67</v>
      </c>
      <c r="AX390" s="49" t="s">
        <v>68</v>
      </c>
      <c r="AY390" s="50">
        <f t="shared" si="35"/>
        <v>115.1198</v>
      </c>
      <c r="AZ390" s="50">
        <f t="shared" si="36"/>
        <v>103.7218</v>
      </c>
      <c r="BA390" s="51">
        <f t="shared" si="37"/>
        <v>58.6997</v>
      </c>
    </row>
    <row r="391" spans="1:53" ht="22.5" customHeight="1">
      <c r="A391" s="41" t="s">
        <v>63</v>
      </c>
      <c r="B391" s="42" t="s">
        <v>64</v>
      </c>
      <c r="C391" s="43">
        <v>4016851</v>
      </c>
      <c r="D391" s="56" t="s">
        <v>573</v>
      </c>
      <c r="E391" s="56" t="s">
        <v>575</v>
      </c>
      <c r="F391" s="45">
        <v>8499</v>
      </c>
      <c r="G391" s="45">
        <v>4899</v>
      </c>
      <c r="H391" s="45">
        <v>5699</v>
      </c>
      <c r="I391" s="45">
        <v>5699</v>
      </c>
      <c r="J391" s="45">
        <v>5599</v>
      </c>
      <c r="K391" s="45">
        <v>5599</v>
      </c>
      <c r="L391" s="45">
        <v>5599</v>
      </c>
      <c r="M391" s="45">
        <v>5599</v>
      </c>
      <c r="N391" s="45">
        <v>5599</v>
      </c>
      <c r="O391" s="45">
        <v>5499</v>
      </c>
      <c r="P391" s="46">
        <v>5399</v>
      </c>
      <c r="Q391" s="46">
        <v>4799</v>
      </c>
      <c r="R391" s="45">
        <v>5499</v>
      </c>
      <c r="S391" s="45">
        <v>5399</v>
      </c>
      <c r="T391" s="45">
        <v>4799</v>
      </c>
      <c r="U391" s="45">
        <v>4799</v>
      </c>
      <c r="V391" s="45">
        <v>4799</v>
      </c>
      <c r="W391" s="45">
        <v>4799</v>
      </c>
      <c r="X391" s="45">
        <v>4699</v>
      </c>
      <c r="Y391" s="45">
        <v>3999</v>
      </c>
      <c r="Z391" s="45">
        <v>3999</v>
      </c>
      <c r="AA391" s="45">
        <v>3799</v>
      </c>
      <c r="AB391" s="45"/>
      <c r="AC391" s="45"/>
      <c r="AD391" s="45"/>
      <c r="AE391" s="45"/>
      <c r="AF391" s="45"/>
      <c r="AG391" s="45"/>
      <c r="AH391" s="45"/>
      <c r="AI391" s="45"/>
      <c r="AJ391" s="45"/>
      <c r="AK391" s="45"/>
      <c r="AL391" s="45"/>
      <c r="AM391" s="45"/>
      <c r="AN391" s="45"/>
      <c r="AO391" s="45"/>
      <c r="AP391" s="45"/>
      <c r="AQ391" s="45"/>
      <c r="AR391" s="45"/>
      <c r="AS391" s="45"/>
      <c r="AT391" s="45"/>
      <c r="AU391" s="45"/>
      <c r="AV391" s="47"/>
      <c r="AW391" s="48" t="s">
        <v>67</v>
      </c>
      <c r="AX391" s="49" t="s">
        <v>68</v>
      </c>
      <c r="AY391" s="50">
        <f t="shared" si="35"/>
        <v>115.1198</v>
      </c>
      <c r="AZ391" s="50">
        <f t="shared" si="36"/>
        <v>103.7218</v>
      </c>
      <c r="BA391" s="51">
        <f t="shared" si="37"/>
        <v>58.6997</v>
      </c>
    </row>
    <row r="392" spans="1:53" ht="22.5" customHeight="1">
      <c r="A392" s="41" t="s">
        <v>63</v>
      </c>
      <c r="B392" s="42" t="s">
        <v>64</v>
      </c>
      <c r="C392" s="43">
        <v>4016864</v>
      </c>
      <c r="D392" s="56" t="s">
        <v>573</v>
      </c>
      <c r="E392" s="56" t="s">
        <v>576</v>
      </c>
      <c r="F392" s="45">
        <v>8499</v>
      </c>
      <c r="G392" s="45">
        <v>4899</v>
      </c>
      <c r="H392" s="45">
        <v>5699</v>
      </c>
      <c r="I392" s="45">
        <v>5699</v>
      </c>
      <c r="J392" s="45">
        <v>5599</v>
      </c>
      <c r="K392" s="45">
        <v>5599</v>
      </c>
      <c r="L392" s="45">
        <v>5599</v>
      </c>
      <c r="M392" s="45">
        <v>5599</v>
      </c>
      <c r="N392" s="45">
        <v>5599</v>
      </c>
      <c r="O392" s="45">
        <v>5499</v>
      </c>
      <c r="P392" s="46">
        <v>5399</v>
      </c>
      <c r="Q392" s="46">
        <v>4799</v>
      </c>
      <c r="R392" s="45">
        <v>5499</v>
      </c>
      <c r="S392" s="45">
        <v>5399</v>
      </c>
      <c r="T392" s="45">
        <v>4799</v>
      </c>
      <c r="U392" s="45">
        <v>4799</v>
      </c>
      <c r="V392" s="45">
        <v>4799</v>
      </c>
      <c r="W392" s="45">
        <v>4799</v>
      </c>
      <c r="X392" s="45">
        <v>4699</v>
      </c>
      <c r="Y392" s="45">
        <v>3999</v>
      </c>
      <c r="Z392" s="45">
        <v>3999</v>
      </c>
      <c r="AA392" s="45">
        <v>3799</v>
      </c>
      <c r="AB392" s="45"/>
      <c r="AC392" s="45"/>
      <c r="AD392" s="45"/>
      <c r="AE392" s="45"/>
      <c r="AF392" s="45"/>
      <c r="AG392" s="45"/>
      <c r="AH392" s="45"/>
      <c r="AI392" s="45"/>
      <c r="AJ392" s="45"/>
      <c r="AK392" s="45"/>
      <c r="AL392" s="45"/>
      <c r="AM392" s="45"/>
      <c r="AN392" s="45"/>
      <c r="AO392" s="45"/>
      <c r="AP392" s="45"/>
      <c r="AQ392" s="45"/>
      <c r="AR392" s="45"/>
      <c r="AS392" s="45"/>
      <c r="AT392" s="45"/>
      <c r="AU392" s="45"/>
      <c r="AV392" s="47"/>
      <c r="AW392" s="48" t="s">
        <v>67</v>
      </c>
      <c r="AX392" s="49" t="s">
        <v>68</v>
      </c>
      <c r="AY392" s="50">
        <f t="shared" si="35"/>
        <v>115.1198</v>
      </c>
      <c r="AZ392" s="50">
        <f t="shared" si="36"/>
        <v>103.7218</v>
      </c>
      <c r="BA392" s="51">
        <f t="shared" si="37"/>
        <v>58.6997</v>
      </c>
    </row>
    <row r="393" spans="1:53" ht="22.5" customHeight="1">
      <c r="A393" s="41" t="s">
        <v>63</v>
      </c>
      <c r="B393" s="42" t="s">
        <v>64</v>
      </c>
      <c r="C393" s="43">
        <v>4016900</v>
      </c>
      <c r="D393" s="56" t="s">
        <v>573</v>
      </c>
      <c r="E393" s="56" t="s">
        <v>577</v>
      </c>
      <c r="F393" s="45">
        <v>8499</v>
      </c>
      <c r="G393" s="45">
        <v>4899</v>
      </c>
      <c r="H393" s="45">
        <v>5699</v>
      </c>
      <c r="I393" s="45">
        <v>5699</v>
      </c>
      <c r="J393" s="45">
        <v>5599</v>
      </c>
      <c r="K393" s="45">
        <v>5599</v>
      </c>
      <c r="L393" s="45">
        <v>5599</v>
      </c>
      <c r="M393" s="45">
        <v>5599</v>
      </c>
      <c r="N393" s="45">
        <v>5599</v>
      </c>
      <c r="O393" s="45">
        <v>5499</v>
      </c>
      <c r="P393" s="46">
        <v>5399</v>
      </c>
      <c r="Q393" s="46">
        <v>4799</v>
      </c>
      <c r="R393" s="45">
        <v>5499</v>
      </c>
      <c r="S393" s="45">
        <v>5399</v>
      </c>
      <c r="T393" s="45">
        <v>4799</v>
      </c>
      <c r="U393" s="45">
        <v>4799</v>
      </c>
      <c r="V393" s="45">
        <v>4799</v>
      </c>
      <c r="W393" s="45">
        <v>4799</v>
      </c>
      <c r="X393" s="45">
        <v>4699</v>
      </c>
      <c r="Y393" s="45">
        <v>3999</v>
      </c>
      <c r="Z393" s="45">
        <v>3999</v>
      </c>
      <c r="AA393" s="45">
        <v>3799</v>
      </c>
      <c r="AB393" s="45"/>
      <c r="AC393" s="45"/>
      <c r="AD393" s="45"/>
      <c r="AE393" s="45"/>
      <c r="AF393" s="45"/>
      <c r="AG393" s="45"/>
      <c r="AH393" s="45"/>
      <c r="AI393" s="45"/>
      <c r="AJ393" s="45"/>
      <c r="AK393" s="45"/>
      <c r="AL393" s="45"/>
      <c r="AM393" s="45"/>
      <c r="AN393" s="45"/>
      <c r="AO393" s="45"/>
      <c r="AP393" s="45"/>
      <c r="AQ393" s="45"/>
      <c r="AR393" s="45"/>
      <c r="AS393" s="45"/>
      <c r="AT393" s="45"/>
      <c r="AU393" s="45"/>
      <c r="AV393" s="47"/>
      <c r="AW393" s="48" t="s">
        <v>67</v>
      </c>
      <c r="AX393" s="49" t="s">
        <v>68</v>
      </c>
      <c r="AY393" s="50">
        <f t="shared" si="35"/>
        <v>115.1198</v>
      </c>
      <c r="AZ393" s="50">
        <f t="shared" si="36"/>
        <v>103.7218</v>
      </c>
      <c r="BA393" s="51">
        <f t="shared" si="37"/>
        <v>58.6997</v>
      </c>
    </row>
    <row r="394" spans="1:53" ht="22.5" customHeight="1">
      <c r="A394" s="41" t="s">
        <v>63</v>
      </c>
      <c r="B394" s="42" t="s">
        <v>64</v>
      </c>
      <c r="C394" s="43">
        <v>4016893</v>
      </c>
      <c r="D394" s="56" t="s">
        <v>573</v>
      </c>
      <c r="E394" s="56" t="s">
        <v>578</v>
      </c>
      <c r="F394" s="45">
        <v>8499</v>
      </c>
      <c r="G394" s="45">
        <v>4899</v>
      </c>
      <c r="H394" s="45">
        <v>5699</v>
      </c>
      <c r="I394" s="45">
        <v>5699</v>
      </c>
      <c r="J394" s="45">
        <v>5599</v>
      </c>
      <c r="K394" s="45">
        <v>5599</v>
      </c>
      <c r="L394" s="45">
        <v>5599</v>
      </c>
      <c r="M394" s="45">
        <v>5599</v>
      </c>
      <c r="N394" s="45">
        <v>5599</v>
      </c>
      <c r="O394" s="45">
        <v>5499</v>
      </c>
      <c r="P394" s="46">
        <v>5399</v>
      </c>
      <c r="Q394" s="46">
        <v>4799</v>
      </c>
      <c r="R394" s="45">
        <v>5499</v>
      </c>
      <c r="S394" s="45">
        <v>5399</v>
      </c>
      <c r="T394" s="45">
        <v>4799</v>
      </c>
      <c r="U394" s="45">
        <v>4799</v>
      </c>
      <c r="V394" s="45">
        <v>4799</v>
      </c>
      <c r="W394" s="45">
        <v>4799</v>
      </c>
      <c r="X394" s="45">
        <v>4699</v>
      </c>
      <c r="Y394" s="45">
        <v>3999</v>
      </c>
      <c r="Z394" s="45">
        <v>3999</v>
      </c>
      <c r="AA394" s="45">
        <v>3799</v>
      </c>
      <c r="AB394" s="45"/>
      <c r="AC394" s="45"/>
      <c r="AD394" s="45"/>
      <c r="AE394" s="45"/>
      <c r="AF394" s="45"/>
      <c r="AG394" s="45"/>
      <c r="AH394" s="45"/>
      <c r="AI394" s="45"/>
      <c r="AJ394" s="45"/>
      <c r="AK394" s="45"/>
      <c r="AL394" s="45"/>
      <c r="AM394" s="45"/>
      <c r="AN394" s="45"/>
      <c r="AO394" s="45"/>
      <c r="AP394" s="45"/>
      <c r="AQ394" s="45"/>
      <c r="AR394" s="45"/>
      <c r="AS394" s="45"/>
      <c r="AT394" s="45"/>
      <c r="AU394" s="45"/>
      <c r="AV394" s="47"/>
      <c r="AW394" s="48" t="s">
        <v>67</v>
      </c>
      <c r="AX394" s="49" t="s">
        <v>68</v>
      </c>
      <c r="AY394" s="50">
        <f t="shared" si="35"/>
        <v>115.1198</v>
      </c>
      <c r="AZ394" s="50">
        <f t="shared" si="36"/>
        <v>103.7218</v>
      </c>
      <c r="BA394" s="51">
        <f t="shared" si="37"/>
        <v>58.6997</v>
      </c>
    </row>
    <row r="395" spans="1:53" ht="22.5" customHeight="1">
      <c r="A395" s="41" t="s">
        <v>63</v>
      </c>
      <c r="B395" s="42" t="s">
        <v>64</v>
      </c>
      <c r="C395" s="43">
        <v>4016879</v>
      </c>
      <c r="D395" s="56" t="s">
        <v>573</v>
      </c>
      <c r="E395" s="56" t="s">
        <v>579</v>
      </c>
      <c r="F395" s="45">
        <v>8499</v>
      </c>
      <c r="G395" s="45">
        <v>4899</v>
      </c>
      <c r="H395" s="45">
        <v>5699</v>
      </c>
      <c r="I395" s="45">
        <v>5699</v>
      </c>
      <c r="J395" s="45">
        <v>5599</v>
      </c>
      <c r="K395" s="45">
        <v>5599</v>
      </c>
      <c r="L395" s="45">
        <v>5599</v>
      </c>
      <c r="M395" s="45">
        <v>5599</v>
      </c>
      <c r="N395" s="45">
        <v>5599</v>
      </c>
      <c r="O395" s="45">
        <v>5499</v>
      </c>
      <c r="P395" s="46">
        <v>5399</v>
      </c>
      <c r="Q395" s="46">
        <v>4799</v>
      </c>
      <c r="R395" s="45">
        <v>5499</v>
      </c>
      <c r="S395" s="45">
        <v>5399</v>
      </c>
      <c r="T395" s="45">
        <v>4799</v>
      </c>
      <c r="U395" s="45">
        <v>4799</v>
      </c>
      <c r="V395" s="45">
        <v>4799</v>
      </c>
      <c r="W395" s="45">
        <v>4799</v>
      </c>
      <c r="X395" s="45">
        <v>4699</v>
      </c>
      <c r="Y395" s="45">
        <v>3999</v>
      </c>
      <c r="Z395" s="45">
        <v>3999</v>
      </c>
      <c r="AA395" s="45">
        <v>3799</v>
      </c>
      <c r="AB395" s="45"/>
      <c r="AC395" s="45"/>
      <c r="AD395" s="45"/>
      <c r="AE395" s="45"/>
      <c r="AF395" s="45"/>
      <c r="AG395" s="45"/>
      <c r="AH395" s="45"/>
      <c r="AI395" s="45"/>
      <c r="AJ395" s="45"/>
      <c r="AK395" s="45"/>
      <c r="AL395" s="45"/>
      <c r="AM395" s="45"/>
      <c r="AN395" s="45"/>
      <c r="AO395" s="45"/>
      <c r="AP395" s="45"/>
      <c r="AQ395" s="45"/>
      <c r="AR395" s="45"/>
      <c r="AS395" s="45"/>
      <c r="AT395" s="45"/>
      <c r="AU395" s="45"/>
      <c r="AV395" s="47"/>
      <c r="AW395" s="48" t="s">
        <v>67</v>
      </c>
      <c r="AX395" s="49" t="s">
        <v>68</v>
      </c>
      <c r="AY395" s="50">
        <f t="shared" si="35"/>
        <v>115.1198</v>
      </c>
      <c r="AZ395" s="50">
        <f t="shared" si="36"/>
        <v>103.7218</v>
      </c>
      <c r="BA395" s="51">
        <f t="shared" si="37"/>
        <v>58.6997</v>
      </c>
    </row>
    <row r="396" spans="1:53" ht="22.5" customHeight="1">
      <c r="A396" s="41" t="s">
        <v>63</v>
      </c>
      <c r="B396" s="42" t="s">
        <v>64</v>
      </c>
      <c r="C396" s="43">
        <v>4016902</v>
      </c>
      <c r="D396" s="56" t="s">
        <v>580</v>
      </c>
      <c r="E396" s="56" t="s">
        <v>581</v>
      </c>
      <c r="F396" s="45">
        <v>9499</v>
      </c>
      <c r="G396" s="45">
        <v>5499</v>
      </c>
      <c r="H396" s="45">
        <v>6399</v>
      </c>
      <c r="I396" s="45">
        <v>6399</v>
      </c>
      <c r="J396" s="45">
        <v>6299</v>
      </c>
      <c r="K396" s="45">
        <v>6299</v>
      </c>
      <c r="L396" s="45">
        <v>6299</v>
      </c>
      <c r="M396" s="45">
        <v>6299</v>
      </c>
      <c r="N396" s="45">
        <v>6299</v>
      </c>
      <c r="O396" s="45">
        <v>6199</v>
      </c>
      <c r="P396" s="46">
        <v>6099</v>
      </c>
      <c r="Q396" s="46">
        <v>5799</v>
      </c>
      <c r="R396" s="45">
        <v>6199</v>
      </c>
      <c r="S396" s="45">
        <v>6099</v>
      </c>
      <c r="T396" s="45">
        <v>5799</v>
      </c>
      <c r="U396" s="45">
        <v>5799</v>
      </c>
      <c r="V396" s="45">
        <v>5799</v>
      </c>
      <c r="W396" s="45">
        <v>5799</v>
      </c>
      <c r="X396" s="45">
        <v>5499</v>
      </c>
      <c r="Y396" s="45">
        <v>4999</v>
      </c>
      <c r="Z396" s="45">
        <v>4999</v>
      </c>
      <c r="AA396" s="45">
        <v>4999</v>
      </c>
      <c r="AB396" s="45"/>
      <c r="AC396" s="45"/>
      <c r="AD396" s="45"/>
      <c r="AE396" s="45"/>
      <c r="AF396" s="45"/>
      <c r="AG396" s="45"/>
      <c r="AH396" s="45"/>
      <c r="AI396" s="45"/>
      <c r="AJ396" s="45"/>
      <c r="AK396" s="45"/>
      <c r="AL396" s="45"/>
      <c r="AM396" s="45"/>
      <c r="AN396" s="45"/>
      <c r="AO396" s="45"/>
      <c r="AP396" s="45"/>
      <c r="AQ396" s="45"/>
      <c r="AR396" s="45"/>
      <c r="AS396" s="45"/>
      <c r="AT396" s="45"/>
      <c r="AU396" s="45"/>
      <c r="AV396" s="47"/>
      <c r="AW396" s="48" t="s">
        <v>67</v>
      </c>
      <c r="AX396" s="49" t="s">
        <v>68</v>
      </c>
      <c r="AY396" s="50">
        <f t="shared" si="35"/>
        <v>129.25979999999998</v>
      </c>
      <c r="AZ396" s="50">
        <f t="shared" si="36"/>
        <v>116.46180000000001</v>
      </c>
      <c r="BA396" s="51">
        <f t="shared" si="37"/>
        <v>65.909700000000001</v>
      </c>
    </row>
    <row r="397" spans="1:53" ht="22.5" customHeight="1">
      <c r="A397" s="41" t="s">
        <v>63</v>
      </c>
      <c r="B397" s="42" t="s">
        <v>64</v>
      </c>
      <c r="C397" s="43">
        <v>4016881</v>
      </c>
      <c r="D397" s="56" t="s">
        <v>580</v>
      </c>
      <c r="E397" s="56" t="s">
        <v>582</v>
      </c>
      <c r="F397" s="45">
        <v>9499</v>
      </c>
      <c r="G397" s="45">
        <v>5499</v>
      </c>
      <c r="H397" s="45">
        <v>6399</v>
      </c>
      <c r="I397" s="45">
        <v>6399</v>
      </c>
      <c r="J397" s="45">
        <v>6299</v>
      </c>
      <c r="K397" s="45">
        <v>6299</v>
      </c>
      <c r="L397" s="45">
        <v>6299</v>
      </c>
      <c r="M397" s="45">
        <v>6299</v>
      </c>
      <c r="N397" s="45">
        <v>6299</v>
      </c>
      <c r="O397" s="45">
        <v>6199</v>
      </c>
      <c r="P397" s="46">
        <v>6099</v>
      </c>
      <c r="Q397" s="46">
        <v>5799</v>
      </c>
      <c r="R397" s="45">
        <v>6199</v>
      </c>
      <c r="S397" s="45">
        <v>6099</v>
      </c>
      <c r="T397" s="45">
        <v>5799</v>
      </c>
      <c r="U397" s="45">
        <v>5799</v>
      </c>
      <c r="V397" s="45">
        <v>5799</v>
      </c>
      <c r="W397" s="45">
        <v>5799</v>
      </c>
      <c r="X397" s="45">
        <v>5499</v>
      </c>
      <c r="Y397" s="45">
        <v>4999</v>
      </c>
      <c r="Z397" s="45">
        <v>4999</v>
      </c>
      <c r="AA397" s="45">
        <v>4999</v>
      </c>
      <c r="AB397" s="45"/>
      <c r="AC397" s="45"/>
      <c r="AD397" s="45"/>
      <c r="AE397" s="45"/>
      <c r="AF397" s="45"/>
      <c r="AG397" s="45"/>
      <c r="AH397" s="45"/>
      <c r="AI397" s="45"/>
      <c r="AJ397" s="45"/>
      <c r="AK397" s="45"/>
      <c r="AL397" s="45"/>
      <c r="AM397" s="45"/>
      <c r="AN397" s="45"/>
      <c r="AO397" s="45"/>
      <c r="AP397" s="45"/>
      <c r="AQ397" s="45"/>
      <c r="AR397" s="45"/>
      <c r="AS397" s="45"/>
      <c r="AT397" s="45"/>
      <c r="AU397" s="45"/>
      <c r="AV397" s="47"/>
      <c r="AW397" s="48" t="s">
        <v>67</v>
      </c>
      <c r="AX397" s="49" t="s">
        <v>68</v>
      </c>
      <c r="AY397" s="50">
        <f t="shared" si="35"/>
        <v>129.25979999999998</v>
      </c>
      <c r="AZ397" s="50">
        <f t="shared" si="36"/>
        <v>116.46180000000001</v>
      </c>
      <c r="BA397" s="51">
        <f t="shared" si="37"/>
        <v>65.909700000000001</v>
      </c>
    </row>
    <row r="398" spans="1:53" ht="22.5" customHeight="1">
      <c r="A398" s="41" t="s">
        <v>63</v>
      </c>
      <c r="B398" s="42" t="s">
        <v>64</v>
      </c>
      <c r="C398" s="43">
        <v>4016894</v>
      </c>
      <c r="D398" s="56" t="s">
        <v>580</v>
      </c>
      <c r="E398" s="56" t="s">
        <v>583</v>
      </c>
      <c r="F398" s="45">
        <v>9499</v>
      </c>
      <c r="G398" s="45">
        <v>5499</v>
      </c>
      <c r="H398" s="45">
        <v>6399</v>
      </c>
      <c r="I398" s="45">
        <v>6399</v>
      </c>
      <c r="J398" s="45">
        <v>6299</v>
      </c>
      <c r="K398" s="45">
        <v>6299</v>
      </c>
      <c r="L398" s="45">
        <v>6299</v>
      </c>
      <c r="M398" s="45">
        <v>6299</v>
      </c>
      <c r="N398" s="45">
        <v>6299</v>
      </c>
      <c r="O398" s="45">
        <v>6199</v>
      </c>
      <c r="P398" s="46">
        <v>6099</v>
      </c>
      <c r="Q398" s="46">
        <v>5799</v>
      </c>
      <c r="R398" s="45">
        <v>6199</v>
      </c>
      <c r="S398" s="45">
        <v>6099</v>
      </c>
      <c r="T398" s="45">
        <v>5799</v>
      </c>
      <c r="U398" s="45">
        <v>5799</v>
      </c>
      <c r="V398" s="45">
        <v>5799</v>
      </c>
      <c r="W398" s="45">
        <v>5799</v>
      </c>
      <c r="X398" s="45">
        <v>5499</v>
      </c>
      <c r="Y398" s="45">
        <v>4999</v>
      </c>
      <c r="Z398" s="45">
        <v>4999</v>
      </c>
      <c r="AA398" s="45">
        <v>4999</v>
      </c>
      <c r="AB398" s="45"/>
      <c r="AC398" s="45"/>
      <c r="AD398" s="45"/>
      <c r="AE398" s="45"/>
      <c r="AF398" s="45"/>
      <c r="AG398" s="45"/>
      <c r="AH398" s="45"/>
      <c r="AI398" s="45"/>
      <c r="AJ398" s="45"/>
      <c r="AK398" s="45"/>
      <c r="AL398" s="45"/>
      <c r="AM398" s="45"/>
      <c r="AN398" s="45"/>
      <c r="AO398" s="45"/>
      <c r="AP398" s="45"/>
      <c r="AQ398" s="45"/>
      <c r="AR398" s="45"/>
      <c r="AS398" s="45"/>
      <c r="AT398" s="45"/>
      <c r="AU398" s="45"/>
      <c r="AV398" s="47"/>
      <c r="AW398" s="48" t="s">
        <v>67</v>
      </c>
      <c r="AX398" s="49" t="s">
        <v>68</v>
      </c>
      <c r="AY398" s="50">
        <f t="shared" ref="AY398:AY455" si="39">$H398*AY$11</f>
        <v>129.25979999999998</v>
      </c>
      <c r="AZ398" s="50">
        <f t="shared" ref="AZ398:AZ455" si="40">($H398*AZ$11)</f>
        <v>116.46180000000001</v>
      </c>
      <c r="BA398" s="51">
        <f t="shared" ref="BA398:BA455" si="41">$H398*BA$11</f>
        <v>65.909700000000001</v>
      </c>
    </row>
    <row r="399" spans="1:53" ht="22.5" customHeight="1">
      <c r="A399" s="41" t="s">
        <v>63</v>
      </c>
      <c r="B399" s="42" t="s">
        <v>64</v>
      </c>
      <c r="C399" s="43">
        <v>4016875</v>
      </c>
      <c r="D399" s="56" t="s">
        <v>584</v>
      </c>
      <c r="E399" s="56" t="s">
        <v>585</v>
      </c>
      <c r="F399" s="45">
        <v>11499</v>
      </c>
      <c r="G399" s="46">
        <v>4999</v>
      </c>
      <c r="H399" s="46">
        <v>7499</v>
      </c>
      <c r="I399" s="46">
        <v>7499</v>
      </c>
      <c r="J399" s="46">
        <v>6999</v>
      </c>
      <c r="K399" s="46">
        <v>6999</v>
      </c>
      <c r="L399" s="46">
        <v>6999</v>
      </c>
      <c r="M399" s="46">
        <v>6999</v>
      </c>
      <c r="N399" s="46">
        <v>6999</v>
      </c>
      <c r="O399" s="46">
        <v>6899</v>
      </c>
      <c r="P399" s="46">
        <v>6799</v>
      </c>
      <c r="Q399" s="46">
        <v>5999</v>
      </c>
      <c r="R399" s="46">
        <v>6899</v>
      </c>
      <c r="S399" s="46">
        <v>6799</v>
      </c>
      <c r="T399" s="46">
        <v>5999</v>
      </c>
      <c r="U399" s="46">
        <v>5999</v>
      </c>
      <c r="V399" s="46">
        <v>5999</v>
      </c>
      <c r="W399" s="46">
        <v>5999</v>
      </c>
      <c r="X399" s="46">
        <v>5899</v>
      </c>
      <c r="Y399" s="46">
        <v>4799</v>
      </c>
      <c r="Z399" s="46">
        <v>4799</v>
      </c>
      <c r="AA399" s="46">
        <v>4499</v>
      </c>
      <c r="AB399" s="45">
        <v>6999</v>
      </c>
      <c r="AC399" s="45">
        <v>6999</v>
      </c>
      <c r="AD399" s="45">
        <v>6999</v>
      </c>
      <c r="AE399" s="45">
        <v>6899</v>
      </c>
      <c r="AF399" s="45">
        <v>6799</v>
      </c>
      <c r="AG399" s="45">
        <v>6799</v>
      </c>
      <c r="AH399" s="45">
        <v>5999</v>
      </c>
      <c r="AI399" s="45">
        <v>5999</v>
      </c>
      <c r="AJ399" s="45">
        <v>5999</v>
      </c>
      <c r="AK399" s="45">
        <v>5999</v>
      </c>
      <c r="AL399" s="45">
        <v>4799</v>
      </c>
      <c r="AM399" s="45"/>
      <c r="AN399" s="45"/>
      <c r="AO399" s="45"/>
      <c r="AP399" s="45"/>
      <c r="AQ399" s="45"/>
      <c r="AR399" s="45"/>
      <c r="AS399" s="45"/>
      <c r="AT399" s="45"/>
      <c r="AU399" s="45"/>
      <c r="AV399" s="47"/>
      <c r="AW399" s="48" t="s">
        <v>67</v>
      </c>
      <c r="AX399" s="49" t="s">
        <v>68</v>
      </c>
      <c r="AY399" s="50">
        <f t="shared" si="39"/>
        <v>151.47979999999998</v>
      </c>
      <c r="AZ399" s="50">
        <f t="shared" si="40"/>
        <v>136.48179999999999</v>
      </c>
      <c r="BA399" s="51">
        <f t="shared" si="41"/>
        <v>77.239699999999999</v>
      </c>
    </row>
    <row r="400" spans="1:53" ht="22.5" customHeight="1">
      <c r="A400" s="41" t="s">
        <v>63</v>
      </c>
      <c r="B400" s="42" t="s">
        <v>64</v>
      </c>
      <c r="C400" s="43">
        <v>4016859</v>
      </c>
      <c r="D400" s="56" t="s">
        <v>584</v>
      </c>
      <c r="E400" s="56" t="s">
        <v>586</v>
      </c>
      <c r="F400" s="45">
        <v>11499</v>
      </c>
      <c r="G400" s="46">
        <v>4999</v>
      </c>
      <c r="H400" s="46">
        <v>7499</v>
      </c>
      <c r="I400" s="46">
        <v>7499</v>
      </c>
      <c r="J400" s="46">
        <v>6999</v>
      </c>
      <c r="K400" s="46">
        <v>6999</v>
      </c>
      <c r="L400" s="46">
        <v>6999</v>
      </c>
      <c r="M400" s="46">
        <v>6999</v>
      </c>
      <c r="N400" s="46">
        <v>6999</v>
      </c>
      <c r="O400" s="46">
        <v>6899</v>
      </c>
      <c r="P400" s="46">
        <v>6799</v>
      </c>
      <c r="Q400" s="46">
        <v>5999</v>
      </c>
      <c r="R400" s="46">
        <v>6899</v>
      </c>
      <c r="S400" s="46">
        <v>6799</v>
      </c>
      <c r="T400" s="46">
        <v>5999</v>
      </c>
      <c r="U400" s="46">
        <v>5999</v>
      </c>
      <c r="V400" s="46">
        <v>5999</v>
      </c>
      <c r="W400" s="46">
        <v>5999</v>
      </c>
      <c r="X400" s="46">
        <v>5899</v>
      </c>
      <c r="Y400" s="46">
        <v>4799</v>
      </c>
      <c r="Z400" s="46">
        <v>4799</v>
      </c>
      <c r="AA400" s="46">
        <v>4499</v>
      </c>
      <c r="AB400" s="45">
        <v>6999</v>
      </c>
      <c r="AC400" s="45">
        <v>6999</v>
      </c>
      <c r="AD400" s="45">
        <v>6999</v>
      </c>
      <c r="AE400" s="45">
        <v>6899</v>
      </c>
      <c r="AF400" s="45">
        <v>6799</v>
      </c>
      <c r="AG400" s="45">
        <v>6799</v>
      </c>
      <c r="AH400" s="45">
        <v>5999</v>
      </c>
      <c r="AI400" s="45">
        <v>5999</v>
      </c>
      <c r="AJ400" s="45">
        <v>5999</v>
      </c>
      <c r="AK400" s="45">
        <v>5999</v>
      </c>
      <c r="AL400" s="45">
        <v>4799</v>
      </c>
      <c r="AM400" s="45"/>
      <c r="AN400" s="45"/>
      <c r="AO400" s="45"/>
      <c r="AP400" s="45"/>
      <c r="AQ400" s="45"/>
      <c r="AR400" s="45"/>
      <c r="AS400" s="45"/>
      <c r="AT400" s="45"/>
      <c r="AU400" s="45"/>
      <c r="AV400" s="47"/>
      <c r="AW400" s="48" t="s">
        <v>67</v>
      </c>
      <c r="AX400" s="49" t="s">
        <v>68</v>
      </c>
      <c r="AY400" s="50">
        <f t="shared" si="39"/>
        <v>151.47979999999998</v>
      </c>
      <c r="AZ400" s="50">
        <f t="shared" si="40"/>
        <v>136.48179999999999</v>
      </c>
      <c r="BA400" s="51">
        <f t="shared" si="41"/>
        <v>77.239699999999999</v>
      </c>
    </row>
    <row r="401" spans="1:53" ht="22.5" customHeight="1">
      <c r="A401" s="41" t="s">
        <v>63</v>
      </c>
      <c r="B401" s="42" t="s">
        <v>64</v>
      </c>
      <c r="C401" s="43">
        <v>4016852</v>
      </c>
      <c r="D401" s="56" t="s">
        <v>584</v>
      </c>
      <c r="E401" s="56" t="s">
        <v>587</v>
      </c>
      <c r="F401" s="45">
        <v>11499</v>
      </c>
      <c r="G401" s="46">
        <v>4999</v>
      </c>
      <c r="H401" s="46">
        <v>7499</v>
      </c>
      <c r="I401" s="46">
        <v>7499</v>
      </c>
      <c r="J401" s="46">
        <v>6999</v>
      </c>
      <c r="K401" s="46">
        <v>6999</v>
      </c>
      <c r="L401" s="46">
        <v>6999</v>
      </c>
      <c r="M401" s="46">
        <v>6999</v>
      </c>
      <c r="N401" s="46">
        <v>6999</v>
      </c>
      <c r="O401" s="46">
        <v>6899</v>
      </c>
      <c r="P401" s="46">
        <v>6799</v>
      </c>
      <c r="Q401" s="46">
        <v>5999</v>
      </c>
      <c r="R401" s="46">
        <v>6899</v>
      </c>
      <c r="S401" s="46">
        <v>6799</v>
      </c>
      <c r="T401" s="46">
        <v>5999</v>
      </c>
      <c r="U401" s="46">
        <v>5999</v>
      </c>
      <c r="V401" s="46">
        <v>5999</v>
      </c>
      <c r="W401" s="46">
        <v>5999</v>
      </c>
      <c r="X401" s="46">
        <v>5899</v>
      </c>
      <c r="Y401" s="46">
        <v>4799</v>
      </c>
      <c r="Z401" s="46">
        <v>4799</v>
      </c>
      <c r="AA401" s="46">
        <v>4499</v>
      </c>
      <c r="AB401" s="45">
        <v>6999</v>
      </c>
      <c r="AC401" s="45">
        <v>6999</v>
      </c>
      <c r="AD401" s="45">
        <v>6999</v>
      </c>
      <c r="AE401" s="45">
        <v>6899</v>
      </c>
      <c r="AF401" s="45">
        <v>6799</v>
      </c>
      <c r="AG401" s="45">
        <v>6799</v>
      </c>
      <c r="AH401" s="45">
        <v>5999</v>
      </c>
      <c r="AI401" s="45">
        <v>5999</v>
      </c>
      <c r="AJ401" s="45">
        <v>5999</v>
      </c>
      <c r="AK401" s="45">
        <v>5999</v>
      </c>
      <c r="AL401" s="45">
        <v>4799</v>
      </c>
      <c r="AM401" s="45"/>
      <c r="AN401" s="45"/>
      <c r="AO401" s="45"/>
      <c r="AP401" s="45"/>
      <c r="AQ401" s="45"/>
      <c r="AR401" s="45"/>
      <c r="AS401" s="45"/>
      <c r="AT401" s="45"/>
      <c r="AU401" s="45"/>
      <c r="AV401" s="47"/>
      <c r="AW401" s="48" t="s">
        <v>67</v>
      </c>
      <c r="AX401" s="49" t="s">
        <v>68</v>
      </c>
      <c r="AY401" s="50">
        <f t="shared" si="39"/>
        <v>151.47979999999998</v>
      </c>
      <c r="AZ401" s="50">
        <f t="shared" si="40"/>
        <v>136.48179999999999</v>
      </c>
      <c r="BA401" s="51">
        <f t="shared" si="41"/>
        <v>77.239699999999999</v>
      </c>
    </row>
    <row r="402" spans="1:53" ht="22.5" customHeight="1">
      <c r="A402" s="41" t="s">
        <v>63</v>
      </c>
      <c r="B402" s="42" t="s">
        <v>64</v>
      </c>
      <c r="C402" s="43">
        <v>4016905</v>
      </c>
      <c r="D402" s="56" t="s">
        <v>584</v>
      </c>
      <c r="E402" s="56" t="s">
        <v>588</v>
      </c>
      <c r="F402" s="45">
        <v>11499</v>
      </c>
      <c r="G402" s="46">
        <v>4999</v>
      </c>
      <c r="H402" s="46">
        <v>7499</v>
      </c>
      <c r="I402" s="46">
        <v>7499</v>
      </c>
      <c r="J402" s="46">
        <v>6999</v>
      </c>
      <c r="K402" s="46">
        <v>6999</v>
      </c>
      <c r="L402" s="46">
        <v>6999</v>
      </c>
      <c r="M402" s="46">
        <v>6999</v>
      </c>
      <c r="N402" s="46">
        <v>6999</v>
      </c>
      <c r="O402" s="46">
        <v>6899</v>
      </c>
      <c r="P402" s="46">
        <v>6799</v>
      </c>
      <c r="Q402" s="46">
        <v>5999</v>
      </c>
      <c r="R402" s="46">
        <v>6899</v>
      </c>
      <c r="S402" s="46">
        <v>6799</v>
      </c>
      <c r="T402" s="46">
        <v>5999</v>
      </c>
      <c r="U402" s="46">
        <v>5999</v>
      </c>
      <c r="V402" s="46">
        <v>5999</v>
      </c>
      <c r="W402" s="46">
        <v>5999</v>
      </c>
      <c r="X402" s="46">
        <v>5899</v>
      </c>
      <c r="Y402" s="46">
        <v>4799</v>
      </c>
      <c r="Z402" s="46">
        <v>4799</v>
      </c>
      <c r="AA402" s="46">
        <v>4499</v>
      </c>
      <c r="AB402" s="45">
        <v>6999</v>
      </c>
      <c r="AC402" s="45">
        <v>6999</v>
      </c>
      <c r="AD402" s="45">
        <v>6999</v>
      </c>
      <c r="AE402" s="45">
        <v>6899</v>
      </c>
      <c r="AF402" s="45">
        <v>6799</v>
      </c>
      <c r="AG402" s="45">
        <v>6799</v>
      </c>
      <c r="AH402" s="45">
        <v>5999</v>
      </c>
      <c r="AI402" s="45">
        <v>5999</v>
      </c>
      <c r="AJ402" s="45">
        <v>5999</v>
      </c>
      <c r="AK402" s="45">
        <v>5999</v>
      </c>
      <c r="AL402" s="45">
        <v>4799</v>
      </c>
      <c r="AM402" s="45"/>
      <c r="AN402" s="45"/>
      <c r="AO402" s="45"/>
      <c r="AP402" s="45"/>
      <c r="AQ402" s="45"/>
      <c r="AR402" s="45"/>
      <c r="AS402" s="45"/>
      <c r="AT402" s="45"/>
      <c r="AU402" s="45"/>
      <c r="AV402" s="47"/>
      <c r="AW402" s="48" t="s">
        <v>67</v>
      </c>
      <c r="AX402" s="49" t="s">
        <v>68</v>
      </c>
      <c r="AY402" s="50">
        <f t="shared" si="39"/>
        <v>151.47979999999998</v>
      </c>
      <c r="AZ402" s="50">
        <f t="shared" si="40"/>
        <v>136.48179999999999</v>
      </c>
      <c r="BA402" s="51">
        <f t="shared" si="41"/>
        <v>77.239699999999999</v>
      </c>
    </row>
    <row r="403" spans="1:53" ht="22.5" customHeight="1">
      <c r="A403" s="41" t="s">
        <v>63</v>
      </c>
      <c r="B403" s="42" t="s">
        <v>64</v>
      </c>
      <c r="C403" s="43">
        <v>4016890</v>
      </c>
      <c r="D403" s="56" t="s">
        <v>584</v>
      </c>
      <c r="E403" s="56" t="s">
        <v>589</v>
      </c>
      <c r="F403" s="45">
        <v>11499</v>
      </c>
      <c r="G403" s="46">
        <v>4999</v>
      </c>
      <c r="H403" s="46">
        <v>7499</v>
      </c>
      <c r="I403" s="46">
        <v>7499</v>
      </c>
      <c r="J403" s="46">
        <v>6999</v>
      </c>
      <c r="K403" s="46">
        <v>6999</v>
      </c>
      <c r="L403" s="46">
        <v>6999</v>
      </c>
      <c r="M403" s="46">
        <v>6999</v>
      </c>
      <c r="N403" s="46">
        <v>6999</v>
      </c>
      <c r="O403" s="46">
        <v>6899</v>
      </c>
      <c r="P403" s="46">
        <v>6799</v>
      </c>
      <c r="Q403" s="46">
        <v>5999</v>
      </c>
      <c r="R403" s="46">
        <v>6899</v>
      </c>
      <c r="S403" s="46">
        <v>6799</v>
      </c>
      <c r="T403" s="46">
        <v>5999</v>
      </c>
      <c r="U403" s="46">
        <v>5999</v>
      </c>
      <c r="V403" s="46">
        <v>5999</v>
      </c>
      <c r="W403" s="46">
        <v>5999</v>
      </c>
      <c r="X403" s="46">
        <v>5899</v>
      </c>
      <c r="Y403" s="46">
        <v>4799</v>
      </c>
      <c r="Z403" s="46">
        <v>4799</v>
      </c>
      <c r="AA403" s="46">
        <v>4499</v>
      </c>
      <c r="AB403" s="45">
        <v>6999</v>
      </c>
      <c r="AC403" s="45">
        <v>6999</v>
      </c>
      <c r="AD403" s="45">
        <v>6999</v>
      </c>
      <c r="AE403" s="45">
        <v>6899</v>
      </c>
      <c r="AF403" s="45">
        <v>6799</v>
      </c>
      <c r="AG403" s="45">
        <v>6799</v>
      </c>
      <c r="AH403" s="45">
        <v>5999</v>
      </c>
      <c r="AI403" s="45">
        <v>5999</v>
      </c>
      <c r="AJ403" s="45">
        <v>5999</v>
      </c>
      <c r="AK403" s="45">
        <v>5999</v>
      </c>
      <c r="AL403" s="45">
        <v>4799</v>
      </c>
      <c r="AM403" s="45"/>
      <c r="AN403" s="45"/>
      <c r="AO403" s="45"/>
      <c r="AP403" s="45"/>
      <c r="AQ403" s="45"/>
      <c r="AR403" s="45"/>
      <c r="AS403" s="45"/>
      <c r="AT403" s="45"/>
      <c r="AU403" s="45"/>
      <c r="AV403" s="47"/>
      <c r="AW403" s="48" t="s">
        <v>67</v>
      </c>
      <c r="AX403" s="49" t="s">
        <v>68</v>
      </c>
      <c r="AY403" s="50">
        <f t="shared" si="39"/>
        <v>151.47979999999998</v>
      </c>
      <c r="AZ403" s="50">
        <f t="shared" si="40"/>
        <v>136.48179999999999</v>
      </c>
      <c r="BA403" s="51">
        <f t="shared" si="41"/>
        <v>77.239699999999999</v>
      </c>
    </row>
    <row r="404" spans="1:53" ht="22.5" customHeight="1">
      <c r="A404" s="41" t="s">
        <v>63</v>
      </c>
      <c r="B404" s="42" t="s">
        <v>64</v>
      </c>
      <c r="C404" s="43">
        <v>4016883</v>
      </c>
      <c r="D404" s="56" t="s">
        <v>584</v>
      </c>
      <c r="E404" s="56" t="s">
        <v>590</v>
      </c>
      <c r="F404" s="45">
        <v>11499</v>
      </c>
      <c r="G404" s="46">
        <v>4999</v>
      </c>
      <c r="H404" s="46">
        <v>7499</v>
      </c>
      <c r="I404" s="46">
        <v>7499</v>
      </c>
      <c r="J404" s="46">
        <v>6999</v>
      </c>
      <c r="K404" s="46">
        <v>6999</v>
      </c>
      <c r="L404" s="46">
        <v>6999</v>
      </c>
      <c r="M404" s="46">
        <v>6999</v>
      </c>
      <c r="N404" s="46">
        <v>6999</v>
      </c>
      <c r="O404" s="46">
        <v>6899</v>
      </c>
      <c r="P404" s="46">
        <v>6799</v>
      </c>
      <c r="Q404" s="46">
        <v>5999</v>
      </c>
      <c r="R404" s="46">
        <v>6899</v>
      </c>
      <c r="S404" s="46">
        <v>6799</v>
      </c>
      <c r="T404" s="46">
        <v>5999</v>
      </c>
      <c r="U404" s="46">
        <v>5999</v>
      </c>
      <c r="V404" s="46">
        <v>5999</v>
      </c>
      <c r="W404" s="46">
        <v>5999</v>
      </c>
      <c r="X404" s="46">
        <v>5899</v>
      </c>
      <c r="Y404" s="46">
        <v>4799</v>
      </c>
      <c r="Z404" s="46">
        <v>4799</v>
      </c>
      <c r="AA404" s="46">
        <v>4499</v>
      </c>
      <c r="AB404" s="45">
        <v>6999</v>
      </c>
      <c r="AC404" s="45">
        <v>6999</v>
      </c>
      <c r="AD404" s="45">
        <v>6999</v>
      </c>
      <c r="AE404" s="45">
        <v>6899</v>
      </c>
      <c r="AF404" s="45">
        <v>6799</v>
      </c>
      <c r="AG404" s="45">
        <v>6799</v>
      </c>
      <c r="AH404" s="45">
        <v>5999</v>
      </c>
      <c r="AI404" s="45">
        <v>5999</v>
      </c>
      <c r="AJ404" s="45">
        <v>5999</v>
      </c>
      <c r="AK404" s="45">
        <v>5999</v>
      </c>
      <c r="AL404" s="45">
        <v>4799</v>
      </c>
      <c r="AM404" s="45"/>
      <c r="AN404" s="45"/>
      <c r="AO404" s="45"/>
      <c r="AP404" s="45"/>
      <c r="AQ404" s="45"/>
      <c r="AR404" s="45"/>
      <c r="AS404" s="45"/>
      <c r="AT404" s="45"/>
      <c r="AU404" s="45"/>
      <c r="AV404" s="47"/>
      <c r="AW404" s="48" t="s">
        <v>67</v>
      </c>
      <c r="AX404" s="49" t="s">
        <v>68</v>
      </c>
      <c r="AY404" s="50">
        <f t="shared" si="39"/>
        <v>151.47979999999998</v>
      </c>
      <c r="AZ404" s="50">
        <f t="shared" si="40"/>
        <v>136.48179999999999</v>
      </c>
      <c r="BA404" s="51">
        <f t="shared" si="41"/>
        <v>77.239699999999999</v>
      </c>
    </row>
    <row r="405" spans="1:53" ht="22.5" customHeight="1">
      <c r="A405" s="41" t="s">
        <v>63</v>
      </c>
      <c r="B405" s="42" t="s">
        <v>64</v>
      </c>
      <c r="C405" s="43">
        <v>4016853</v>
      </c>
      <c r="D405" s="56" t="s">
        <v>591</v>
      </c>
      <c r="E405" s="56" t="s">
        <v>592</v>
      </c>
      <c r="F405" s="45">
        <v>11499</v>
      </c>
      <c r="G405" s="46">
        <v>6799</v>
      </c>
      <c r="H405" s="46">
        <v>7499</v>
      </c>
      <c r="I405" s="46">
        <v>7499</v>
      </c>
      <c r="J405" s="46">
        <v>7399</v>
      </c>
      <c r="K405" s="46">
        <v>7399</v>
      </c>
      <c r="L405" s="46">
        <v>7399</v>
      </c>
      <c r="M405" s="46">
        <v>7399</v>
      </c>
      <c r="N405" s="46">
        <v>7399</v>
      </c>
      <c r="O405" s="46">
        <v>7349</v>
      </c>
      <c r="P405" s="46">
        <v>7299</v>
      </c>
      <c r="Q405" s="46">
        <v>6899</v>
      </c>
      <c r="R405" s="46">
        <v>7349</v>
      </c>
      <c r="S405" s="46">
        <v>7299</v>
      </c>
      <c r="T405" s="46">
        <v>6899</v>
      </c>
      <c r="U405" s="46">
        <v>6899</v>
      </c>
      <c r="V405" s="46">
        <v>6899</v>
      </c>
      <c r="W405" s="46">
        <v>6899</v>
      </c>
      <c r="X405" s="46">
        <v>6799</v>
      </c>
      <c r="Y405" s="46">
        <v>5799</v>
      </c>
      <c r="Z405" s="46">
        <v>5799</v>
      </c>
      <c r="AA405" s="46">
        <v>5799</v>
      </c>
      <c r="AB405" s="45"/>
      <c r="AC405" s="45"/>
      <c r="AD405" s="45"/>
      <c r="AE405" s="45"/>
      <c r="AF405" s="45"/>
      <c r="AG405" s="45"/>
      <c r="AH405" s="45"/>
      <c r="AI405" s="45"/>
      <c r="AJ405" s="45"/>
      <c r="AK405" s="45"/>
      <c r="AL405" s="45"/>
      <c r="AM405" s="45"/>
      <c r="AN405" s="45"/>
      <c r="AO405" s="45"/>
      <c r="AP405" s="45"/>
      <c r="AQ405" s="45"/>
      <c r="AR405" s="45"/>
      <c r="AS405" s="45"/>
      <c r="AT405" s="45"/>
      <c r="AU405" s="45"/>
      <c r="AV405" s="47"/>
      <c r="AW405" s="48" t="s">
        <v>67</v>
      </c>
      <c r="AX405" s="49" t="s">
        <v>68</v>
      </c>
      <c r="AY405" s="50">
        <f t="shared" si="39"/>
        <v>151.47979999999998</v>
      </c>
      <c r="AZ405" s="50">
        <f t="shared" si="40"/>
        <v>136.48179999999999</v>
      </c>
      <c r="BA405" s="51">
        <f t="shared" si="41"/>
        <v>77.239699999999999</v>
      </c>
    </row>
    <row r="406" spans="1:53" ht="22.5" customHeight="1">
      <c r="A406" s="41" t="s">
        <v>63</v>
      </c>
      <c r="B406" s="42" t="s">
        <v>64</v>
      </c>
      <c r="C406" s="43">
        <v>4016884</v>
      </c>
      <c r="D406" s="56" t="s">
        <v>591</v>
      </c>
      <c r="E406" s="56" t="s">
        <v>593</v>
      </c>
      <c r="F406" s="45">
        <v>11499</v>
      </c>
      <c r="G406" s="46">
        <v>6799</v>
      </c>
      <c r="H406" s="46">
        <v>7499</v>
      </c>
      <c r="I406" s="46">
        <v>7499</v>
      </c>
      <c r="J406" s="46">
        <v>7399</v>
      </c>
      <c r="K406" s="46">
        <v>7399</v>
      </c>
      <c r="L406" s="46">
        <v>7399</v>
      </c>
      <c r="M406" s="46">
        <v>7399</v>
      </c>
      <c r="N406" s="46">
        <v>7399</v>
      </c>
      <c r="O406" s="46">
        <v>7349</v>
      </c>
      <c r="P406" s="46">
        <v>7299</v>
      </c>
      <c r="Q406" s="46">
        <v>6899</v>
      </c>
      <c r="R406" s="46">
        <v>7349</v>
      </c>
      <c r="S406" s="46">
        <v>7299</v>
      </c>
      <c r="T406" s="46">
        <v>6899</v>
      </c>
      <c r="U406" s="46">
        <v>6899</v>
      </c>
      <c r="V406" s="46">
        <v>6899</v>
      </c>
      <c r="W406" s="46">
        <v>6899</v>
      </c>
      <c r="X406" s="46">
        <v>6799</v>
      </c>
      <c r="Y406" s="46">
        <v>5799</v>
      </c>
      <c r="Z406" s="46">
        <v>5799</v>
      </c>
      <c r="AA406" s="46">
        <v>5799</v>
      </c>
      <c r="AB406" s="45"/>
      <c r="AC406" s="45"/>
      <c r="AD406" s="45"/>
      <c r="AE406" s="45"/>
      <c r="AF406" s="45"/>
      <c r="AG406" s="45"/>
      <c r="AH406" s="45"/>
      <c r="AI406" s="45"/>
      <c r="AJ406" s="45"/>
      <c r="AK406" s="45"/>
      <c r="AL406" s="45"/>
      <c r="AM406" s="45"/>
      <c r="AN406" s="45"/>
      <c r="AO406" s="45"/>
      <c r="AP406" s="45"/>
      <c r="AQ406" s="45"/>
      <c r="AR406" s="45"/>
      <c r="AS406" s="45"/>
      <c r="AT406" s="45"/>
      <c r="AU406" s="45"/>
      <c r="AV406" s="47"/>
      <c r="AW406" s="48" t="s">
        <v>67</v>
      </c>
      <c r="AX406" s="49" t="s">
        <v>68</v>
      </c>
      <c r="AY406" s="50">
        <f t="shared" si="39"/>
        <v>151.47979999999998</v>
      </c>
      <c r="AZ406" s="50">
        <f t="shared" si="40"/>
        <v>136.48179999999999</v>
      </c>
      <c r="BA406" s="51">
        <f t="shared" si="41"/>
        <v>77.239699999999999</v>
      </c>
    </row>
    <row r="407" spans="1:53" ht="22.5" customHeight="1">
      <c r="A407" s="41" t="s">
        <v>63</v>
      </c>
      <c r="B407" s="42" t="s">
        <v>64</v>
      </c>
      <c r="C407" s="43">
        <v>4016724</v>
      </c>
      <c r="D407" s="56" t="s">
        <v>594</v>
      </c>
      <c r="E407" s="56" t="s">
        <v>595</v>
      </c>
      <c r="F407" s="45">
        <v>8499</v>
      </c>
      <c r="G407" s="45">
        <v>5399</v>
      </c>
      <c r="H407" s="45">
        <v>6499</v>
      </c>
      <c r="I407" s="45">
        <v>6499</v>
      </c>
      <c r="J407" s="45">
        <v>6399</v>
      </c>
      <c r="K407" s="45">
        <v>6399</v>
      </c>
      <c r="L407" s="45">
        <v>6399</v>
      </c>
      <c r="M407" s="45">
        <v>6399</v>
      </c>
      <c r="N407" s="45">
        <v>6399</v>
      </c>
      <c r="O407" s="45">
        <v>6299</v>
      </c>
      <c r="P407" s="46">
        <v>6199</v>
      </c>
      <c r="Q407" s="46">
        <v>5299</v>
      </c>
      <c r="R407" s="45">
        <v>6299</v>
      </c>
      <c r="S407" s="45">
        <v>6199</v>
      </c>
      <c r="T407" s="45">
        <v>5299</v>
      </c>
      <c r="U407" s="45">
        <v>5299</v>
      </c>
      <c r="V407" s="45">
        <v>5299</v>
      </c>
      <c r="W407" s="45">
        <v>5299</v>
      </c>
      <c r="X407" s="45">
        <v>5199</v>
      </c>
      <c r="Y407" s="45">
        <v>4299</v>
      </c>
      <c r="Z407" s="45">
        <v>4299</v>
      </c>
      <c r="AA407" s="45">
        <v>4299</v>
      </c>
      <c r="AB407" s="45"/>
      <c r="AC407" s="45"/>
      <c r="AD407" s="45"/>
      <c r="AE407" s="45"/>
      <c r="AF407" s="45"/>
      <c r="AG407" s="45"/>
      <c r="AH407" s="45"/>
      <c r="AI407" s="45"/>
      <c r="AJ407" s="45"/>
      <c r="AK407" s="45"/>
      <c r="AL407" s="45"/>
      <c r="AM407" s="45"/>
      <c r="AN407" s="45"/>
      <c r="AO407" s="45"/>
      <c r="AP407" s="45"/>
      <c r="AQ407" s="45"/>
      <c r="AR407" s="45"/>
      <c r="AS407" s="45"/>
      <c r="AT407" s="45"/>
      <c r="AU407" s="45"/>
      <c r="AV407" s="47"/>
      <c r="AW407" s="48" t="s">
        <v>67</v>
      </c>
      <c r="AX407" s="49" t="s">
        <v>68</v>
      </c>
      <c r="AY407" s="50">
        <f t="shared" si="39"/>
        <v>131.27979999999999</v>
      </c>
      <c r="AZ407" s="50">
        <f t="shared" si="40"/>
        <v>118.2818</v>
      </c>
      <c r="BA407" s="51">
        <f t="shared" si="41"/>
        <v>66.939700000000002</v>
      </c>
    </row>
    <row r="408" spans="1:53" ht="22.5" customHeight="1">
      <c r="A408" s="41" t="s">
        <v>63</v>
      </c>
      <c r="B408" s="42" t="s">
        <v>64</v>
      </c>
      <c r="C408" s="43">
        <v>4017407</v>
      </c>
      <c r="D408" s="56" t="s">
        <v>596</v>
      </c>
      <c r="E408" s="56" t="s">
        <v>597</v>
      </c>
      <c r="F408" s="45">
        <v>4499</v>
      </c>
      <c r="G408" s="45">
        <v>2299</v>
      </c>
      <c r="H408" s="45">
        <v>3299</v>
      </c>
      <c r="I408" s="45">
        <v>3299</v>
      </c>
      <c r="J408" s="45">
        <v>3199</v>
      </c>
      <c r="K408" s="45">
        <v>3199</v>
      </c>
      <c r="L408" s="45">
        <v>3199</v>
      </c>
      <c r="M408" s="45">
        <v>3199</v>
      </c>
      <c r="N408" s="45">
        <v>3199</v>
      </c>
      <c r="O408" s="45">
        <v>3099</v>
      </c>
      <c r="P408" s="46">
        <v>3049</v>
      </c>
      <c r="Q408" s="46">
        <v>2299</v>
      </c>
      <c r="R408" s="45">
        <v>3099</v>
      </c>
      <c r="S408" s="45">
        <v>3049</v>
      </c>
      <c r="T408" s="45">
        <v>2299</v>
      </c>
      <c r="U408" s="45">
        <v>2299</v>
      </c>
      <c r="V408" s="45">
        <v>2299</v>
      </c>
      <c r="W408" s="45">
        <v>2299</v>
      </c>
      <c r="X408" s="45">
        <v>2199</v>
      </c>
      <c r="Y408" s="45">
        <v>1799</v>
      </c>
      <c r="Z408" s="45">
        <v>1799</v>
      </c>
      <c r="AA408" s="45">
        <v>1599</v>
      </c>
      <c r="AB408" s="45"/>
      <c r="AC408" s="45"/>
      <c r="AD408" s="45"/>
      <c r="AE408" s="45"/>
      <c r="AF408" s="45"/>
      <c r="AG408" s="45"/>
      <c r="AH408" s="45"/>
      <c r="AI408" s="45"/>
      <c r="AJ408" s="45"/>
      <c r="AK408" s="45"/>
      <c r="AL408" s="45"/>
      <c r="AM408" s="45"/>
      <c r="AN408" s="45"/>
      <c r="AO408" s="45"/>
      <c r="AP408" s="45"/>
      <c r="AQ408" s="45"/>
      <c r="AR408" s="45"/>
      <c r="AS408" s="45"/>
      <c r="AT408" s="45"/>
      <c r="AU408" s="45"/>
      <c r="AV408" s="47"/>
      <c r="AW408" s="48" t="s">
        <v>67</v>
      </c>
      <c r="AX408" s="49" t="s">
        <v>68</v>
      </c>
      <c r="AY408" s="50">
        <f t="shared" si="39"/>
        <v>66.639799999999994</v>
      </c>
      <c r="AZ408" s="50">
        <f t="shared" si="40"/>
        <v>60.041800000000002</v>
      </c>
      <c r="BA408" s="51">
        <f t="shared" si="41"/>
        <v>33.979700000000001</v>
      </c>
    </row>
    <row r="409" spans="1:53" ht="22.5" customHeight="1">
      <c r="A409" s="41" t="s">
        <v>63</v>
      </c>
      <c r="B409" s="42" t="s">
        <v>64</v>
      </c>
      <c r="C409" s="43">
        <v>4017422</v>
      </c>
      <c r="D409" s="56" t="s">
        <v>596</v>
      </c>
      <c r="E409" s="56" t="s">
        <v>598</v>
      </c>
      <c r="F409" s="45">
        <v>4499</v>
      </c>
      <c r="G409" s="45">
        <v>2299</v>
      </c>
      <c r="H409" s="45">
        <v>3299</v>
      </c>
      <c r="I409" s="45">
        <v>3299</v>
      </c>
      <c r="J409" s="45">
        <v>3199</v>
      </c>
      <c r="K409" s="45">
        <v>3199</v>
      </c>
      <c r="L409" s="45">
        <v>3199</v>
      </c>
      <c r="M409" s="45">
        <v>3199</v>
      </c>
      <c r="N409" s="45">
        <v>3199</v>
      </c>
      <c r="O409" s="45">
        <v>3099</v>
      </c>
      <c r="P409" s="46">
        <v>3049</v>
      </c>
      <c r="Q409" s="46">
        <v>2299</v>
      </c>
      <c r="R409" s="45">
        <v>3099</v>
      </c>
      <c r="S409" s="45">
        <v>3049</v>
      </c>
      <c r="T409" s="45">
        <v>2299</v>
      </c>
      <c r="U409" s="45">
        <v>2299</v>
      </c>
      <c r="V409" s="45">
        <v>2299</v>
      </c>
      <c r="W409" s="45">
        <v>2299</v>
      </c>
      <c r="X409" s="45">
        <v>2199</v>
      </c>
      <c r="Y409" s="45">
        <v>1799</v>
      </c>
      <c r="Z409" s="45">
        <v>1799</v>
      </c>
      <c r="AA409" s="45">
        <v>1599</v>
      </c>
      <c r="AB409" s="45"/>
      <c r="AC409" s="45"/>
      <c r="AD409" s="45"/>
      <c r="AE409" s="45"/>
      <c r="AF409" s="45"/>
      <c r="AG409" s="45"/>
      <c r="AH409" s="45"/>
      <c r="AI409" s="45"/>
      <c r="AJ409" s="45"/>
      <c r="AK409" s="45"/>
      <c r="AL409" s="45"/>
      <c r="AM409" s="45"/>
      <c r="AN409" s="45"/>
      <c r="AO409" s="45"/>
      <c r="AP409" s="45"/>
      <c r="AQ409" s="45"/>
      <c r="AR409" s="45"/>
      <c r="AS409" s="45"/>
      <c r="AT409" s="45"/>
      <c r="AU409" s="45"/>
      <c r="AV409" s="47"/>
      <c r="AW409" s="48" t="s">
        <v>67</v>
      </c>
      <c r="AX409" s="49" t="s">
        <v>68</v>
      </c>
      <c r="AY409" s="50">
        <f t="shared" si="39"/>
        <v>66.639799999999994</v>
      </c>
      <c r="AZ409" s="50">
        <f t="shared" si="40"/>
        <v>60.041800000000002</v>
      </c>
      <c r="BA409" s="51">
        <f t="shared" si="41"/>
        <v>33.979700000000001</v>
      </c>
    </row>
    <row r="410" spans="1:53" ht="22.5" customHeight="1">
      <c r="A410" s="41" t="s">
        <v>63</v>
      </c>
      <c r="B410" s="42" t="s">
        <v>64</v>
      </c>
      <c r="C410" s="43">
        <v>4017391</v>
      </c>
      <c r="D410" s="56" t="s">
        <v>599</v>
      </c>
      <c r="E410" s="56" t="s">
        <v>600</v>
      </c>
      <c r="F410" s="45">
        <v>5699</v>
      </c>
      <c r="G410" s="45">
        <v>2399</v>
      </c>
      <c r="H410" s="45">
        <v>3899</v>
      </c>
      <c r="I410" s="45">
        <v>3899</v>
      </c>
      <c r="J410" s="45">
        <v>3799</v>
      </c>
      <c r="K410" s="45">
        <v>3799</v>
      </c>
      <c r="L410" s="45">
        <v>3799</v>
      </c>
      <c r="M410" s="45">
        <v>3799</v>
      </c>
      <c r="N410" s="45">
        <v>3799</v>
      </c>
      <c r="O410" s="45">
        <v>3699</v>
      </c>
      <c r="P410" s="46">
        <v>3599</v>
      </c>
      <c r="Q410" s="46">
        <v>2499</v>
      </c>
      <c r="R410" s="45">
        <v>3699</v>
      </c>
      <c r="S410" s="45">
        <v>3599</v>
      </c>
      <c r="T410" s="45">
        <v>2499</v>
      </c>
      <c r="U410" s="45">
        <v>2499</v>
      </c>
      <c r="V410" s="45">
        <v>2499</v>
      </c>
      <c r="W410" s="45">
        <v>2499</v>
      </c>
      <c r="X410" s="45">
        <v>2399</v>
      </c>
      <c r="Y410" s="45">
        <v>2299</v>
      </c>
      <c r="Z410" s="45">
        <v>2299</v>
      </c>
      <c r="AA410" s="45">
        <v>2099</v>
      </c>
      <c r="AB410" s="45">
        <v>3799</v>
      </c>
      <c r="AC410" s="45">
        <v>3799</v>
      </c>
      <c r="AD410" s="45">
        <v>3799</v>
      </c>
      <c r="AE410" s="45">
        <v>3699</v>
      </c>
      <c r="AF410" s="45">
        <v>3599</v>
      </c>
      <c r="AG410" s="45">
        <v>3599</v>
      </c>
      <c r="AH410" s="45">
        <v>2499</v>
      </c>
      <c r="AI410" s="45">
        <v>2499</v>
      </c>
      <c r="AJ410" s="45">
        <v>2499</v>
      </c>
      <c r="AK410" s="45">
        <v>2499</v>
      </c>
      <c r="AL410" s="45">
        <v>2299</v>
      </c>
      <c r="AM410" s="45"/>
      <c r="AN410" s="45"/>
      <c r="AO410" s="45"/>
      <c r="AP410" s="45"/>
      <c r="AQ410" s="45"/>
      <c r="AR410" s="45"/>
      <c r="AS410" s="45"/>
      <c r="AT410" s="45"/>
      <c r="AU410" s="45"/>
      <c r="AV410" s="47"/>
      <c r="AW410" s="48" t="s">
        <v>67</v>
      </c>
      <c r="AX410" s="49" t="s">
        <v>68</v>
      </c>
      <c r="AY410" s="50">
        <f t="shared" si="39"/>
        <v>78.759799999999998</v>
      </c>
      <c r="AZ410" s="50">
        <f t="shared" si="40"/>
        <v>70.961799999999997</v>
      </c>
      <c r="BA410" s="51">
        <f t="shared" si="41"/>
        <v>40.159700000000001</v>
      </c>
    </row>
    <row r="411" spans="1:53" ht="22.5" customHeight="1">
      <c r="A411" s="41" t="s">
        <v>63</v>
      </c>
      <c r="B411" s="42" t="s">
        <v>64</v>
      </c>
      <c r="C411" s="43">
        <v>4017406</v>
      </c>
      <c r="D411" s="56" t="s">
        <v>599</v>
      </c>
      <c r="E411" s="56" t="s">
        <v>601</v>
      </c>
      <c r="F411" s="45">
        <v>5699</v>
      </c>
      <c r="G411" s="45">
        <v>2399</v>
      </c>
      <c r="H411" s="45">
        <v>3899</v>
      </c>
      <c r="I411" s="45">
        <v>3899</v>
      </c>
      <c r="J411" s="45">
        <v>3799</v>
      </c>
      <c r="K411" s="45">
        <v>3799</v>
      </c>
      <c r="L411" s="45">
        <v>3799</v>
      </c>
      <c r="M411" s="45">
        <v>3799</v>
      </c>
      <c r="N411" s="45">
        <v>3799</v>
      </c>
      <c r="O411" s="45">
        <v>3699</v>
      </c>
      <c r="P411" s="46">
        <v>3599</v>
      </c>
      <c r="Q411" s="46">
        <v>2499</v>
      </c>
      <c r="R411" s="45">
        <v>3699</v>
      </c>
      <c r="S411" s="45">
        <v>3599</v>
      </c>
      <c r="T411" s="45">
        <v>2499</v>
      </c>
      <c r="U411" s="45">
        <v>2499</v>
      </c>
      <c r="V411" s="45">
        <v>2499</v>
      </c>
      <c r="W411" s="45">
        <v>2499</v>
      </c>
      <c r="X411" s="45">
        <v>2399</v>
      </c>
      <c r="Y411" s="45">
        <v>2299</v>
      </c>
      <c r="Z411" s="45">
        <v>2299</v>
      </c>
      <c r="AA411" s="45">
        <v>2099</v>
      </c>
      <c r="AB411" s="45">
        <v>3799</v>
      </c>
      <c r="AC411" s="45">
        <v>3799</v>
      </c>
      <c r="AD411" s="45">
        <v>3799</v>
      </c>
      <c r="AE411" s="45">
        <v>3699</v>
      </c>
      <c r="AF411" s="45">
        <v>3599</v>
      </c>
      <c r="AG411" s="45">
        <v>3599</v>
      </c>
      <c r="AH411" s="45">
        <v>2499</v>
      </c>
      <c r="AI411" s="45">
        <v>2499</v>
      </c>
      <c r="AJ411" s="45">
        <v>2499</v>
      </c>
      <c r="AK411" s="45">
        <v>2499</v>
      </c>
      <c r="AL411" s="45">
        <v>2299</v>
      </c>
      <c r="AM411" s="45"/>
      <c r="AN411" s="45"/>
      <c r="AO411" s="45"/>
      <c r="AP411" s="45"/>
      <c r="AQ411" s="45"/>
      <c r="AR411" s="45"/>
      <c r="AS411" s="45"/>
      <c r="AT411" s="45"/>
      <c r="AU411" s="45"/>
      <c r="AV411" s="47"/>
      <c r="AW411" s="48" t="s">
        <v>67</v>
      </c>
      <c r="AX411" s="49" t="s">
        <v>68</v>
      </c>
      <c r="AY411" s="50">
        <f t="shared" si="39"/>
        <v>78.759799999999998</v>
      </c>
      <c r="AZ411" s="50">
        <f t="shared" si="40"/>
        <v>70.961799999999997</v>
      </c>
      <c r="BA411" s="51">
        <f t="shared" si="41"/>
        <v>40.159700000000001</v>
      </c>
    </row>
    <row r="412" spans="1:53" ht="22.5" customHeight="1">
      <c r="A412" s="41" t="s">
        <v>63</v>
      </c>
      <c r="B412" s="42" t="s">
        <v>64</v>
      </c>
      <c r="C412" s="43">
        <v>4017411</v>
      </c>
      <c r="D412" s="56" t="s">
        <v>599</v>
      </c>
      <c r="E412" s="56" t="s">
        <v>602</v>
      </c>
      <c r="F412" s="45">
        <v>5699</v>
      </c>
      <c r="G412" s="45">
        <v>2399</v>
      </c>
      <c r="H412" s="45">
        <v>3899</v>
      </c>
      <c r="I412" s="45">
        <v>3899</v>
      </c>
      <c r="J412" s="45">
        <v>3799</v>
      </c>
      <c r="K412" s="45">
        <v>3799</v>
      </c>
      <c r="L412" s="45">
        <v>3799</v>
      </c>
      <c r="M412" s="45">
        <v>3799</v>
      </c>
      <c r="N412" s="45">
        <v>3799</v>
      </c>
      <c r="O412" s="45">
        <v>3699</v>
      </c>
      <c r="P412" s="46">
        <v>3599</v>
      </c>
      <c r="Q412" s="46">
        <v>2499</v>
      </c>
      <c r="R412" s="45">
        <v>3699</v>
      </c>
      <c r="S412" s="45">
        <v>3599</v>
      </c>
      <c r="T412" s="45">
        <v>2499</v>
      </c>
      <c r="U412" s="45">
        <v>2499</v>
      </c>
      <c r="V412" s="45">
        <v>2499</v>
      </c>
      <c r="W412" s="45">
        <v>2499</v>
      </c>
      <c r="X412" s="45">
        <v>2399</v>
      </c>
      <c r="Y412" s="45">
        <v>2299</v>
      </c>
      <c r="Z412" s="45">
        <v>2299</v>
      </c>
      <c r="AA412" s="45">
        <v>2099</v>
      </c>
      <c r="AB412" s="45">
        <v>3799</v>
      </c>
      <c r="AC412" s="45">
        <v>3799</v>
      </c>
      <c r="AD412" s="45">
        <v>3799</v>
      </c>
      <c r="AE412" s="45">
        <v>3699</v>
      </c>
      <c r="AF412" s="45">
        <v>3599</v>
      </c>
      <c r="AG412" s="45">
        <v>3599</v>
      </c>
      <c r="AH412" s="45">
        <v>2499</v>
      </c>
      <c r="AI412" s="45">
        <v>2499</v>
      </c>
      <c r="AJ412" s="45">
        <v>2499</v>
      </c>
      <c r="AK412" s="45">
        <v>2499</v>
      </c>
      <c r="AL412" s="45">
        <v>2299</v>
      </c>
      <c r="AM412" s="45"/>
      <c r="AN412" s="45"/>
      <c r="AO412" s="45"/>
      <c r="AP412" s="45"/>
      <c r="AQ412" s="45"/>
      <c r="AR412" s="45"/>
      <c r="AS412" s="45"/>
      <c r="AT412" s="45"/>
      <c r="AU412" s="45"/>
      <c r="AV412" s="47"/>
      <c r="AW412" s="48" t="s">
        <v>67</v>
      </c>
      <c r="AX412" s="49" t="s">
        <v>68</v>
      </c>
      <c r="AY412" s="50">
        <f t="shared" si="39"/>
        <v>78.759799999999998</v>
      </c>
      <c r="AZ412" s="50">
        <f t="shared" si="40"/>
        <v>70.961799999999997</v>
      </c>
      <c r="BA412" s="51">
        <f t="shared" si="41"/>
        <v>40.159700000000001</v>
      </c>
    </row>
    <row r="413" spans="1:53" ht="22.5" customHeight="1">
      <c r="A413" s="41" t="s">
        <v>63</v>
      </c>
      <c r="B413" s="42" t="s">
        <v>64</v>
      </c>
      <c r="C413" s="43">
        <v>4017421</v>
      </c>
      <c r="D413" s="56" t="s">
        <v>599</v>
      </c>
      <c r="E413" s="56" t="s">
        <v>603</v>
      </c>
      <c r="F413" s="45">
        <v>5699</v>
      </c>
      <c r="G413" s="45">
        <v>2399</v>
      </c>
      <c r="H413" s="45">
        <v>3899</v>
      </c>
      <c r="I413" s="45">
        <v>3899</v>
      </c>
      <c r="J413" s="45">
        <v>3799</v>
      </c>
      <c r="K413" s="45">
        <v>3799</v>
      </c>
      <c r="L413" s="45">
        <v>3799</v>
      </c>
      <c r="M413" s="45">
        <v>3799</v>
      </c>
      <c r="N413" s="45">
        <v>3799</v>
      </c>
      <c r="O413" s="45">
        <v>3699</v>
      </c>
      <c r="P413" s="46">
        <v>3599</v>
      </c>
      <c r="Q413" s="46">
        <v>2499</v>
      </c>
      <c r="R413" s="45">
        <v>3699</v>
      </c>
      <c r="S413" s="45">
        <v>3599</v>
      </c>
      <c r="T413" s="45">
        <v>2499</v>
      </c>
      <c r="U413" s="45">
        <v>2499</v>
      </c>
      <c r="V413" s="45">
        <v>2499</v>
      </c>
      <c r="W413" s="45">
        <v>2499</v>
      </c>
      <c r="X413" s="45">
        <v>2399</v>
      </c>
      <c r="Y413" s="45">
        <v>2299</v>
      </c>
      <c r="Z413" s="45">
        <v>2299</v>
      </c>
      <c r="AA413" s="45">
        <v>2099</v>
      </c>
      <c r="AB413" s="45">
        <v>3799</v>
      </c>
      <c r="AC413" s="45">
        <v>3799</v>
      </c>
      <c r="AD413" s="45">
        <v>3799</v>
      </c>
      <c r="AE413" s="45">
        <v>3699</v>
      </c>
      <c r="AF413" s="45">
        <v>3599</v>
      </c>
      <c r="AG413" s="45">
        <v>3599</v>
      </c>
      <c r="AH413" s="45">
        <v>2499</v>
      </c>
      <c r="AI413" s="45">
        <v>2499</v>
      </c>
      <c r="AJ413" s="45">
        <v>2499</v>
      </c>
      <c r="AK413" s="45">
        <v>2499</v>
      </c>
      <c r="AL413" s="45">
        <v>2299</v>
      </c>
      <c r="AM413" s="45"/>
      <c r="AN413" s="45"/>
      <c r="AO413" s="45"/>
      <c r="AP413" s="45"/>
      <c r="AQ413" s="45"/>
      <c r="AR413" s="45"/>
      <c r="AS413" s="45"/>
      <c r="AT413" s="45"/>
      <c r="AU413" s="45"/>
      <c r="AV413" s="47"/>
      <c r="AW413" s="48" t="s">
        <v>67</v>
      </c>
      <c r="AX413" s="49" t="s">
        <v>68</v>
      </c>
      <c r="AY413" s="50">
        <f t="shared" si="39"/>
        <v>78.759799999999998</v>
      </c>
      <c r="AZ413" s="50">
        <f t="shared" si="40"/>
        <v>70.961799999999997</v>
      </c>
      <c r="BA413" s="51">
        <f t="shared" si="41"/>
        <v>40.159700000000001</v>
      </c>
    </row>
    <row r="414" spans="1:53" ht="22.5" customHeight="1">
      <c r="A414" s="41" t="s">
        <v>63</v>
      </c>
      <c r="B414" s="42" t="s">
        <v>64</v>
      </c>
      <c r="C414" s="43">
        <v>4017416</v>
      </c>
      <c r="D414" s="56" t="s">
        <v>599</v>
      </c>
      <c r="E414" s="56" t="s">
        <v>604</v>
      </c>
      <c r="F414" s="45">
        <v>5699</v>
      </c>
      <c r="G414" s="45">
        <v>2399</v>
      </c>
      <c r="H414" s="45">
        <v>3899</v>
      </c>
      <c r="I414" s="45">
        <v>3899</v>
      </c>
      <c r="J414" s="45">
        <v>3799</v>
      </c>
      <c r="K414" s="45">
        <v>3799</v>
      </c>
      <c r="L414" s="45">
        <v>3799</v>
      </c>
      <c r="M414" s="45">
        <v>3799</v>
      </c>
      <c r="N414" s="45">
        <v>3799</v>
      </c>
      <c r="O414" s="45">
        <v>3699</v>
      </c>
      <c r="P414" s="46">
        <v>3599</v>
      </c>
      <c r="Q414" s="46">
        <v>2499</v>
      </c>
      <c r="R414" s="45">
        <v>3699</v>
      </c>
      <c r="S414" s="45">
        <v>3599</v>
      </c>
      <c r="T414" s="45">
        <v>2499</v>
      </c>
      <c r="U414" s="45">
        <v>2499</v>
      </c>
      <c r="V414" s="45">
        <v>2499</v>
      </c>
      <c r="W414" s="45">
        <v>2499</v>
      </c>
      <c r="X414" s="45">
        <v>2399</v>
      </c>
      <c r="Y414" s="45">
        <v>2299</v>
      </c>
      <c r="Z414" s="45">
        <v>2299</v>
      </c>
      <c r="AA414" s="45">
        <v>2099</v>
      </c>
      <c r="AB414" s="45">
        <v>3799</v>
      </c>
      <c r="AC414" s="45">
        <v>3799</v>
      </c>
      <c r="AD414" s="45">
        <v>3799</v>
      </c>
      <c r="AE414" s="45">
        <v>3699</v>
      </c>
      <c r="AF414" s="45">
        <v>3599</v>
      </c>
      <c r="AG414" s="45">
        <v>3599</v>
      </c>
      <c r="AH414" s="45">
        <v>2499</v>
      </c>
      <c r="AI414" s="45">
        <v>2499</v>
      </c>
      <c r="AJ414" s="45">
        <v>2499</v>
      </c>
      <c r="AK414" s="45">
        <v>2499</v>
      </c>
      <c r="AL414" s="45">
        <v>2299</v>
      </c>
      <c r="AM414" s="45"/>
      <c r="AN414" s="45"/>
      <c r="AO414" s="45"/>
      <c r="AP414" s="45"/>
      <c r="AQ414" s="45"/>
      <c r="AR414" s="45"/>
      <c r="AS414" s="45"/>
      <c r="AT414" s="45"/>
      <c r="AU414" s="45"/>
      <c r="AV414" s="47"/>
      <c r="AW414" s="48" t="s">
        <v>67</v>
      </c>
      <c r="AX414" s="49" t="s">
        <v>68</v>
      </c>
      <c r="AY414" s="50">
        <f t="shared" si="39"/>
        <v>78.759799999999998</v>
      </c>
      <c r="AZ414" s="50">
        <f t="shared" si="40"/>
        <v>70.961799999999997</v>
      </c>
      <c r="BA414" s="51">
        <f t="shared" si="41"/>
        <v>40.159700000000001</v>
      </c>
    </row>
    <row r="415" spans="1:53" ht="22.5" customHeight="1">
      <c r="A415" s="41" t="s">
        <v>63</v>
      </c>
      <c r="B415" s="42" t="s">
        <v>64</v>
      </c>
      <c r="C415" s="43">
        <v>4017400</v>
      </c>
      <c r="D415" s="56" t="s">
        <v>599</v>
      </c>
      <c r="E415" s="56" t="s">
        <v>605</v>
      </c>
      <c r="F415" s="45">
        <v>5699</v>
      </c>
      <c r="G415" s="45">
        <v>2399</v>
      </c>
      <c r="H415" s="45">
        <v>3899</v>
      </c>
      <c r="I415" s="45">
        <v>3899</v>
      </c>
      <c r="J415" s="45">
        <v>3799</v>
      </c>
      <c r="K415" s="45">
        <v>3799</v>
      </c>
      <c r="L415" s="45">
        <v>3799</v>
      </c>
      <c r="M415" s="45">
        <v>3799</v>
      </c>
      <c r="N415" s="45">
        <v>3799</v>
      </c>
      <c r="O415" s="45">
        <v>3699</v>
      </c>
      <c r="P415" s="46">
        <v>3599</v>
      </c>
      <c r="Q415" s="46">
        <v>2499</v>
      </c>
      <c r="R415" s="45">
        <v>3699</v>
      </c>
      <c r="S415" s="45">
        <v>3599</v>
      </c>
      <c r="T415" s="45">
        <v>2499</v>
      </c>
      <c r="U415" s="45">
        <v>2499</v>
      </c>
      <c r="V415" s="45">
        <v>2499</v>
      </c>
      <c r="W415" s="45">
        <v>2499</v>
      </c>
      <c r="X415" s="45">
        <v>2399</v>
      </c>
      <c r="Y415" s="45">
        <v>2299</v>
      </c>
      <c r="Z415" s="45">
        <v>2299</v>
      </c>
      <c r="AA415" s="45">
        <v>2099</v>
      </c>
      <c r="AB415" s="45">
        <v>3799</v>
      </c>
      <c r="AC415" s="45">
        <v>3799</v>
      </c>
      <c r="AD415" s="45">
        <v>3799</v>
      </c>
      <c r="AE415" s="45">
        <v>3699</v>
      </c>
      <c r="AF415" s="45">
        <v>3599</v>
      </c>
      <c r="AG415" s="45">
        <v>3599</v>
      </c>
      <c r="AH415" s="45">
        <v>2499</v>
      </c>
      <c r="AI415" s="45">
        <v>2499</v>
      </c>
      <c r="AJ415" s="45">
        <v>2499</v>
      </c>
      <c r="AK415" s="45">
        <v>2499</v>
      </c>
      <c r="AL415" s="45">
        <v>2299</v>
      </c>
      <c r="AM415" s="45"/>
      <c r="AN415" s="45"/>
      <c r="AO415" s="45"/>
      <c r="AP415" s="45"/>
      <c r="AQ415" s="45"/>
      <c r="AR415" s="45"/>
      <c r="AS415" s="45"/>
      <c r="AT415" s="45"/>
      <c r="AU415" s="45"/>
      <c r="AV415" s="47"/>
      <c r="AW415" s="48" t="s">
        <v>67</v>
      </c>
      <c r="AX415" s="49" t="s">
        <v>68</v>
      </c>
      <c r="AY415" s="50">
        <f t="shared" si="39"/>
        <v>78.759799999999998</v>
      </c>
      <c r="AZ415" s="50">
        <f t="shared" si="40"/>
        <v>70.961799999999997</v>
      </c>
      <c r="BA415" s="51">
        <f t="shared" si="41"/>
        <v>40.159700000000001</v>
      </c>
    </row>
    <row r="416" spans="1:53" ht="22.5" customHeight="1">
      <c r="A416" s="41" t="s">
        <v>63</v>
      </c>
      <c r="B416" s="42" t="s">
        <v>64</v>
      </c>
      <c r="C416" s="43">
        <v>4017678</v>
      </c>
      <c r="D416" s="57" t="s">
        <v>606</v>
      </c>
      <c r="E416" s="56" t="s">
        <v>607</v>
      </c>
      <c r="F416" s="45">
        <v>7499</v>
      </c>
      <c r="G416" s="45">
        <v>3999</v>
      </c>
      <c r="H416" s="45">
        <v>6299</v>
      </c>
      <c r="I416" s="45">
        <v>6299</v>
      </c>
      <c r="J416" s="45">
        <v>5199</v>
      </c>
      <c r="K416" s="45">
        <v>5199</v>
      </c>
      <c r="L416" s="45">
        <v>5199</v>
      </c>
      <c r="M416" s="45">
        <v>5199</v>
      </c>
      <c r="N416" s="45">
        <v>5199</v>
      </c>
      <c r="O416" s="45">
        <v>5099</v>
      </c>
      <c r="P416" s="46">
        <v>5049</v>
      </c>
      <c r="Q416" s="46">
        <v>4999</v>
      </c>
      <c r="R416" s="45">
        <v>5099</v>
      </c>
      <c r="S416" s="45">
        <v>5049</v>
      </c>
      <c r="T416" s="45">
        <v>4999</v>
      </c>
      <c r="U416" s="45">
        <v>4999</v>
      </c>
      <c r="V416" s="45">
        <v>4999</v>
      </c>
      <c r="W416" s="45">
        <v>4999</v>
      </c>
      <c r="X416" s="45">
        <v>4899</v>
      </c>
      <c r="Y416" s="54">
        <v>3499</v>
      </c>
      <c r="Z416" s="54">
        <v>3499</v>
      </c>
      <c r="AA416" s="54">
        <v>3299</v>
      </c>
      <c r="AB416" s="45">
        <v>5199</v>
      </c>
      <c r="AC416" s="45">
        <v>5199</v>
      </c>
      <c r="AD416" s="45">
        <v>5199</v>
      </c>
      <c r="AE416" s="45">
        <v>5099</v>
      </c>
      <c r="AF416" s="45">
        <v>5049</v>
      </c>
      <c r="AG416" s="45">
        <v>5049</v>
      </c>
      <c r="AH416" s="45">
        <v>4999</v>
      </c>
      <c r="AI416" s="45">
        <v>4999</v>
      </c>
      <c r="AJ416" s="45">
        <v>4999</v>
      </c>
      <c r="AK416" s="45">
        <v>4999</v>
      </c>
      <c r="AL416" s="54">
        <v>3499</v>
      </c>
      <c r="AM416" s="45"/>
      <c r="AN416" s="45"/>
      <c r="AO416" s="45"/>
      <c r="AP416" s="45"/>
      <c r="AQ416" s="45"/>
      <c r="AR416" s="45"/>
      <c r="AS416" s="45"/>
      <c r="AT416" s="45"/>
      <c r="AU416" s="45"/>
      <c r="AV416" s="47"/>
      <c r="AW416" s="48" t="s">
        <v>67</v>
      </c>
      <c r="AX416" s="49" t="s">
        <v>68</v>
      </c>
      <c r="AY416" s="50">
        <f t="shared" si="39"/>
        <v>127.23979999999999</v>
      </c>
      <c r="AZ416" s="50">
        <f t="shared" si="40"/>
        <v>114.6418</v>
      </c>
      <c r="BA416" s="51">
        <f t="shared" si="41"/>
        <v>64.8797</v>
      </c>
    </row>
    <row r="417" spans="1:53" ht="22.5" customHeight="1">
      <c r="A417" s="41" t="s">
        <v>63</v>
      </c>
      <c r="B417" s="42" t="s">
        <v>64</v>
      </c>
      <c r="C417" s="43">
        <v>4017679</v>
      </c>
      <c r="D417" s="57" t="s">
        <v>606</v>
      </c>
      <c r="E417" s="56" t="s">
        <v>608</v>
      </c>
      <c r="F417" s="45">
        <v>7499</v>
      </c>
      <c r="G417" s="45">
        <v>3999</v>
      </c>
      <c r="H417" s="45">
        <v>6299</v>
      </c>
      <c r="I417" s="45">
        <v>6299</v>
      </c>
      <c r="J417" s="45">
        <v>5199</v>
      </c>
      <c r="K417" s="45">
        <v>5199</v>
      </c>
      <c r="L417" s="45">
        <v>5199</v>
      </c>
      <c r="M417" s="45">
        <v>5199</v>
      </c>
      <c r="N417" s="45">
        <v>5199</v>
      </c>
      <c r="O417" s="45">
        <v>5099</v>
      </c>
      <c r="P417" s="46">
        <v>5049</v>
      </c>
      <c r="Q417" s="46">
        <v>4999</v>
      </c>
      <c r="R417" s="45">
        <v>5099</v>
      </c>
      <c r="S417" s="45">
        <v>5049</v>
      </c>
      <c r="T417" s="45">
        <v>4999</v>
      </c>
      <c r="U417" s="45">
        <v>4999</v>
      </c>
      <c r="V417" s="45">
        <v>4999</v>
      </c>
      <c r="W417" s="45">
        <v>4999</v>
      </c>
      <c r="X417" s="45">
        <v>4899</v>
      </c>
      <c r="Y417" s="54">
        <v>3499</v>
      </c>
      <c r="Z417" s="54">
        <v>3499</v>
      </c>
      <c r="AA417" s="54">
        <v>3299</v>
      </c>
      <c r="AB417" s="45">
        <v>5199</v>
      </c>
      <c r="AC417" s="45">
        <v>5199</v>
      </c>
      <c r="AD417" s="45">
        <v>5199</v>
      </c>
      <c r="AE417" s="45">
        <v>5099</v>
      </c>
      <c r="AF417" s="45">
        <v>5049</v>
      </c>
      <c r="AG417" s="45">
        <v>5049</v>
      </c>
      <c r="AH417" s="45">
        <v>4999</v>
      </c>
      <c r="AI417" s="45">
        <v>4999</v>
      </c>
      <c r="AJ417" s="45">
        <v>4999</v>
      </c>
      <c r="AK417" s="45">
        <v>4999</v>
      </c>
      <c r="AL417" s="54">
        <v>3499</v>
      </c>
      <c r="AM417" s="45"/>
      <c r="AN417" s="45"/>
      <c r="AO417" s="45"/>
      <c r="AP417" s="45"/>
      <c r="AQ417" s="45"/>
      <c r="AR417" s="45"/>
      <c r="AS417" s="45"/>
      <c r="AT417" s="45"/>
      <c r="AU417" s="45"/>
      <c r="AV417" s="47"/>
      <c r="AW417" s="48" t="s">
        <v>67</v>
      </c>
      <c r="AX417" s="49" t="s">
        <v>68</v>
      </c>
      <c r="AY417" s="50">
        <f t="shared" si="39"/>
        <v>127.23979999999999</v>
      </c>
      <c r="AZ417" s="50">
        <f t="shared" si="40"/>
        <v>114.6418</v>
      </c>
      <c r="BA417" s="51">
        <f t="shared" si="41"/>
        <v>64.8797</v>
      </c>
    </row>
    <row r="418" spans="1:53" ht="22.5" customHeight="1">
      <c r="A418" s="41" t="s">
        <v>63</v>
      </c>
      <c r="B418" s="42" t="s">
        <v>64</v>
      </c>
      <c r="C418" s="43">
        <v>4017750</v>
      </c>
      <c r="D418" s="57" t="s">
        <v>606</v>
      </c>
      <c r="E418" s="56" t="s">
        <v>609</v>
      </c>
      <c r="F418" s="45">
        <v>7499</v>
      </c>
      <c r="G418" s="45">
        <v>3999</v>
      </c>
      <c r="H418" s="45">
        <v>6299</v>
      </c>
      <c r="I418" s="45">
        <v>6299</v>
      </c>
      <c r="J418" s="45">
        <v>5199</v>
      </c>
      <c r="K418" s="45">
        <v>5199</v>
      </c>
      <c r="L418" s="45">
        <v>5199</v>
      </c>
      <c r="M418" s="45">
        <v>5199</v>
      </c>
      <c r="N418" s="45">
        <v>5199</v>
      </c>
      <c r="O418" s="45">
        <v>5099</v>
      </c>
      <c r="P418" s="46">
        <v>5049</v>
      </c>
      <c r="Q418" s="46">
        <v>4999</v>
      </c>
      <c r="R418" s="45">
        <v>5099</v>
      </c>
      <c r="S418" s="45">
        <v>5049</v>
      </c>
      <c r="T418" s="45">
        <v>4999</v>
      </c>
      <c r="U418" s="45">
        <v>4999</v>
      </c>
      <c r="V418" s="45">
        <v>4999</v>
      </c>
      <c r="W418" s="45">
        <v>4999</v>
      </c>
      <c r="X418" s="45">
        <v>4899</v>
      </c>
      <c r="Y418" s="54">
        <v>3499</v>
      </c>
      <c r="Z418" s="54">
        <v>3499</v>
      </c>
      <c r="AA418" s="54">
        <v>3299</v>
      </c>
      <c r="AB418" s="45">
        <v>5199</v>
      </c>
      <c r="AC418" s="45">
        <v>5199</v>
      </c>
      <c r="AD418" s="45">
        <v>5199</v>
      </c>
      <c r="AE418" s="45">
        <v>5099</v>
      </c>
      <c r="AF418" s="45">
        <v>5049</v>
      </c>
      <c r="AG418" s="45">
        <v>5049</v>
      </c>
      <c r="AH418" s="45">
        <v>4999</v>
      </c>
      <c r="AI418" s="45">
        <v>4999</v>
      </c>
      <c r="AJ418" s="45">
        <v>4999</v>
      </c>
      <c r="AK418" s="45">
        <v>4999</v>
      </c>
      <c r="AL418" s="54">
        <v>3499</v>
      </c>
      <c r="AM418" s="45"/>
      <c r="AN418" s="45"/>
      <c r="AO418" s="45"/>
      <c r="AP418" s="45"/>
      <c r="AQ418" s="45"/>
      <c r="AR418" s="45"/>
      <c r="AS418" s="45"/>
      <c r="AT418" s="45"/>
      <c r="AU418" s="45"/>
      <c r="AV418" s="47"/>
      <c r="AW418" s="48" t="s">
        <v>67</v>
      </c>
      <c r="AX418" s="49" t="s">
        <v>68</v>
      </c>
      <c r="AY418" s="50">
        <f t="shared" si="39"/>
        <v>127.23979999999999</v>
      </c>
      <c r="AZ418" s="50">
        <f t="shared" si="40"/>
        <v>114.6418</v>
      </c>
      <c r="BA418" s="51">
        <f t="shared" si="41"/>
        <v>64.8797</v>
      </c>
    </row>
    <row r="419" spans="1:53" ht="22.5" customHeight="1">
      <c r="A419" s="41" t="s">
        <v>63</v>
      </c>
      <c r="B419" s="42" t="s">
        <v>64</v>
      </c>
      <c r="C419" s="43">
        <v>4017751</v>
      </c>
      <c r="D419" s="57" t="s">
        <v>606</v>
      </c>
      <c r="E419" s="56" t="s">
        <v>610</v>
      </c>
      <c r="F419" s="45">
        <v>7499</v>
      </c>
      <c r="G419" s="45">
        <v>3999</v>
      </c>
      <c r="H419" s="45">
        <v>6299</v>
      </c>
      <c r="I419" s="45">
        <v>6299</v>
      </c>
      <c r="J419" s="45">
        <v>5199</v>
      </c>
      <c r="K419" s="45">
        <v>5199</v>
      </c>
      <c r="L419" s="45">
        <v>5199</v>
      </c>
      <c r="M419" s="45">
        <v>5199</v>
      </c>
      <c r="N419" s="45">
        <v>5199</v>
      </c>
      <c r="O419" s="45">
        <v>5099</v>
      </c>
      <c r="P419" s="46">
        <v>5049</v>
      </c>
      <c r="Q419" s="46">
        <v>4999</v>
      </c>
      <c r="R419" s="45">
        <v>5099</v>
      </c>
      <c r="S419" s="45">
        <v>5049</v>
      </c>
      <c r="T419" s="45">
        <v>4999</v>
      </c>
      <c r="U419" s="45">
        <v>4999</v>
      </c>
      <c r="V419" s="45">
        <v>4999</v>
      </c>
      <c r="W419" s="45">
        <v>4999</v>
      </c>
      <c r="X419" s="45">
        <v>4899</v>
      </c>
      <c r="Y419" s="54">
        <v>3499</v>
      </c>
      <c r="Z419" s="54">
        <v>3499</v>
      </c>
      <c r="AA419" s="54">
        <v>3299</v>
      </c>
      <c r="AB419" s="45">
        <v>5199</v>
      </c>
      <c r="AC419" s="45">
        <v>5199</v>
      </c>
      <c r="AD419" s="45">
        <v>5199</v>
      </c>
      <c r="AE419" s="45">
        <v>5099</v>
      </c>
      <c r="AF419" s="45">
        <v>5049</v>
      </c>
      <c r="AG419" s="45">
        <v>5049</v>
      </c>
      <c r="AH419" s="45">
        <v>4999</v>
      </c>
      <c r="AI419" s="45">
        <v>4999</v>
      </c>
      <c r="AJ419" s="45">
        <v>4999</v>
      </c>
      <c r="AK419" s="45">
        <v>4999</v>
      </c>
      <c r="AL419" s="54">
        <v>3499</v>
      </c>
      <c r="AM419" s="45"/>
      <c r="AN419" s="45"/>
      <c r="AO419" s="45"/>
      <c r="AP419" s="45"/>
      <c r="AQ419" s="45"/>
      <c r="AR419" s="45"/>
      <c r="AS419" s="45"/>
      <c r="AT419" s="45"/>
      <c r="AU419" s="45"/>
      <c r="AV419" s="47"/>
      <c r="AW419" s="48" t="s">
        <v>67</v>
      </c>
      <c r="AX419" s="49" t="s">
        <v>68</v>
      </c>
      <c r="AY419" s="50">
        <f t="shared" si="39"/>
        <v>127.23979999999999</v>
      </c>
      <c r="AZ419" s="50">
        <f t="shared" si="40"/>
        <v>114.6418</v>
      </c>
      <c r="BA419" s="51">
        <f t="shared" si="41"/>
        <v>64.8797</v>
      </c>
    </row>
    <row r="420" spans="1:53" ht="22.5" customHeight="1">
      <c r="A420" s="41" t="s">
        <v>63</v>
      </c>
      <c r="B420" s="42" t="s">
        <v>64</v>
      </c>
      <c r="C420" s="43">
        <v>4017756</v>
      </c>
      <c r="D420" s="57" t="s">
        <v>606</v>
      </c>
      <c r="E420" s="56" t="s">
        <v>611</v>
      </c>
      <c r="F420" s="45">
        <v>7499</v>
      </c>
      <c r="G420" s="45">
        <v>3999</v>
      </c>
      <c r="H420" s="45">
        <v>6299</v>
      </c>
      <c r="I420" s="45">
        <v>6299</v>
      </c>
      <c r="J420" s="45">
        <v>5199</v>
      </c>
      <c r="K420" s="45">
        <v>5199</v>
      </c>
      <c r="L420" s="45">
        <v>5199</v>
      </c>
      <c r="M420" s="45">
        <v>5199</v>
      </c>
      <c r="N420" s="45">
        <v>5199</v>
      </c>
      <c r="O420" s="45">
        <v>5099</v>
      </c>
      <c r="P420" s="46">
        <v>5049</v>
      </c>
      <c r="Q420" s="46">
        <v>4999</v>
      </c>
      <c r="R420" s="45">
        <v>5099</v>
      </c>
      <c r="S420" s="45">
        <v>5049</v>
      </c>
      <c r="T420" s="45">
        <v>4999</v>
      </c>
      <c r="U420" s="45">
        <v>4999</v>
      </c>
      <c r="V420" s="45">
        <v>4999</v>
      </c>
      <c r="W420" s="45">
        <v>4999</v>
      </c>
      <c r="X420" s="45">
        <v>4899</v>
      </c>
      <c r="Y420" s="54">
        <v>3499</v>
      </c>
      <c r="Z420" s="54">
        <v>3499</v>
      </c>
      <c r="AA420" s="54">
        <v>3299</v>
      </c>
      <c r="AB420" s="45">
        <v>5199</v>
      </c>
      <c r="AC420" s="45">
        <v>5199</v>
      </c>
      <c r="AD420" s="45">
        <v>5199</v>
      </c>
      <c r="AE420" s="45">
        <v>5099</v>
      </c>
      <c r="AF420" s="45">
        <v>5049</v>
      </c>
      <c r="AG420" s="45">
        <v>5049</v>
      </c>
      <c r="AH420" s="45">
        <v>4999</v>
      </c>
      <c r="AI420" s="45">
        <v>4999</v>
      </c>
      <c r="AJ420" s="45">
        <v>4999</v>
      </c>
      <c r="AK420" s="45">
        <v>4999</v>
      </c>
      <c r="AL420" s="54">
        <v>3499</v>
      </c>
      <c r="AM420" s="45"/>
      <c r="AN420" s="45"/>
      <c r="AO420" s="45"/>
      <c r="AP420" s="45"/>
      <c r="AQ420" s="45"/>
      <c r="AR420" s="45"/>
      <c r="AS420" s="45"/>
      <c r="AT420" s="45"/>
      <c r="AU420" s="45"/>
      <c r="AV420" s="47"/>
      <c r="AW420" s="48" t="s">
        <v>67</v>
      </c>
      <c r="AX420" s="49" t="s">
        <v>68</v>
      </c>
      <c r="AY420" s="50">
        <f t="shared" si="39"/>
        <v>127.23979999999999</v>
      </c>
      <c r="AZ420" s="50">
        <f t="shared" si="40"/>
        <v>114.6418</v>
      </c>
      <c r="BA420" s="51">
        <f t="shared" si="41"/>
        <v>64.8797</v>
      </c>
    </row>
    <row r="421" spans="1:53" ht="22.5" customHeight="1">
      <c r="A421" s="41" t="s">
        <v>63</v>
      </c>
      <c r="B421" s="42" t="s">
        <v>64</v>
      </c>
      <c r="C421" s="43">
        <v>4017757</v>
      </c>
      <c r="D421" s="57" t="s">
        <v>606</v>
      </c>
      <c r="E421" s="56" t="s">
        <v>612</v>
      </c>
      <c r="F421" s="45">
        <v>7499</v>
      </c>
      <c r="G421" s="45">
        <v>3999</v>
      </c>
      <c r="H421" s="45">
        <v>6299</v>
      </c>
      <c r="I421" s="45">
        <v>6299</v>
      </c>
      <c r="J421" s="45">
        <v>5199</v>
      </c>
      <c r="K421" s="45">
        <v>5199</v>
      </c>
      <c r="L421" s="45">
        <v>5199</v>
      </c>
      <c r="M421" s="45">
        <v>5199</v>
      </c>
      <c r="N421" s="45">
        <v>5199</v>
      </c>
      <c r="O421" s="45">
        <v>5099</v>
      </c>
      <c r="P421" s="46">
        <v>5049</v>
      </c>
      <c r="Q421" s="46">
        <v>4999</v>
      </c>
      <c r="R421" s="45">
        <v>5099</v>
      </c>
      <c r="S421" s="45">
        <v>5049</v>
      </c>
      <c r="T421" s="45">
        <v>4999</v>
      </c>
      <c r="U421" s="45">
        <v>4999</v>
      </c>
      <c r="V421" s="45">
        <v>4999</v>
      </c>
      <c r="W421" s="45">
        <v>4999</v>
      </c>
      <c r="X421" s="45">
        <v>4899</v>
      </c>
      <c r="Y421" s="54">
        <v>3499</v>
      </c>
      <c r="Z421" s="54">
        <v>3499</v>
      </c>
      <c r="AA421" s="54">
        <v>3299</v>
      </c>
      <c r="AB421" s="45">
        <v>5199</v>
      </c>
      <c r="AC421" s="45">
        <v>5199</v>
      </c>
      <c r="AD421" s="45">
        <v>5199</v>
      </c>
      <c r="AE421" s="45">
        <v>5099</v>
      </c>
      <c r="AF421" s="45">
        <v>5049</v>
      </c>
      <c r="AG421" s="45">
        <v>5049</v>
      </c>
      <c r="AH421" s="45">
        <v>4999</v>
      </c>
      <c r="AI421" s="45">
        <v>4999</v>
      </c>
      <c r="AJ421" s="45">
        <v>4999</v>
      </c>
      <c r="AK421" s="45">
        <v>4999</v>
      </c>
      <c r="AL421" s="54">
        <v>3499</v>
      </c>
      <c r="AM421" s="45"/>
      <c r="AN421" s="45"/>
      <c r="AO421" s="45"/>
      <c r="AP421" s="45"/>
      <c r="AQ421" s="45"/>
      <c r="AR421" s="45"/>
      <c r="AS421" s="45"/>
      <c r="AT421" s="45"/>
      <c r="AU421" s="45"/>
      <c r="AV421" s="47"/>
      <c r="AW421" s="48" t="s">
        <v>67</v>
      </c>
      <c r="AX421" s="49" t="s">
        <v>68</v>
      </c>
      <c r="AY421" s="50">
        <f t="shared" si="39"/>
        <v>127.23979999999999</v>
      </c>
      <c r="AZ421" s="50">
        <f t="shared" si="40"/>
        <v>114.6418</v>
      </c>
      <c r="BA421" s="51">
        <f t="shared" si="41"/>
        <v>64.8797</v>
      </c>
    </row>
    <row r="422" spans="1:53" ht="22.5" customHeight="1">
      <c r="A422" s="41" t="s">
        <v>63</v>
      </c>
      <c r="B422" s="42" t="s">
        <v>64</v>
      </c>
      <c r="C422" s="43">
        <v>4017746</v>
      </c>
      <c r="D422" s="56" t="s">
        <v>613</v>
      </c>
      <c r="E422" s="56" t="s">
        <v>614</v>
      </c>
      <c r="F422" s="45">
        <v>9099</v>
      </c>
      <c r="G422" s="45">
        <v>4499</v>
      </c>
      <c r="H422" s="45">
        <v>7199</v>
      </c>
      <c r="I422" s="45">
        <v>7199</v>
      </c>
      <c r="J422" s="45">
        <v>7099</v>
      </c>
      <c r="K422" s="45">
        <v>7099</v>
      </c>
      <c r="L422" s="45">
        <v>7099</v>
      </c>
      <c r="M422" s="45">
        <v>7099</v>
      </c>
      <c r="N422" s="45">
        <v>7099</v>
      </c>
      <c r="O422" s="45">
        <v>6999</v>
      </c>
      <c r="P422" s="46">
        <v>6899</v>
      </c>
      <c r="Q422" s="46">
        <v>6499</v>
      </c>
      <c r="R422" s="45">
        <v>6999</v>
      </c>
      <c r="S422" s="45">
        <v>6899</v>
      </c>
      <c r="T422" s="45">
        <v>6499</v>
      </c>
      <c r="U422" s="45">
        <v>6499</v>
      </c>
      <c r="V422" s="45">
        <v>6499</v>
      </c>
      <c r="W422" s="45">
        <v>6499</v>
      </c>
      <c r="X422" s="45">
        <v>6399</v>
      </c>
      <c r="Y422" s="45">
        <v>4799</v>
      </c>
      <c r="Z422" s="45">
        <v>4799</v>
      </c>
      <c r="AA422" s="45">
        <v>4699</v>
      </c>
      <c r="AB422" s="45"/>
      <c r="AC422" s="45"/>
      <c r="AD422" s="45"/>
      <c r="AE422" s="45"/>
      <c r="AF422" s="45"/>
      <c r="AG422" s="45"/>
      <c r="AH422" s="45"/>
      <c r="AI422" s="45"/>
      <c r="AJ422" s="45"/>
      <c r="AK422" s="45"/>
      <c r="AL422" s="45"/>
      <c r="AM422" s="45"/>
      <c r="AN422" s="45"/>
      <c r="AO422" s="45"/>
      <c r="AP422" s="45"/>
      <c r="AQ422" s="45"/>
      <c r="AR422" s="45"/>
      <c r="AS422" s="45"/>
      <c r="AT422" s="45"/>
      <c r="AU422" s="45"/>
      <c r="AV422" s="47"/>
      <c r="AW422" s="48" t="s">
        <v>67</v>
      </c>
      <c r="AX422" s="49" t="s">
        <v>68</v>
      </c>
      <c r="AY422" s="50">
        <f t="shared" si="39"/>
        <v>145.41979999999998</v>
      </c>
      <c r="AZ422" s="50">
        <f t="shared" si="40"/>
        <v>131.02180000000001</v>
      </c>
      <c r="BA422" s="51">
        <f t="shared" si="41"/>
        <v>74.149699999999996</v>
      </c>
    </row>
    <row r="423" spans="1:53" ht="22.5" customHeight="1">
      <c r="A423" s="41" t="s">
        <v>63</v>
      </c>
      <c r="B423" s="42" t="s">
        <v>64</v>
      </c>
      <c r="C423" s="43">
        <v>4017748</v>
      </c>
      <c r="D423" s="56" t="s">
        <v>613</v>
      </c>
      <c r="E423" s="56" t="s">
        <v>615</v>
      </c>
      <c r="F423" s="45">
        <v>9099</v>
      </c>
      <c r="G423" s="45">
        <v>4499</v>
      </c>
      <c r="H423" s="45">
        <v>7199</v>
      </c>
      <c r="I423" s="45">
        <v>7199</v>
      </c>
      <c r="J423" s="45">
        <v>7099</v>
      </c>
      <c r="K423" s="45">
        <v>7099</v>
      </c>
      <c r="L423" s="45">
        <v>7099</v>
      </c>
      <c r="M423" s="45">
        <v>7099</v>
      </c>
      <c r="N423" s="45">
        <v>7099</v>
      </c>
      <c r="O423" s="45">
        <v>6999</v>
      </c>
      <c r="P423" s="46">
        <v>6899</v>
      </c>
      <c r="Q423" s="46">
        <v>6499</v>
      </c>
      <c r="R423" s="45">
        <v>6999</v>
      </c>
      <c r="S423" s="45">
        <v>6899</v>
      </c>
      <c r="T423" s="45">
        <v>6499</v>
      </c>
      <c r="U423" s="45">
        <v>6499</v>
      </c>
      <c r="V423" s="45">
        <v>6499</v>
      </c>
      <c r="W423" s="45">
        <v>6499</v>
      </c>
      <c r="X423" s="45">
        <v>6399</v>
      </c>
      <c r="Y423" s="45">
        <v>4799</v>
      </c>
      <c r="Z423" s="45">
        <v>4799</v>
      </c>
      <c r="AA423" s="45">
        <v>4699</v>
      </c>
      <c r="AB423" s="45"/>
      <c r="AC423" s="45"/>
      <c r="AD423" s="45"/>
      <c r="AE423" s="45"/>
      <c r="AF423" s="45"/>
      <c r="AG423" s="45"/>
      <c r="AH423" s="45"/>
      <c r="AI423" s="45"/>
      <c r="AJ423" s="45"/>
      <c r="AK423" s="45"/>
      <c r="AL423" s="45"/>
      <c r="AM423" s="45"/>
      <c r="AN423" s="45"/>
      <c r="AO423" s="45"/>
      <c r="AP423" s="45"/>
      <c r="AQ423" s="45"/>
      <c r="AR423" s="45"/>
      <c r="AS423" s="45"/>
      <c r="AT423" s="45"/>
      <c r="AU423" s="45"/>
      <c r="AV423" s="47"/>
      <c r="AW423" s="48" t="s">
        <v>67</v>
      </c>
      <c r="AX423" s="49" t="s">
        <v>68</v>
      </c>
      <c r="AY423" s="50">
        <f t="shared" si="39"/>
        <v>145.41979999999998</v>
      </c>
      <c r="AZ423" s="50">
        <f t="shared" si="40"/>
        <v>131.02180000000001</v>
      </c>
      <c r="BA423" s="51">
        <f t="shared" si="41"/>
        <v>74.149699999999996</v>
      </c>
    </row>
    <row r="424" spans="1:53" ht="22.5" customHeight="1">
      <c r="A424" s="41" t="s">
        <v>63</v>
      </c>
      <c r="B424" s="42" t="s">
        <v>64</v>
      </c>
      <c r="C424" s="43">
        <v>4017752</v>
      </c>
      <c r="D424" s="56" t="s">
        <v>613</v>
      </c>
      <c r="E424" s="56" t="s">
        <v>616</v>
      </c>
      <c r="F424" s="45">
        <v>9099</v>
      </c>
      <c r="G424" s="45">
        <v>4499</v>
      </c>
      <c r="H424" s="45">
        <v>7199</v>
      </c>
      <c r="I424" s="45">
        <v>7199</v>
      </c>
      <c r="J424" s="45">
        <v>7099</v>
      </c>
      <c r="K424" s="45">
        <v>7099</v>
      </c>
      <c r="L424" s="45">
        <v>7099</v>
      </c>
      <c r="M424" s="45">
        <v>7099</v>
      </c>
      <c r="N424" s="45">
        <v>7099</v>
      </c>
      <c r="O424" s="45">
        <v>6999</v>
      </c>
      <c r="P424" s="46">
        <v>6899</v>
      </c>
      <c r="Q424" s="46">
        <v>6499</v>
      </c>
      <c r="R424" s="45">
        <v>6999</v>
      </c>
      <c r="S424" s="45">
        <v>6899</v>
      </c>
      <c r="T424" s="45">
        <v>6499</v>
      </c>
      <c r="U424" s="45">
        <v>6499</v>
      </c>
      <c r="V424" s="45">
        <v>6499</v>
      </c>
      <c r="W424" s="45">
        <v>6499</v>
      </c>
      <c r="X424" s="45">
        <v>6399</v>
      </c>
      <c r="Y424" s="45">
        <v>4799</v>
      </c>
      <c r="Z424" s="45">
        <v>4799</v>
      </c>
      <c r="AA424" s="45">
        <v>4699</v>
      </c>
      <c r="AB424" s="45"/>
      <c r="AC424" s="45"/>
      <c r="AD424" s="45"/>
      <c r="AE424" s="45"/>
      <c r="AF424" s="45"/>
      <c r="AG424" s="45"/>
      <c r="AH424" s="45"/>
      <c r="AI424" s="45"/>
      <c r="AJ424" s="45"/>
      <c r="AK424" s="45"/>
      <c r="AL424" s="45"/>
      <c r="AM424" s="45"/>
      <c r="AN424" s="45"/>
      <c r="AO424" s="45"/>
      <c r="AP424" s="45"/>
      <c r="AQ424" s="45"/>
      <c r="AR424" s="45"/>
      <c r="AS424" s="45"/>
      <c r="AT424" s="45"/>
      <c r="AU424" s="45"/>
      <c r="AV424" s="47"/>
      <c r="AW424" s="48" t="s">
        <v>67</v>
      </c>
      <c r="AX424" s="49" t="s">
        <v>68</v>
      </c>
      <c r="AY424" s="50">
        <f t="shared" si="39"/>
        <v>145.41979999999998</v>
      </c>
      <c r="AZ424" s="50">
        <f t="shared" si="40"/>
        <v>131.02180000000001</v>
      </c>
      <c r="BA424" s="51">
        <f t="shared" si="41"/>
        <v>74.149699999999996</v>
      </c>
    </row>
    <row r="425" spans="1:53" ht="22.5" customHeight="1">
      <c r="A425" s="41" t="s">
        <v>63</v>
      </c>
      <c r="B425" s="42" t="s">
        <v>64</v>
      </c>
      <c r="C425" s="43">
        <v>4017754</v>
      </c>
      <c r="D425" s="56" t="s">
        <v>613</v>
      </c>
      <c r="E425" s="56" t="s">
        <v>617</v>
      </c>
      <c r="F425" s="45">
        <v>9099</v>
      </c>
      <c r="G425" s="45">
        <v>4499</v>
      </c>
      <c r="H425" s="45">
        <v>7199</v>
      </c>
      <c r="I425" s="45">
        <v>7199</v>
      </c>
      <c r="J425" s="45">
        <v>7099</v>
      </c>
      <c r="K425" s="45">
        <v>7099</v>
      </c>
      <c r="L425" s="45">
        <v>7099</v>
      </c>
      <c r="M425" s="45">
        <v>7099</v>
      </c>
      <c r="N425" s="45">
        <v>7099</v>
      </c>
      <c r="O425" s="45">
        <v>6999</v>
      </c>
      <c r="P425" s="46">
        <v>6899</v>
      </c>
      <c r="Q425" s="46">
        <v>6499</v>
      </c>
      <c r="R425" s="45">
        <v>6999</v>
      </c>
      <c r="S425" s="45">
        <v>6899</v>
      </c>
      <c r="T425" s="45">
        <v>6499</v>
      </c>
      <c r="U425" s="45">
        <v>6499</v>
      </c>
      <c r="V425" s="45">
        <v>6499</v>
      </c>
      <c r="W425" s="45">
        <v>6499</v>
      </c>
      <c r="X425" s="45">
        <v>6399</v>
      </c>
      <c r="Y425" s="45">
        <v>4799</v>
      </c>
      <c r="Z425" s="45">
        <v>4799</v>
      </c>
      <c r="AA425" s="45">
        <v>4699</v>
      </c>
      <c r="AB425" s="45"/>
      <c r="AC425" s="45"/>
      <c r="AD425" s="45"/>
      <c r="AE425" s="45"/>
      <c r="AF425" s="45"/>
      <c r="AG425" s="45"/>
      <c r="AH425" s="45"/>
      <c r="AI425" s="45"/>
      <c r="AJ425" s="45"/>
      <c r="AK425" s="45"/>
      <c r="AL425" s="45"/>
      <c r="AM425" s="45"/>
      <c r="AN425" s="45"/>
      <c r="AO425" s="45"/>
      <c r="AP425" s="45"/>
      <c r="AQ425" s="45"/>
      <c r="AR425" s="45"/>
      <c r="AS425" s="45"/>
      <c r="AT425" s="45"/>
      <c r="AU425" s="45"/>
      <c r="AV425" s="47"/>
      <c r="AW425" s="48" t="s">
        <v>67</v>
      </c>
      <c r="AX425" s="49" t="s">
        <v>68</v>
      </c>
      <c r="AY425" s="50">
        <f t="shared" si="39"/>
        <v>145.41979999999998</v>
      </c>
      <c r="AZ425" s="50">
        <f t="shared" si="40"/>
        <v>131.02180000000001</v>
      </c>
      <c r="BA425" s="51">
        <f t="shared" si="41"/>
        <v>74.149699999999996</v>
      </c>
    </row>
    <row r="426" spans="1:53" ht="22.5" customHeight="1">
      <c r="A426" s="41" t="s">
        <v>63</v>
      </c>
      <c r="B426" s="42" t="s">
        <v>64</v>
      </c>
      <c r="C426" s="43">
        <v>4017675</v>
      </c>
      <c r="D426" s="56" t="s">
        <v>613</v>
      </c>
      <c r="E426" s="56" t="s">
        <v>618</v>
      </c>
      <c r="F426" s="45">
        <v>9099</v>
      </c>
      <c r="G426" s="45">
        <v>4499</v>
      </c>
      <c r="H426" s="45">
        <v>7199</v>
      </c>
      <c r="I426" s="45">
        <v>7199</v>
      </c>
      <c r="J426" s="45">
        <v>7099</v>
      </c>
      <c r="K426" s="45">
        <v>7099</v>
      </c>
      <c r="L426" s="45">
        <v>7099</v>
      </c>
      <c r="M426" s="45">
        <v>7099</v>
      </c>
      <c r="N426" s="45">
        <v>7099</v>
      </c>
      <c r="O426" s="45">
        <v>6999</v>
      </c>
      <c r="P426" s="46">
        <v>6899</v>
      </c>
      <c r="Q426" s="46">
        <v>6499</v>
      </c>
      <c r="R426" s="45">
        <v>6999</v>
      </c>
      <c r="S426" s="45">
        <v>6899</v>
      </c>
      <c r="T426" s="45">
        <v>6499</v>
      </c>
      <c r="U426" s="45">
        <v>6499</v>
      </c>
      <c r="V426" s="45">
        <v>6499</v>
      </c>
      <c r="W426" s="45">
        <v>6499</v>
      </c>
      <c r="X426" s="45">
        <v>6399</v>
      </c>
      <c r="Y426" s="45">
        <v>4799</v>
      </c>
      <c r="Z426" s="45">
        <v>4799</v>
      </c>
      <c r="AA426" s="45">
        <v>4699</v>
      </c>
      <c r="AB426" s="45"/>
      <c r="AC426" s="45"/>
      <c r="AD426" s="45"/>
      <c r="AE426" s="45"/>
      <c r="AF426" s="45"/>
      <c r="AG426" s="45"/>
      <c r="AH426" s="45"/>
      <c r="AI426" s="45"/>
      <c r="AJ426" s="45"/>
      <c r="AK426" s="45"/>
      <c r="AL426" s="45"/>
      <c r="AM426" s="45"/>
      <c r="AN426" s="45"/>
      <c r="AO426" s="45"/>
      <c r="AP426" s="45"/>
      <c r="AQ426" s="45"/>
      <c r="AR426" s="45"/>
      <c r="AS426" s="45"/>
      <c r="AT426" s="45"/>
      <c r="AU426" s="45"/>
      <c r="AV426" s="47"/>
      <c r="AW426" s="48" t="s">
        <v>67</v>
      </c>
      <c r="AX426" s="49" t="s">
        <v>68</v>
      </c>
      <c r="AY426" s="50">
        <f t="shared" si="39"/>
        <v>145.41979999999998</v>
      </c>
      <c r="AZ426" s="50">
        <f t="shared" si="40"/>
        <v>131.02180000000001</v>
      </c>
      <c r="BA426" s="51">
        <f t="shared" si="41"/>
        <v>74.149699999999996</v>
      </c>
    </row>
    <row r="427" spans="1:53" ht="22.5" customHeight="1">
      <c r="A427" s="41" t="s">
        <v>63</v>
      </c>
      <c r="B427" s="42" t="s">
        <v>64</v>
      </c>
      <c r="C427" s="43">
        <v>4017676</v>
      </c>
      <c r="D427" s="56" t="s">
        <v>613</v>
      </c>
      <c r="E427" s="56" t="s">
        <v>619</v>
      </c>
      <c r="F427" s="45">
        <v>9099</v>
      </c>
      <c r="G427" s="45">
        <v>4499</v>
      </c>
      <c r="H427" s="45">
        <v>7199</v>
      </c>
      <c r="I427" s="45">
        <v>7199</v>
      </c>
      <c r="J427" s="45">
        <v>7099</v>
      </c>
      <c r="K427" s="45">
        <v>7099</v>
      </c>
      <c r="L427" s="45">
        <v>7099</v>
      </c>
      <c r="M427" s="45">
        <v>7099</v>
      </c>
      <c r="N427" s="45">
        <v>7099</v>
      </c>
      <c r="O427" s="45">
        <v>6999</v>
      </c>
      <c r="P427" s="46">
        <v>6899</v>
      </c>
      <c r="Q427" s="46">
        <v>6499</v>
      </c>
      <c r="R427" s="45">
        <v>6999</v>
      </c>
      <c r="S427" s="45">
        <v>6899</v>
      </c>
      <c r="T427" s="45">
        <v>6499</v>
      </c>
      <c r="U427" s="45">
        <v>6499</v>
      </c>
      <c r="V427" s="45">
        <v>6499</v>
      </c>
      <c r="W427" s="45">
        <v>6499</v>
      </c>
      <c r="X427" s="45">
        <v>6399</v>
      </c>
      <c r="Y427" s="45">
        <v>4799</v>
      </c>
      <c r="Z427" s="45">
        <v>4799</v>
      </c>
      <c r="AA427" s="45">
        <v>4699</v>
      </c>
      <c r="AB427" s="45"/>
      <c r="AC427" s="45"/>
      <c r="AD427" s="45"/>
      <c r="AE427" s="45"/>
      <c r="AF427" s="45"/>
      <c r="AG427" s="45"/>
      <c r="AH427" s="45"/>
      <c r="AI427" s="45"/>
      <c r="AJ427" s="45"/>
      <c r="AK427" s="45"/>
      <c r="AL427" s="45"/>
      <c r="AM427" s="45"/>
      <c r="AN427" s="45"/>
      <c r="AO427" s="45"/>
      <c r="AP427" s="45"/>
      <c r="AQ427" s="45"/>
      <c r="AR427" s="45"/>
      <c r="AS427" s="45"/>
      <c r="AT427" s="45"/>
      <c r="AU427" s="45"/>
      <c r="AV427" s="47"/>
      <c r="AW427" s="48" t="s">
        <v>67</v>
      </c>
      <c r="AX427" s="49" t="s">
        <v>68</v>
      </c>
      <c r="AY427" s="50">
        <f t="shared" si="39"/>
        <v>145.41979999999998</v>
      </c>
      <c r="AZ427" s="50">
        <f t="shared" si="40"/>
        <v>131.02180000000001</v>
      </c>
      <c r="BA427" s="51">
        <f t="shared" si="41"/>
        <v>74.149699999999996</v>
      </c>
    </row>
    <row r="428" spans="1:53" ht="22.5" customHeight="1">
      <c r="A428" s="41" t="s">
        <v>63</v>
      </c>
      <c r="B428" s="42" t="s">
        <v>64</v>
      </c>
      <c r="C428" s="43">
        <v>4017762</v>
      </c>
      <c r="D428" s="57" t="s">
        <v>620</v>
      </c>
      <c r="E428" s="56" t="s">
        <v>621</v>
      </c>
      <c r="F428" s="45">
        <v>9199</v>
      </c>
      <c r="G428" s="45">
        <v>4999</v>
      </c>
      <c r="H428" s="45">
        <v>7699</v>
      </c>
      <c r="I428" s="45">
        <v>7699</v>
      </c>
      <c r="J428" s="45">
        <v>6199</v>
      </c>
      <c r="K428" s="45">
        <v>6199</v>
      </c>
      <c r="L428" s="45">
        <v>6199</v>
      </c>
      <c r="M428" s="45">
        <v>6199</v>
      </c>
      <c r="N428" s="45">
        <v>6199</v>
      </c>
      <c r="O428" s="45">
        <v>6099</v>
      </c>
      <c r="P428" s="46">
        <v>5999</v>
      </c>
      <c r="Q428" s="46">
        <v>5599</v>
      </c>
      <c r="R428" s="45">
        <v>6099</v>
      </c>
      <c r="S428" s="45">
        <v>5999</v>
      </c>
      <c r="T428" s="45">
        <v>5599</v>
      </c>
      <c r="U428" s="45">
        <v>5599</v>
      </c>
      <c r="V428" s="45">
        <v>5599</v>
      </c>
      <c r="W428" s="45">
        <v>5599</v>
      </c>
      <c r="X428" s="45">
        <v>5499</v>
      </c>
      <c r="Y428" s="54">
        <v>4799</v>
      </c>
      <c r="Z428" s="54">
        <v>4799</v>
      </c>
      <c r="AA428" s="54">
        <v>4599</v>
      </c>
      <c r="AB428" s="45">
        <v>6199</v>
      </c>
      <c r="AC428" s="45">
        <v>6199</v>
      </c>
      <c r="AD428" s="45">
        <v>6199</v>
      </c>
      <c r="AE428" s="45">
        <v>6099</v>
      </c>
      <c r="AF428" s="45">
        <v>5999</v>
      </c>
      <c r="AG428" s="45">
        <v>5999</v>
      </c>
      <c r="AH428" s="45">
        <v>5599</v>
      </c>
      <c r="AI428" s="45">
        <v>5599</v>
      </c>
      <c r="AJ428" s="45">
        <v>5599</v>
      </c>
      <c r="AK428" s="45">
        <v>5599</v>
      </c>
      <c r="AL428" s="54">
        <v>4799</v>
      </c>
      <c r="AM428" s="45"/>
      <c r="AN428" s="45"/>
      <c r="AO428" s="45"/>
      <c r="AP428" s="45"/>
      <c r="AQ428" s="45"/>
      <c r="AR428" s="45"/>
      <c r="AS428" s="45"/>
      <c r="AT428" s="45"/>
      <c r="AU428" s="45"/>
      <c r="AV428" s="47"/>
      <c r="AW428" s="48" t="s">
        <v>67</v>
      </c>
      <c r="AX428" s="49" t="s">
        <v>68</v>
      </c>
      <c r="AY428" s="50">
        <f t="shared" si="39"/>
        <v>155.5198</v>
      </c>
      <c r="AZ428" s="50">
        <f t="shared" si="40"/>
        <v>140.12180000000001</v>
      </c>
      <c r="BA428" s="51">
        <f t="shared" si="41"/>
        <v>79.299700000000001</v>
      </c>
    </row>
    <row r="429" spans="1:53" ht="22.5" customHeight="1">
      <c r="A429" s="41" t="s">
        <v>63</v>
      </c>
      <c r="B429" s="42" t="s">
        <v>64</v>
      </c>
      <c r="C429" s="43">
        <v>4017763</v>
      </c>
      <c r="D429" s="57" t="s">
        <v>620</v>
      </c>
      <c r="E429" s="56" t="s">
        <v>622</v>
      </c>
      <c r="F429" s="45">
        <v>9199</v>
      </c>
      <c r="G429" s="45">
        <v>4999</v>
      </c>
      <c r="H429" s="45">
        <v>7699</v>
      </c>
      <c r="I429" s="45">
        <v>7699</v>
      </c>
      <c r="J429" s="45">
        <v>6199</v>
      </c>
      <c r="K429" s="45">
        <v>6199</v>
      </c>
      <c r="L429" s="45">
        <v>6199</v>
      </c>
      <c r="M429" s="45">
        <v>6199</v>
      </c>
      <c r="N429" s="45">
        <v>6199</v>
      </c>
      <c r="O429" s="45">
        <v>6099</v>
      </c>
      <c r="P429" s="46">
        <v>5999</v>
      </c>
      <c r="Q429" s="46">
        <v>5599</v>
      </c>
      <c r="R429" s="45">
        <v>6099</v>
      </c>
      <c r="S429" s="45">
        <v>5999</v>
      </c>
      <c r="T429" s="45">
        <v>5599</v>
      </c>
      <c r="U429" s="45">
        <v>5599</v>
      </c>
      <c r="V429" s="45">
        <v>5599</v>
      </c>
      <c r="W429" s="45">
        <v>5599</v>
      </c>
      <c r="X429" s="45">
        <v>5499</v>
      </c>
      <c r="Y429" s="54">
        <v>4799</v>
      </c>
      <c r="Z429" s="54">
        <v>4799</v>
      </c>
      <c r="AA429" s="54">
        <v>4599</v>
      </c>
      <c r="AB429" s="45">
        <v>6199</v>
      </c>
      <c r="AC429" s="45">
        <v>6199</v>
      </c>
      <c r="AD429" s="45">
        <v>6199</v>
      </c>
      <c r="AE429" s="45">
        <v>6099</v>
      </c>
      <c r="AF429" s="45">
        <v>5999</v>
      </c>
      <c r="AG429" s="45">
        <v>5999</v>
      </c>
      <c r="AH429" s="45">
        <v>5599</v>
      </c>
      <c r="AI429" s="45">
        <v>5599</v>
      </c>
      <c r="AJ429" s="45">
        <v>5599</v>
      </c>
      <c r="AK429" s="45">
        <v>5599</v>
      </c>
      <c r="AL429" s="54">
        <v>4799</v>
      </c>
      <c r="AM429" s="45"/>
      <c r="AN429" s="45"/>
      <c r="AO429" s="45"/>
      <c r="AP429" s="45"/>
      <c r="AQ429" s="45"/>
      <c r="AR429" s="45"/>
      <c r="AS429" s="45"/>
      <c r="AT429" s="45"/>
      <c r="AU429" s="45"/>
      <c r="AV429" s="47"/>
      <c r="AW429" s="48" t="s">
        <v>67</v>
      </c>
      <c r="AX429" s="49" t="s">
        <v>68</v>
      </c>
      <c r="AY429" s="50">
        <f t="shared" si="39"/>
        <v>155.5198</v>
      </c>
      <c r="AZ429" s="50">
        <f t="shared" si="40"/>
        <v>140.12180000000001</v>
      </c>
      <c r="BA429" s="51">
        <f t="shared" si="41"/>
        <v>79.299700000000001</v>
      </c>
    </row>
    <row r="430" spans="1:53" ht="22.5" customHeight="1">
      <c r="A430" s="41" t="s">
        <v>63</v>
      </c>
      <c r="B430" s="42" t="s">
        <v>64</v>
      </c>
      <c r="C430" s="43">
        <v>4017766</v>
      </c>
      <c r="D430" s="57" t="s">
        <v>620</v>
      </c>
      <c r="E430" s="56" t="s">
        <v>623</v>
      </c>
      <c r="F430" s="45">
        <v>9199</v>
      </c>
      <c r="G430" s="45">
        <v>4999</v>
      </c>
      <c r="H430" s="45">
        <v>7699</v>
      </c>
      <c r="I430" s="45">
        <v>7699</v>
      </c>
      <c r="J430" s="45">
        <v>6199</v>
      </c>
      <c r="K430" s="45">
        <v>6199</v>
      </c>
      <c r="L430" s="45">
        <v>6199</v>
      </c>
      <c r="M430" s="45">
        <v>6199</v>
      </c>
      <c r="N430" s="45">
        <v>6199</v>
      </c>
      <c r="O430" s="45">
        <v>6099</v>
      </c>
      <c r="P430" s="46">
        <v>5999</v>
      </c>
      <c r="Q430" s="46">
        <v>5599</v>
      </c>
      <c r="R430" s="45">
        <v>6099</v>
      </c>
      <c r="S430" s="45">
        <v>5999</v>
      </c>
      <c r="T430" s="45">
        <v>5599</v>
      </c>
      <c r="U430" s="45">
        <v>5599</v>
      </c>
      <c r="V430" s="45">
        <v>5599</v>
      </c>
      <c r="W430" s="45">
        <v>5599</v>
      </c>
      <c r="X430" s="45">
        <v>5499</v>
      </c>
      <c r="Y430" s="54">
        <v>4799</v>
      </c>
      <c r="Z430" s="54">
        <v>4799</v>
      </c>
      <c r="AA430" s="54">
        <v>4599</v>
      </c>
      <c r="AB430" s="45">
        <v>6199</v>
      </c>
      <c r="AC430" s="45">
        <v>6199</v>
      </c>
      <c r="AD430" s="45">
        <v>6199</v>
      </c>
      <c r="AE430" s="45">
        <v>6099</v>
      </c>
      <c r="AF430" s="45">
        <v>5999</v>
      </c>
      <c r="AG430" s="45">
        <v>5999</v>
      </c>
      <c r="AH430" s="45">
        <v>5599</v>
      </c>
      <c r="AI430" s="45">
        <v>5599</v>
      </c>
      <c r="AJ430" s="45">
        <v>5599</v>
      </c>
      <c r="AK430" s="45">
        <v>5599</v>
      </c>
      <c r="AL430" s="54">
        <v>4799</v>
      </c>
      <c r="AM430" s="45"/>
      <c r="AN430" s="45"/>
      <c r="AO430" s="45"/>
      <c r="AP430" s="45"/>
      <c r="AQ430" s="45"/>
      <c r="AR430" s="45"/>
      <c r="AS430" s="45"/>
      <c r="AT430" s="45"/>
      <c r="AU430" s="45"/>
      <c r="AV430" s="47"/>
      <c r="AW430" s="48" t="s">
        <v>67</v>
      </c>
      <c r="AX430" s="49" t="s">
        <v>68</v>
      </c>
      <c r="AY430" s="50">
        <f t="shared" si="39"/>
        <v>155.5198</v>
      </c>
      <c r="AZ430" s="50">
        <f t="shared" si="40"/>
        <v>140.12180000000001</v>
      </c>
      <c r="BA430" s="51">
        <f t="shared" si="41"/>
        <v>79.299700000000001</v>
      </c>
    </row>
    <row r="431" spans="1:53" ht="22.5" customHeight="1">
      <c r="A431" s="41" t="s">
        <v>63</v>
      </c>
      <c r="B431" s="42" t="s">
        <v>64</v>
      </c>
      <c r="C431" s="43">
        <v>4017769</v>
      </c>
      <c r="D431" s="57" t="s">
        <v>620</v>
      </c>
      <c r="E431" s="56" t="s">
        <v>624</v>
      </c>
      <c r="F431" s="45">
        <v>9199</v>
      </c>
      <c r="G431" s="45">
        <v>4999</v>
      </c>
      <c r="H431" s="45">
        <v>7699</v>
      </c>
      <c r="I431" s="45">
        <v>7699</v>
      </c>
      <c r="J431" s="45">
        <v>6199</v>
      </c>
      <c r="K431" s="45">
        <v>6199</v>
      </c>
      <c r="L431" s="45">
        <v>6199</v>
      </c>
      <c r="M431" s="45">
        <v>6199</v>
      </c>
      <c r="N431" s="45">
        <v>6199</v>
      </c>
      <c r="O431" s="45">
        <v>6099</v>
      </c>
      <c r="P431" s="46">
        <v>5999</v>
      </c>
      <c r="Q431" s="46">
        <v>5599</v>
      </c>
      <c r="R431" s="45">
        <v>6099</v>
      </c>
      <c r="S431" s="45">
        <v>5999</v>
      </c>
      <c r="T431" s="45">
        <v>5599</v>
      </c>
      <c r="U431" s="45">
        <v>5599</v>
      </c>
      <c r="V431" s="45">
        <v>5599</v>
      </c>
      <c r="W431" s="45">
        <v>5599</v>
      </c>
      <c r="X431" s="45">
        <v>5499</v>
      </c>
      <c r="Y431" s="54">
        <v>4799</v>
      </c>
      <c r="Z431" s="54">
        <v>4799</v>
      </c>
      <c r="AA431" s="54">
        <v>4599</v>
      </c>
      <c r="AB431" s="45">
        <v>6199</v>
      </c>
      <c r="AC431" s="45">
        <v>6199</v>
      </c>
      <c r="AD431" s="45">
        <v>6199</v>
      </c>
      <c r="AE431" s="45">
        <v>6099</v>
      </c>
      <c r="AF431" s="45">
        <v>5999</v>
      </c>
      <c r="AG431" s="45">
        <v>5999</v>
      </c>
      <c r="AH431" s="45">
        <v>5599</v>
      </c>
      <c r="AI431" s="45">
        <v>5599</v>
      </c>
      <c r="AJ431" s="45">
        <v>5599</v>
      </c>
      <c r="AK431" s="45">
        <v>5599</v>
      </c>
      <c r="AL431" s="54">
        <v>4799</v>
      </c>
      <c r="AM431" s="45"/>
      <c r="AN431" s="45"/>
      <c r="AO431" s="45"/>
      <c r="AP431" s="45"/>
      <c r="AQ431" s="45"/>
      <c r="AR431" s="45"/>
      <c r="AS431" s="45"/>
      <c r="AT431" s="45"/>
      <c r="AU431" s="45"/>
      <c r="AV431" s="47"/>
      <c r="AW431" s="48" t="s">
        <v>67</v>
      </c>
      <c r="AX431" s="49" t="s">
        <v>68</v>
      </c>
      <c r="AY431" s="50">
        <f t="shared" si="39"/>
        <v>155.5198</v>
      </c>
      <c r="AZ431" s="50">
        <f t="shared" si="40"/>
        <v>140.12180000000001</v>
      </c>
      <c r="BA431" s="51">
        <f t="shared" si="41"/>
        <v>79.299700000000001</v>
      </c>
    </row>
    <row r="432" spans="1:53" ht="22.5" customHeight="1">
      <c r="A432" s="41" t="s">
        <v>63</v>
      </c>
      <c r="B432" s="42" t="s">
        <v>64</v>
      </c>
      <c r="C432" s="43">
        <v>4017764</v>
      </c>
      <c r="D432" s="57" t="s">
        <v>625</v>
      </c>
      <c r="E432" s="56" t="s">
        <v>626</v>
      </c>
      <c r="F432" s="45">
        <v>10799</v>
      </c>
      <c r="G432" s="45">
        <v>5499</v>
      </c>
      <c r="H432" s="45">
        <v>8199</v>
      </c>
      <c r="I432" s="45">
        <v>8199</v>
      </c>
      <c r="J432" s="45">
        <v>6999</v>
      </c>
      <c r="K432" s="45">
        <v>6999</v>
      </c>
      <c r="L432" s="45">
        <v>6999</v>
      </c>
      <c r="M432" s="45">
        <v>6999</v>
      </c>
      <c r="N432" s="45">
        <v>6999</v>
      </c>
      <c r="O432" s="45">
        <v>6899</v>
      </c>
      <c r="P432" s="46">
        <v>6799</v>
      </c>
      <c r="Q432" s="46">
        <v>6499</v>
      </c>
      <c r="R432" s="45">
        <v>6899</v>
      </c>
      <c r="S432" s="45">
        <v>6799</v>
      </c>
      <c r="T432" s="45">
        <v>6499</v>
      </c>
      <c r="U432" s="45">
        <v>6499</v>
      </c>
      <c r="V432" s="45">
        <v>6499</v>
      </c>
      <c r="W432" s="45">
        <v>6499</v>
      </c>
      <c r="X432" s="45">
        <v>6399</v>
      </c>
      <c r="Y432" s="54">
        <v>5499</v>
      </c>
      <c r="Z432" s="54">
        <v>5499</v>
      </c>
      <c r="AA432" s="54">
        <v>5299</v>
      </c>
      <c r="AB432" s="45"/>
      <c r="AC432" s="45"/>
      <c r="AD432" s="45"/>
      <c r="AE432" s="45"/>
      <c r="AF432" s="45"/>
      <c r="AG432" s="45"/>
      <c r="AH432" s="45"/>
      <c r="AI432" s="45"/>
      <c r="AJ432" s="45"/>
      <c r="AK432" s="45"/>
      <c r="AL432" s="45"/>
      <c r="AM432" s="45"/>
      <c r="AN432" s="45"/>
      <c r="AO432" s="45"/>
      <c r="AP432" s="45"/>
      <c r="AQ432" s="45"/>
      <c r="AR432" s="45"/>
      <c r="AS432" s="45"/>
      <c r="AT432" s="45"/>
      <c r="AU432" s="45"/>
      <c r="AV432" s="47"/>
      <c r="AW432" s="48" t="s">
        <v>67</v>
      </c>
      <c r="AX432" s="49" t="s">
        <v>68</v>
      </c>
      <c r="AY432" s="50">
        <f t="shared" si="39"/>
        <v>165.6198</v>
      </c>
      <c r="AZ432" s="50">
        <f t="shared" si="40"/>
        <v>149.2218</v>
      </c>
      <c r="BA432" s="51">
        <f t="shared" si="41"/>
        <v>84.449700000000007</v>
      </c>
    </row>
    <row r="433" spans="1:53" ht="22.5" customHeight="1">
      <c r="A433" s="41" t="s">
        <v>63</v>
      </c>
      <c r="B433" s="42" t="s">
        <v>64</v>
      </c>
      <c r="C433" s="43">
        <v>4017765</v>
      </c>
      <c r="D433" s="57" t="s">
        <v>625</v>
      </c>
      <c r="E433" s="56" t="s">
        <v>627</v>
      </c>
      <c r="F433" s="45">
        <v>10799</v>
      </c>
      <c r="G433" s="45">
        <v>5499</v>
      </c>
      <c r="H433" s="45">
        <v>8199</v>
      </c>
      <c r="I433" s="45">
        <v>8199</v>
      </c>
      <c r="J433" s="45">
        <v>6999</v>
      </c>
      <c r="K433" s="45">
        <v>6999</v>
      </c>
      <c r="L433" s="45">
        <v>6999</v>
      </c>
      <c r="M433" s="45">
        <v>6999</v>
      </c>
      <c r="N433" s="45">
        <v>6999</v>
      </c>
      <c r="O433" s="45">
        <v>6899</v>
      </c>
      <c r="P433" s="46">
        <v>6799</v>
      </c>
      <c r="Q433" s="46">
        <v>6499</v>
      </c>
      <c r="R433" s="45">
        <v>6899</v>
      </c>
      <c r="S433" s="45">
        <v>6799</v>
      </c>
      <c r="T433" s="45">
        <v>6499</v>
      </c>
      <c r="U433" s="45">
        <v>6499</v>
      </c>
      <c r="V433" s="45">
        <v>6499</v>
      </c>
      <c r="W433" s="45">
        <v>6499</v>
      </c>
      <c r="X433" s="45">
        <v>6399</v>
      </c>
      <c r="Y433" s="54">
        <v>5499</v>
      </c>
      <c r="Z433" s="54">
        <v>5499</v>
      </c>
      <c r="AA433" s="54">
        <v>5299</v>
      </c>
      <c r="AB433" s="45"/>
      <c r="AC433" s="45"/>
      <c r="AD433" s="45"/>
      <c r="AE433" s="45"/>
      <c r="AF433" s="45"/>
      <c r="AG433" s="45"/>
      <c r="AH433" s="45"/>
      <c r="AI433" s="45"/>
      <c r="AJ433" s="45"/>
      <c r="AK433" s="45"/>
      <c r="AL433" s="45"/>
      <c r="AM433" s="45"/>
      <c r="AN433" s="45"/>
      <c r="AO433" s="45"/>
      <c r="AP433" s="45"/>
      <c r="AQ433" s="45"/>
      <c r="AR433" s="45"/>
      <c r="AS433" s="45"/>
      <c r="AT433" s="45"/>
      <c r="AU433" s="45"/>
      <c r="AV433" s="47"/>
      <c r="AW433" s="48" t="s">
        <v>67</v>
      </c>
      <c r="AX433" s="49" t="s">
        <v>68</v>
      </c>
      <c r="AY433" s="50">
        <f t="shared" si="39"/>
        <v>165.6198</v>
      </c>
      <c r="AZ433" s="50">
        <f t="shared" si="40"/>
        <v>149.2218</v>
      </c>
      <c r="BA433" s="51">
        <f t="shared" si="41"/>
        <v>84.449700000000007</v>
      </c>
    </row>
    <row r="434" spans="1:53" ht="22.5" customHeight="1">
      <c r="A434" s="41" t="s">
        <v>63</v>
      </c>
      <c r="B434" s="42" t="s">
        <v>64</v>
      </c>
      <c r="C434" s="43">
        <v>4017767</v>
      </c>
      <c r="D434" s="57" t="s">
        <v>625</v>
      </c>
      <c r="E434" s="56" t="s">
        <v>628</v>
      </c>
      <c r="F434" s="45">
        <v>10799</v>
      </c>
      <c r="G434" s="45">
        <v>5499</v>
      </c>
      <c r="H434" s="45">
        <v>8199</v>
      </c>
      <c r="I434" s="45">
        <v>8199</v>
      </c>
      <c r="J434" s="45">
        <v>6999</v>
      </c>
      <c r="K434" s="45">
        <v>6999</v>
      </c>
      <c r="L434" s="45">
        <v>6999</v>
      </c>
      <c r="M434" s="45">
        <v>6999</v>
      </c>
      <c r="N434" s="45">
        <v>6999</v>
      </c>
      <c r="O434" s="45">
        <v>6899</v>
      </c>
      <c r="P434" s="46">
        <v>6799</v>
      </c>
      <c r="Q434" s="46">
        <v>6499</v>
      </c>
      <c r="R434" s="45">
        <v>6899</v>
      </c>
      <c r="S434" s="45">
        <v>6799</v>
      </c>
      <c r="T434" s="45">
        <v>6499</v>
      </c>
      <c r="U434" s="45">
        <v>6499</v>
      </c>
      <c r="V434" s="45">
        <v>6499</v>
      </c>
      <c r="W434" s="45">
        <v>6499</v>
      </c>
      <c r="X434" s="45">
        <v>6399</v>
      </c>
      <c r="Y434" s="54">
        <v>5499</v>
      </c>
      <c r="Z434" s="54">
        <v>5499</v>
      </c>
      <c r="AA434" s="54">
        <v>5299</v>
      </c>
      <c r="AB434" s="45"/>
      <c r="AC434" s="45"/>
      <c r="AD434" s="45"/>
      <c r="AE434" s="45"/>
      <c r="AF434" s="45"/>
      <c r="AG434" s="45"/>
      <c r="AH434" s="45"/>
      <c r="AI434" s="45"/>
      <c r="AJ434" s="45"/>
      <c r="AK434" s="45"/>
      <c r="AL434" s="45"/>
      <c r="AM434" s="45"/>
      <c r="AN434" s="45"/>
      <c r="AO434" s="45"/>
      <c r="AP434" s="45"/>
      <c r="AQ434" s="45"/>
      <c r="AR434" s="45"/>
      <c r="AS434" s="45"/>
      <c r="AT434" s="45"/>
      <c r="AU434" s="45"/>
      <c r="AV434" s="47"/>
      <c r="AW434" s="48" t="s">
        <v>67</v>
      </c>
      <c r="AX434" s="49" t="s">
        <v>68</v>
      </c>
      <c r="AY434" s="50">
        <f t="shared" si="39"/>
        <v>165.6198</v>
      </c>
      <c r="AZ434" s="50">
        <f t="shared" si="40"/>
        <v>149.2218</v>
      </c>
      <c r="BA434" s="51">
        <f t="shared" si="41"/>
        <v>84.449700000000007</v>
      </c>
    </row>
    <row r="435" spans="1:53" ht="22.5" customHeight="1">
      <c r="A435" s="41" t="s">
        <v>63</v>
      </c>
      <c r="B435" s="42" t="s">
        <v>64</v>
      </c>
      <c r="C435" s="43">
        <v>4017768</v>
      </c>
      <c r="D435" s="57" t="s">
        <v>625</v>
      </c>
      <c r="E435" s="56" t="s">
        <v>629</v>
      </c>
      <c r="F435" s="45">
        <v>10799</v>
      </c>
      <c r="G435" s="45">
        <v>5499</v>
      </c>
      <c r="H435" s="45">
        <v>8199</v>
      </c>
      <c r="I435" s="45">
        <v>8199</v>
      </c>
      <c r="J435" s="45">
        <v>6999</v>
      </c>
      <c r="K435" s="45">
        <v>6999</v>
      </c>
      <c r="L435" s="45">
        <v>6999</v>
      </c>
      <c r="M435" s="45">
        <v>6999</v>
      </c>
      <c r="N435" s="45">
        <v>6999</v>
      </c>
      <c r="O435" s="45">
        <v>6899</v>
      </c>
      <c r="P435" s="46">
        <v>6799</v>
      </c>
      <c r="Q435" s="46">
        <v>6499</v>
      </c>
      <c r="R435" s="45">
        <v>6899</v>
      </c>
      <c r="S435" s="45">
        <v>6799</v>
      </c>
      <c r="T435" s="45">
        <v>6499</v>
      </c>
      <c r="U435" s="45">
        <v>6499</v>
      </c>
      <c r="V435" s="45">
        <v>6499</v>
      </c>
      <c r="W435" s="45">
        <v>6499</v>
      </c>
      <c r="X435" s="45">
        <v>6399</v>
      </c>
      <c r="Y435" s="54">
        <v>5499</v>
      </c>
      <c r="Z435" s="54">
        <v>5499</v>
      </c>
      <c r="AA435" s="54">
        <v>5299</v>
      </c>
      <c r="AB435" s="45"/>
      <c r="AC435" s="45"/>
      <c r="AD435" s="45"/>
      <c r="AE435" s="45"/>
      <c r="AF435" s="45"/>
      <c r="AG435" s="45"/>
      <c r="AH435" s="45"/>
      <c r="AI435" s="45"/>
      <c r="AJ435" s="45"/>
      <c r="AK435" s="45"/>
      <c r="AL435" s="45"/>
      <c r="AM435" s="45"/>
      <c r="AN435" s="45"/>
      <c r="AO435" s="45"/>
      <c r="AP435" s="45"/>
      <c r="AQ435" s="45"/>
      <c r="AR435" s="45"/>
      <c r="AS435" s="45"/>
      <c r="AT435" s="45"/>
      <c r="AU435" s="45"/>
      <c r="AV435" s="47"/>
      <c r="AW435" s="48" t="s">
        <v>67</v>
      </c>
      <c r="AX435" s="49" t="s">
        <v>68</v>
      </c>
      <c r="AY435" s="50">
        <f t="shared" si="39"/>
        <v>165.6198</v>
      </c>
      <c r="AZ435" s="50">
        <f t="shared" si="40"/>
        <v>149.2218</v>
      </c>
      <c r="BA435" s="51">
        <f t="shared" si="41"/>
        <v>84.449700000000007</v>
      </c>
    </row>
    <row r="436" spans="1:53" ht="22.5" customHeight="1">
      <c r="A436" s="41" t="s">
        <v>63</v>
      </c>
      <c r="B436" s="42" t="s">
        <v>64</v>
      </c>
      <c r="C436" s="43">
        <v>4017614</v>
      </c>
      <c r="D436" s="57" t="s">
        <v>630</v>
      </c>
      <c r="E436" s="56" t="s">
        <v>631</v>
      </c>
      <c r="F436" s="45">
        <v>11499</v>
      </c>
      <c r="G436" s="45">
        <v>5999</v>
      </c>
      <c r="H436" s="45">
        <v>9299</v>
      </c>
      <c r="I436" s="45">
        <v>9299</v>
      </c>
      <c r="J436" s="45">
        <v>8199</v>
      </c>
      <c r="K436" s="45">
        <v>8199</v>
      </c>
      <c r="L436" s="45">
        <v>8199</v>
      </c>
      <c r="M436" s="45">
        <v>8199</v>
      </c>
      <c r="N436" s="45">
        <v>8199</v>
      </c>
      <c r="O436" s="45">
        <v>7799</v>
      </c>
      <c r="P436" s="46">
        <v>7699</v>
      </c>
      <c r="Q436" s="46">
        <v>6999</v>
      </c>
      <c r="R436" s="45">
        <v>7799</v>
      </c>
      <c r="S436" s="45">
        <v>7699</v>
      </c>
      <c r="T436" s="45">
        <v>6999</v>
      </c>
      <c r="U436" s="45">
        <v>6999</v>
      </c>
      <c r="V436" s="45">
        <v>6999</v>
      </c>
      <c r="W436" s="45">
        <v>6999</v>
      </c>
      <c r="X436" s="45">
        <v>6899</v>
      </c>
      <c r="Y436" s="54">
        <v>5999</v>
      </c>
      <c r="Z436" s="54">
        <v>5999</v>
      </c>
      <c r="AA436" s="54">
        <v>5799</v>
      </c>
      <c r="AB436" s="45">
        <v>8199</v>
      </c>
      <c r="AC436" s="45">
        <v>8199</v>
      </c>
      <c r="AD436" s="45">
        <v>8199</v>
      </c>
      <c r="AE436" s="45">
        <v>7799</v>
      </c>
      <c r="AF436" s="45">
        <v>7699</v>
      </c>
      <c r="AG436" s="45">
        <v>7699</v>
      </c>
      <c r="AH436" s="45">
        <v>6999</v>
      </c>
      <c r="AI436" s="45">
        <v>6999</v>
      </c>
      <c r="AJ436" s="45">
        <v>6999</v>
      </c>
      <c r="AK436" s="45">
        <v>6999</v>
      </c>
      <c r="AL436" s="54">
        <v>5999</v>
      </c>
      <c r="AM436" s="45"/>
      <c r="AN436" s="45"/>
      <c r="AO436" s="45"/>
      <c r="AP436" s="45"/>
      <c r="AQ436" s="45"/>
      <c r="AR436" s="45"/>
      <c r="AS436" s="45"/>
      <c r="AT436" s="45"/>
      <c r="AU436" s="45"/>
      <c r="AV436" s="47"/>
      <c r="AW436" s="48" t="s">
        <v>67</v>
      </c>
      <c r="AX436" s="49" t="s">
        <v>68</v>
      </c>
      <c r="AY436" s="50">
        <f t="shared" si="39"/>
        <v>187.8398</v>
      </c>
      <c r="AZ436" s="50">
        <f t="shared" si="40"/>
        <v>169.24180000000001</v>
      </c>
      <c r="BA436" s="51">
        <f t="shared" si="41"/>
        <v>95.779700000000005</v>
      </c>
    </row>
    <row r="437" spans="1:53" ht="22.5" customHeight="1">
      <c r="A437" s="41" t="s">
        <v>63</v>
      </c>
      <c r="B437" s="42" t="s">
        <v>64</v>
      </c>
      <c r="C437" s="43">
        <v>4017616</v>
      </c>
      <c r="D437" s="57" t="s">
        <v>630</v>
      </c>
      <c r="E437" s="56" t="s">
        <v>632</v>
      </c>
      <c r="F437" s="45">
        <v>11499</v>
      </c>
      <c r="G437" s="45">
        <v>5999</v>
      </c>
      <c r="H437" s="45">
        <v>9299</v>
      </c>
      <c r="I437" s="45">
        <v>9299</v>
      </c>
      <c r="J437" s="45">
        <v>8199</v>
      </c>
      <c r="K437" s="45">
        <v>8199</v>
      </c>
      <c r="L437" s="45">
        <v>8199</v>
      </c>
      <c r="M437" s="45">
        <v>8199</v>
      </c>
      <c r="N437" s="45">
        <v>8199</v>
      </c>
      <c r="O437" s="45">
        <v>7799</v>
      </c>
      <c r="P437" s="46">
        <v>7699</v>
      </c>
      <c r="Q437" s="46">
        <v>6999</v>
      </c>
      <c r="R437" s="45">
        <v>7799</v>
      </c>
      <c r="S437" s="45">
        <v>7699</v>
      </c>
      <c r="T437" s="45">
        <v>6999</v>
      </c>
      <c r="U437" s="45">
        <v>6999</v>
      </c>
      <c r="V437" s="45">
        <v>6999</v>
      </c>
      <c r="W437" s="45">
        <v>6999</v>
      </c>
      <c r="X437" s="45">
        <v>6899</v>
      </c>
      <c r="Y437" s="54">
        <v>5999</v>
      </c>
      <c r="Z437" s="54">
        <v>5999</v>
      </c>
      <c r="AA437" s="54">
        <v>5799</v>
      </c>
      <c r="AB437" s="45">
        <v>8199</v>
      </c>
      <c r="AC437" s="45">
        <v>8199</v>
      </c>
      <c r="AD437" s="45">
        <v>8199</v>
      </c>
      <c r="AE437" s="45">
        <v>7799</v>
      </c>
      <c r="AF437" s="45">
        <v>7699</v>
      </c>
      <c r="AG437" s="45">
        <v>7699</v>
      </c>
      <c r="AH437" s="45">
        <v>6999</v>
      </c>
      <c r="AI437" s="45">
        <v>6999</v>
      </c>
      <c r="AJ437" s="45">
        <v>6999</v>
      </c>
      <c r="AK437" s="45">
        <v>6999</v>
      </c>
      <c r="AL437" s="54">
        <v>5999</v>
      </c>
      <c r="AM437" s="45"/>
      <c r="AN437" s="45"/>
      <c r="AO437" s="45"/>
      <c r="AP437" s="45"/>
      <c r="AQ437" s="45"/>
      <c r="AR437" s="45"/>
      <c r="AS437" s="45"/>
      <c r="AT437" s="45"/>
      <c r="AU437" s="45"/>
      <c r="AV437" s="47"/>
      <c r="AW437" s="48" t="s">
        <v>67</v>
      </c>
      <c r="AX437" s="49" t="s">
        <v>68</v>
      </c>
      <c r="AY437" s="50">
        <f t="shared" si="39"/>
        <v>187.8398</v>
      </c>
      <c r="AZ437" s="50">
        <f t="shared" si="40"/>
        <v>169.24180000000001</v>
      </c>
      <c r="BA437" s="51">
        <f t="shared" si="41"/>
        <v>95.779700000000005</v>
      </c>
    </row>
    <row r="438" spans="1:53" ht="22.5" customHeight="1">
      <c r="A438" s="41" t="s">
        <v>63</v>
      </c>
      <c r="B438" s="42" t="s">
        <v>64</v>
      </c>
      <c r="C438" s="43">
        <v>4017725</v>
      </c>
      <c r="D438" s="57" t="s">
        <v>630</v>
      </c>
      <c r="E438" s="56" t="s">
        <v>633</v>
      </c>
      <c r="F438" s="45">
        <v>11499</v>
      </c>
      <c r="G438" s="45">
        <v>5999</v>
      </c>
      <c r="H438" s="45">
        <v>9299</v>
      </c>
      <c r="I438" s="45">
        <v>9299</v>
      </c>
      <c r="J438" s="45">
        <v>8199</v>
      </c>
      <c r="K438" s="45">
        <v>8199</v>
      </c>
      <c r="L438" s="45">
        <v>8199</v>
      </c>
      <c r="M438" s="45">
        <v>8199</v>
      </c>
      <c r="N438" s="45">
        <v>8199</v>
      </c>
      <c r="O438" s="45">
        <v>7799</v>
      </c>
      <c r="P438" s="46">
        <v>7699</v>
      </c>
      <c r="Q438" s="46">
        <v>6999</v>
      </c>
      <c r="R438" s="45">
        <v>7799</v>
      </c>
      <c r="S438" s="45">
        <v>7699</v>
      </c>
      <c r="T438" s="45">
        <v>6999</v>
      </c>
      <c r="U438" s="45">
        <v>6999</v>
      </c>
      <c r="V438" s="45">
        <v>6999</v>
      </c>
      <c r="W438" s="45">
        <v>6999</v>
      </c>
      <c r="X438" s="45">
        <v>6899</v>
      </c>
      <c r="Y438" s="54">
        <v>5999</v>
      </c>
      <c r="Z438" s="54">
        <v>5999</v>
      </c>
      <c r="AA438" s="54">
        <v>5799</v>
      </c>
      <c r="AB438" s="45">
        <v>8199</v>
      </c>
      <c r="AC438" s="45">
        <v>8199</v>
      </c>
      <c r="AD438" s="45">
        <v>8199</v>
      </c>
      <c r="AE438" s="45">
        <v>7799</v>
      </c>
      <c r="AF438" s="45">
        <v>7699</v>
      </c>
      <c r="AG438" s="45">
        <v>7699</v>
      </c>
      <c r="AH438" s="45">
        <v>6999</v>
      </c>
      <c r="AI438" s="45">
        <v>6999</v>
      </c>
      <c r="AJ438" s="45">
        <v>6999</v>
      </c>
      <c r="AK438" s="45">
        <v>6999</v>
      </c>
      <c r="AL438" s="54">
        <v>5999</v>
      </c>
      <c r="AM438" s="45"/>
      <c r="AN438" s="45"/>
      <c r="AO438" s="45"/>
      <c r="AP438" s="45"/>
      <c r="AQ438" s="45"/>
      <c r="AR438" s="45"/>
      <c r="AS438" s="45"/>
      <c r="AT438" s="45"/>
      <c r="AU438" s="45"/>
      <c r="AV438" s="47"/>
      <c r="AW438" s="48" t="s">
        <v>67</v>
      </c>
      <c r="AX438" s="49" t="s">
        <v>68</v>
      </c>
      <c r="AY438" s="50">
        <f t="shared" si="39"/>
        <v>187.8398</v>
      </c>
      <c r="AZ438" s="50">
        <f t="shared" si="40"/>
        <v>169.24180000000001</v>
      </c>
      <c r="BA438" s="51">
        <f t="shared" si="41"/>
        <v>95.779700000000005</v>
      </c>
    </row>
    <row r="439" spans="1:53" ht="22.5" customHeight="1">
      <c r="A439" s="41" t="s">
        <v>63</v>
      </c>
      <c r="B439" s="42" t="s">
        <v>64</v>
      </c>
      <c r="C439" s="43">
        <v>4017731</v>
      </c>
      <c r="D439" s="57" t="s">
        <v>630</v>
      </c>
      <c r="E439" s="56" t="s">
        <v>634</v>
      </c>
      <c r="F439" s="45">
        <v>11499</v>
      </c>
      <c r="G439" s="45">
        <v>5999</v>
      </c>
      <c r="H439" s="45">
        <v>9299</v>
      </c>
      <c r="I439" s="45">
        <v>9299</v>
      </c>
      <c r="J439" s="45">
        <v>8199</v>
      </c>
      <c r="K439" s="45">
        <v>8199</v>
      </c>
      <c r="L439" s="45">
        <v>8199</v>
      </c>
      <c r="M439" s="45">
        <v>8199</v>
      </c>
      <c r="N439" s="45">
        <v>8199</v>
      </c>
      <c r="O439" s="45">
        <v>7799</v>
      </c>
      <c r="P439" s="46">
        <v>7699</v>
      </c>
      <c r="Q439" s="46">
        <v>6999</v>
      </c>
      <c r="R439" s="45">
        <v>7799</v>
      </c>
      <c r="S439" s="45">
        <v>7699</v>
      </c>
      <c r="T439" s="45">
        <v>6999</v>
      </c>
      <c r="U439" s="45">
        <v>6999</v>
      </c>
      <c r="V439" s="45">
        <v>6999</v>
      </c>
      <c r="W439" s="45">
        <v>6999</v>
      </c>
      <c r="X439" s="45">
        <v>6899</v>
      </c>
      <c r="Y439" s="54">
        <v>5999</v>
      </c>
      <c r="Z439" s="54">
        <v>5999</v>
      </c>
      <c r="AA439" s="54">
        <v>5799</v>
      </c>
      <c r="AB439" s="45">
        <v>8199</v>
      </c>
      <c r="AC439" s="45">
        <v>8199</v>
      </c>
      <c r="AD439" s="45">
        <v>8199</v>
      </c>
      <c r="AE439" s="45">
        <v>7799</v>
      </c>
      <c r="AF439" s="45">
        <v>7699</v>
      </c>
      <c r="AG439" s="45">
        <v>7699</v>
      </c>
      <c r="AH439" s="45">
        <v>6999</v>
      </c>
      <c r="AI439" s="45">
        <v>6999</v>
      </c>
      <c r="AJ439" s="45">
        <v>6999</v>
      </c>
      <c r="AK439" s="45">
        <v>6999</v>
      </c>
      <c r="AL439" s="54">
        <v>5999</v>
      </c>
      <c r="AM439" s="45"/>
      <c r="AN439" s="45"/>
      <c r="AO439" s="45"/>
      <c r="AP439" s="45"/>
      <c r="AQ439" s="45"/>
      <c r="AR439" s="45"/>
      <c r="AS439" s="45"/>
      <c r="AT439" s="45"/>
      <c r="AU439" s="45"/>
      <c r="AV439" s="47"/>
      <c r="AW439" s="48" t="s">
        <v>67</v>
      </c>
      <c r="AX439" s="49" t="s">
        <v>68</v>
      </c>
      <c r="AY439" s="50">
        <f t="shared" si="39"/>
        <v>187.8398</v>
      </c>
      <c r="AZ439" s="50">
        <f t="shared" si="40"/>
        <v>169.24180000000001</v>
      </c>
      <c r="BA439" s="51">
        <f t="shared" si="41"/>
        <v>95.779700000000005</v>
      </c>
    </row>
    <row r="440" spans="1:53" ht="22.5" customHeight="1">
      <c r="A440" s="41" t="s">
        <v>63</v>
      </c>
      <c r="B440" s="42" t="s">
        <v>64</v>
      </c>
      <c r="C440" s="43">
        <v>4017734</v>
      </c>
      <c r="D440" s="57" t="s">
        <v>630</v>
      </c>
      <c r="E440" s="56" t="s">
        <v>635</v>
      </c>
      <c r="F440" s="45">
        <v>11499</v>
      </c>
      <c r="G440" s="45">
        <v>5999</v>
      </c>
      <c r="H440" s="45">
        <v>9299</v>
      </c>
      <c r="I440" s="45">
        <v>9299</v>
      </c>
      <c r="J440" s="45">
        <v>8199</v>
      </c>
      <c r="K440" s="45">
        <v>8199</v>
      </c>
      <c r="L440" s="45">
        <v>8199</v>
      </c>
      <c r="M440" s="45">
        <v>8199</v>
      </c>
      <c r="N440" s="45">
        <v>8199</v>
      </c>
      <c r="O440" s="45">
        <v>7799</v>
      </c>
      <c r="P440" s="46">
        <v>7699</v>
      </c>
      <c r="Q440" s="46">
        <v>6999</v>
      </c>
      <c r="R440" s="45">
        <v>7799</v>
      </c>
      <c r="S440" s="45">
        <v>7699</v>
      </c>
      <c r="T440" s="45">
        <v>6999</v>
      </c>
      <c r="U440" s="45">
        <v>6999</v>
      </c>
      <c r="V440" s="45">
        <v>6999</v>
      </c>
      <c r="W440" s="45">
        <v>6999</v>
      </c>
      <c r="X440" s="45">
        <v>6899</v>
      </c>
      <c r="Y440" s="54">
        <v>5999</v>
      </c>
      <c r="Z440" s="54">
        <v>5999</v>
      </c>
      <c r="AA440" s="54">
        <v>5799</v>
      </c>
      <c r="AB440" s="45">
        <v>8199</v>
      </c>
      <c r="AC440" s="45">
        <v>8199</v>
      </c>
      <c r="AD440" s="45">
        <v>8199</v>
      </c>
      <c r="AE440" s="45">
        <v>7799</v>
      </c>
      <c r="AF440" s="45">
        <v>7699</v>
      </c>
      <c r="AG440" s="45">
        <v>7699</v>
      </c>
      <c r="AH440" s="45">
        <v>6999</v>
      </c>
      <c r="AI440" s="45">
        <v>6999</v>
      </c>
      <c r="AJ440" s="45">
        <v>6999</v>
      </c>
      <c r="AK440" s="45">
        <v>6999</v>
      </c>
      <c r="AL440" s="54">
        <v>5999</v>
      </c>
      <c r="AM440" s="45"/>
      <c r="AN440" s="45"/>
      <c r="AO440" s="45"/>
      <c r="AP440" s="45"/>
      <c r="AQ440" s="45"/>
      <c r="AR440" s="45"/>
      <c r="AS440" s="45"/>
      <c r="AT440" s="45"/>
      <c r="AU440" s="45"/>
      <c r="AV440" s="47"/>
      <c r="AW440" s="48" t="s">
        <v>67</v>
      </c>
      <c r="AX440" s="49" t="s">
        <v>68</v>
      </c>
      <c r="AY440" s="50">
        <f t="shared" si="39"/>
        <v>187.8398</v>
      </c>
      <c r="AZ440" s="50">
        <f t="shared" si="40"/>
        <v>169.24180000000001</v>
      </c>
      <c r="BA440" s="51">
        <f t="shared" si="41"/>
        <v>95.779700000000005</v>
      </c>
    </row>
    <row r="441" spans="1:53" ht="22.5" customHeight="1">
      <c r="A441" s="41" t="s">
        <v>63</v>
      </c>
      <c r="B441" s="42" t="s">
        <v>64</v>
      </c>
      <c r="C441" s="43">
        <v>4017728</v>
      </c>
      <c r="D441" s="57" t="s">
        <v>630</v>
      </c>
      <c r="E441" s="56" t="s">
        <v>636</v>
      </c>
      <c r="F441" s="45">
        <v>11499</v>
      </c>
      <c r="G441" s="45">
        <v>5999</v>
      </c>
      <c r="H441" s="45">
        <v>9299</v>
      </c>
      <c r="I441" s="45">
        <v>9299</v>
      </c>
      <c r="J441" s="45">
        <v>8199</v>
      </c>
      <c r="K441" s="45">
        <v>8199</v>
      </c>
      <c r="L441" s="45">
        <v>8199</v>
      </c>
      <c r="M441" s="45">
        <v>8199</v>
      </c>
      <c r="N441" s="45">
        <v>8199</v>
      </c>
      <c r="O441" s="45">
        <v>7799</v>
      </c>
      <c r="P441" s="46">
        <v>7699</v>
      </c>
      <c r="Q441" s="46">
        <v>6999</v>
      </c>
      <c r="R441" s="45">
        <v>7799</v>
      </c>
      <c r="S441" s="45">
        <v>7699</v>
      </c>
      <c r="T441" s="45">
        <v>6999</v>
      </c>
      <c r="U441" s="45">
        <v>6999</v>
      </c>
      <c r="V441" s="45">
        <v>6999</v>
      </c>
      <c r="W441" s="45">
        <v>6999</v>
      </c>
      <c r="X441" s="45">
        <v>6899</v>
      </c>
      <c r="Y441" s="54">
        <v>5999</v>
      </c>
      <c r="Z441" s="54">
        <v>5999</v>
      </c>
      <c r="AA441" s="54">
        <v>5799</v>
      </c>
      <c r="AB441" s="45">
        <v>8199</v>
      </c>
      <c r="AC441" s="45">
        <v>8199</v>
      </c>
      <c r="AD441" s="45">
        <v>8199</v>
      </c>
      <c r="AE441" s="45">
        <v>7799</v>
      </c>
      <c r="AF441" s="45">
        <v>7699</v>
      </c>
      <c r="AG441" s="45">
        <v>7699</v>
      </c>
      <c r="AH441" s="45">
        <v>6999</v>
      </c>
      <c r="AI441" s="45">
        <v>6999</v>
      </c>
      <c r="AJ441" s="45">
        <v>6999</v>
      </c>
      <c r="AK441" s="45">
        <v>6999</v>
      </c>
      <c r="AL441" s="54">
        <v>5999</v>
      </c>
      <c r="AM441" s="45"/>
      <c r="AN441" s="45"/>
      <c r="AO441" s="45"/>
      <c r="AP441" s="45"/>
      <c r="AQ441" s="45"/>
      <c r="AR441" s="45"/>
      <c r="AS441" s="45"/>
      <c r="AT441" s="45"/>
      <c r="AU441" s="45"/>
      <c r="AV441" s="47"/>
      <c r="AW441" s="48" t="s">
        <v>67</v>
      </c>
      <c r="AX441" s="49" t="s">
        <v>68</v>
      </c>
      <c r="AY441" s="50">
        <f t="shared" si="39"/>
        <v>187.8398</v>
      </c>
      <c r="AZ441" s="50">
        <f t="shared" si="40"/>
        <v>169.24180000000001</v>
      </c>
      <c r="BA441" s="51">
        <f t="shared" si="41"/>
        <v>95.779700000000005</v>
      </c>
    </row>
    <row r="442" spans="1:53" ht="22.5" customHeight="1">
      <c r="A442" s="41" t="s">
        <v>63</v>
      </c>
      <c r="B442" s="42" t="s">
        <v>64</v>
      </c>
      <c r="C442" s="43">
        <v>4017611</v>
      </c>
      <c r="D442" s="57" t="s">
        <v>637</v>
      </c>
      <c r="E442" s="56" t="s">
        <v>638</v>
      </c>
      <c r="F442" s="45">
        <v>13099</v>
      </c>
      <c r="G442" s="45">
        <v>6499</v>
      </c>
      <c r="H442" s="45">
        <v>9799</v>
      </c>
      <c r="I442" s="45">
        <v>9799</v>
      </c>
      <c r="J442" s="45">
        <v>9499</v>
      </c>
      <c r="K442" s="45">
        <v>9499</v>
      </c>
      <c r="L442" s="45">
        <v>9499</v>
      </c>
      <c r="M442" s="45">
        <v>9499</v>
      </c>
      <c r="N442" s="45">
        <v>9499</v>
      </c>
      <c r="O442" s="45">
        <v>9399</v>
      </c>
      <c r="P442" s="46">
        <v>9299</v>
      </c>
      <c r="Q442" s="46">
        <v>8799</v>
      </c>
      <c r="R442" s="45">
        <v>9399</v>
      </c>
      <c r="S442" s="45">
        <v>9299</v>
      </c>
      <c r="T442" s="45">
        <v>8799</v>
      </c>
      <c r="U442" s="45">
        <v>8799</v>
      </c>
      <c r="V442" s="45">
        <v>8799</v>
      </c>
      <c r="W442" s="45">
        <v>8799</v>
      </c>
      <c r="X442" s="45">
        <v>8699</v>
      </c>
      <c r="Y442" s="54">
        <v>7199</v>
      </c>
      <c r="Z442" s="54">
        <v>7199</v>
      </c>
      <c r="AA442" s="54">
        <v>6999</v>
      </c>
      <c r="AB442" s="45"/>
      <c r="AC442" s="45"/>
      <c r="AD442" s="45"/>
      <c r="AE442" s="45"/>
      <c r="AF442" s="45"/>
      <c r="AG442" s="45"/>
      <c r="AH442" s="45"/>
      <c r="AI442" s="45"/>
      <c r="AJ442" s="45"/>
      <c r="AK442" s="45"/>
      <c r="AL442" s="45"/>
      <c r="AM442" s="45"/>
      <c r="AN442" s="45"/>
      <c r="AO442" s="45"/>
      <c r="AP442" s="45"/>
      <c r="AQ442" s="45"/>
      <c r="AR442" s="45"/>
      <c r="AS442" s="45"/>
      <c r="AT442" s="45"/>
      <c r="AU442" s="45"/>
      <c r="AV442" s="47"/>
      <c r="AW442" s="48" t="s">
        <v>67</v>
      </c>
      <c r="AX442" s="49" t="s">
        <v>68</v>
      </c>
      <c r="AY442" s="50">
        <f t="shared" si="39"/>
        <v>197.93979999999999</v>
      </c>
      <c r="AZ442" s="50">
        <f t="shared" si="40"/>
        <v>178.34180000000001</v>
      </c>
      <c r="BA442" s="51">
        <f t="shared" si="41"/>
        <v>100.9297</v>
      </c>
    </row>
    <row r="443" spans="1:53" ht="22.5" customHeight="1">
      <c r="A443" s="41" t="s">
        <v>63</v>
      </c>
      <c r="B443" s="42" t="s">
        <v>64</v>
      </c>
      <c r="C443" s="43">
        <v>4017613</v>
      </c>
      <c r="D443" s="57" t="s">
        <v>637</v>
      </c>
      <c r="E443" s="56" t="s">
        <v>639</v>
      </c>
      <c r="F443" s="45">
        <v>13099</v>
      </c>
      <c r="G443" s="45">
        <v>6499</v>
      </c>
      <c r="H443" s="45">
        <v>9799</v>
      </c>
      <c r="I443" s="45">
        <v>9799</v>
      </c>
      <c r="J443" s="45">
        <v>9499</v>
      </c>
      <c r="K443" s="45">
        <v>9499</v>
      </c>
      <c r="L443" s="45">
        <v>9499</v>
      </c>
      <c r="M443" s="45">
        <v>9499</v>
      </c>
      <c r="N443" s="45">
        <v>9499</v>
      </c>
      <c r="O443" s="45">
        <v>9399</v>
      </c>
      <c r="P443" s="46">
        <v>9299</v>
      </c>
      <c r="Q443" s="46">
        <v>8799</v>
      </c>
      <c r="R443" s="45">
        <v>9399</v>
      </c>
      <c r="S443" s="45">
        <v>9299</v>
      </c>
      <c r="T443" s="45">
        <v>8799</v>
      </c>
      <c r="U443" s="45">
        <v>8799</v>
      </c>
      <c r="V443" s="45">
        <v>8799</v>
      </c>
      <c r="W443" s="45">
        <v>8799</v>
      </c>
      <c r="X443" s="45">
        <v>8699</v>
      </c>
      <c r="Y443" s="54">
        <v>7199</v>
      </c>
      <c r="Z443" s="54">
        <v>7199</v>
      </c>
      <c r="AA443" s="54">
        <v>6999</v>
      </c>
      <c r="AB443" s="45"/>
      <c r="AC443" s="45"/>
      <c r="AD443" s="45"/>
      <c r="AE443" s="45"/>
      <c r="AF443" s="45"/>
      <c r="AG443" s="45"/>
      <c r="AH443" s="45"/>
      <c r="AI443" s="45"/>
      <c r="AJ443" s="45"/>
      <c r="AK443" s="45"/>
      <c r="AL443" s="45"/>
      <c r="AM443" s="45"/>
      <c r="AN443" s="45"/>
      <c r="AO443" s="45"/>
      <c r="AP443" s="45"/>
      <c r="AQ443" s="45"/>
      <c r="AR443" s="45"/>
      <c r="AS443" s="45"/>
      <c r="AT443" s="45"/>
      <c r="AU443" s="45"/>
      <c r="AV443" s="47"/>
      <c r="AW443" s="48" t="s">
        <v>67</v>
      </c>
      <c r="AX443" s="49" t="s">
        <v>68</v>
      </c>
      <c r="AY443" s="50">
        <f t="shared" si="39"/>
        <v>197.93979999999999</v>
      </c>
      <c r="AZ443" s="50">
        <f t="shared" si="40"/>
        <v>178.34180000000001</v>
      </c>
      <c r="BA443" s="51">
        <f t="shared" si="41"/>
        <v>100.9297</v>
      </c>
    </row>
    <row r="444" spans="1:53" ht="22.5" customHeight="1">
      <c r="A444" s="41" t="s">
        <v>63</v>
      </c>
      <c r="B444" s="42" t="s">
        <v>64</v>
      </c>
      <c r="C444" s="43">
        <v>4017723</v>
      </c>
      <c r="D444" s="57" t="s">
        <v>637</v>
      </c>
      <c r="E444" s="56" t="s">
        <v>640</v>
      </c>
      <c r="F444" s="45">
        <v>13099</v>
      </c>
      <c r="G444" s="45">
        <v>6499</v>
      </c>
      <c r="H444" s="45">
        <v>9799</v>
      </c>
      <c r="I444" s="45">
        <v>9799</v>
      </c>
      <c r="J444" s="45">
        <v>9499</v>
      </c>
      <c r="K444" s="45">
        <v>9499</v>
      </c>
      <c r="L444" s="45">
        <v>9499</v>
      </c>
      <c r="M444" s="45">
        <v>9499</v>
      </c>
      <c r="N444" s="45">
        <v>9499</v>
      </c>
      <c r="O444" s="45">
        <v>9399</v>
      </c>
      <c r="P444" s="46">
        <v>9299</v>
      </c>
      <c r="Q444" s="46">
        <v>8799</v>
      </c>
      <c r="R444" s="45">
        <v>9399</v>
      </c>
      <c r="S444" s="45">
        <v>9299</v>
      </c>
      <c r="T444" s="45">
        <v>8799</v>
      </c>
      <c r="U444" s="45">
        <v>8799</v>
      </c>
      <c r="V444" s="45">
        <v>8799</v>
      </c>
      <c r="W444" s="45">
        <v>8799</v>
      </c>
      <c r="X444" s="45">
        <v>8699</v>
      </c>
      <c r="Y444" s="54">
        <v>7199</v>
      </c>
      <c r="Z444" s="54">
        <v>7199</v>
      </c>
      <c r="AA444" s="54">
        <v>6999</v>
      </c>
      <c r="AB444" s="45"/>
      <c r="AC444" s="45"/>
      <c r="AD444" s="45"/>
      <c r="AE444" s="45"/>
      <c r="AF444" s="45"/>
      <c r="AG444" s="45"/>
      <c r="AH444" s="45"/>
      <c r="AI444" s="45"/>
      <c r="AJ444" s="45"/>
      <c r="AK444" s="45"/>
      <c r="AL444" s="45"/>
      <c r="AM444" s="45"/>
      <c r="AN444" s="45"/>
      <c r="AO444" s="45"/>
      <c r="AP444" s="45"/>
      <c r="AQ444" s="45"/>
      <c r="AR444" s="45"/>
      <c r="AS444" s="45"/>
      <c r="AT444" s="45"/>
      <c r="AU444" s="45"/>
      <c r="AV444" s="47"/>
      <c r="AW444" s="48" t="s">
        <v>67</v>
      </c>
      <c r="AX444" s="49" t="s">
        <v>68</v>
      </c>
      <c r="AY444" s="50">
        <f t="shared" si="39"/>
        <v>197.93979999999999</v>
      </c>
      <c r="AZ444" s="50">
        <f t="shared" si="40"/>
        <v>178.34180000000001</v>
      </c>
      <c r="BA444" s="51">
        <f t="shared" si="41"/>
        <v>100.9297</v>
      </c>
    </row>
    <row r="445" spans="1:53" ht="22.5" customHeight="1">
      <c r="A445" s="41" t="s">
        <v>63</v>
      </c>
      <c r="B445" s="42" t="s">
        <v>64</v>
      </c>
      <c r="C445" s="43">
        <v>4017726</v>
      </c>
      <c r="D445" s="57" t="s">
        <v>637</v>
      </c>
      <c r="E445" s="56" t="s">
        <v>641</v>
      </c>
      <c r="F445" s="45">
        <v>13099</v>
      </c>
      <c r="G445" s="45">
        <v>6499</v>
      </c>
      <c r="H445" s="45">
        <v>9799</v>
      </c>
      <c r="I445" s="45">
        <v>9799</v>
      </c>
      <c r="J445" s="45">
        <v>9499</v>
      </c>
      <c r="K445" s="45">
        <v>9499</v>
      </c>
      <c r="L445" s="45">
        <v>9499</v>
      </c>
      <c r="M445" s="45">
        <v>9499</v>
      </c>
      <c r="N445" s="45">
        <v>9499</v>
      </c>
      <c r="O445" s="45">
        <v>9399</v>
      </c>
      <c r="P445" s="46">
        <v>9299</v>
      </c>
      <c r="Q445" s="46">
        <v>8799</v>
      </c>
      <c r="R445" s="45">
        <v>9399</v>
      </c>
      <c r="S445" s="45">
        <v>9299</v>
      </c>
      <c r="T445" s="45">
        <v>8799</v>
      </c>
      <c r="U445" s="45">
        <v>8799</v>
      </c>
      <c r="V445" s="45">
        <v>8799</v>
      </c>
      <c r="W445" s="45">
        <v>8799</v>
      </c>
      <c r="X445" s="45">
        <v>8699</v>
      </c>
      <c r="Y445" s="54">
        <v>7199</v>
      </c>
      <c r="Z445" s="54">
        <v>7199</v>
      </c>
      <c r="AA445" s="54">
        <v>6999</v>
      </c>
      <c r="AB445" s="45"/>
      <c r="AC445" s="45"/>
      <c r="AD445" s="45"/>
      <c r="AE445" s="45"/>
      <c r="AF445" s="45"/>
      <c r="AG445" s="45"/>
      <c r="AH445" s="45"/>
      <c r="AI445" s="45"/>
      <c r="AJ445" s="45"/>
      <c r="AK445" s="45"/>
      <c r="AL445" s="45"/>
      <c r="AM445" s="45"/>
      <c r="AN445" s="45"/>
      <c r="AO445" s="45"/>
      <c r="AP445" s="45"/>
      <c r="AQ445" s="45"/>
      <c r="AR445" s="45"/>
      <c r="AS445" s="45"/>
      <c r="AT445" s="45"/>
      <c r="AU445" s="45"/>
      <c r="AV445" s="47"/>
      <c r="AW445" s="48" t="s">
        <v>67</v>
      </c>
      <c r="AX445" s="49" t="s">
        <v>68</v>
      </c>
      <c r="AY445" s="50">
        <f t="shared" si="39"/>
        <v>197.93979999999999</v>
      </c>
      <c r="AZ445" s="50">
        <f t="shared" si="40"/>
        <v>178.34180000000001</v>
      </c>
      <c r="BA445" s="51">
        <f t="shared" si="41"/>
        <v>100.9297</v>
      </c>
    </row>
    <row r="446" spans="1:53" ht="22.5" customHeight="1">
      <c r="A446" s="41" t="s">
        <v>63</v>
      </c>
      <c r="B446" s="42" t="s">
        <v>64</v>
      </c>
      <c r="C446" s="43">
        <v>4017730</v>
      </c>
      <c r="D446" s="57" t="s">
        <v>637</v>
      </c>
      <c r="E446" s="56" t="s">
        <v>642</v>
      </c>
      <c r="F446" s="45">
        <v>13099</v>
      </c>
      <c r="G446" s="45">
        <v>6499</v>
      </c>
      <c r="H446" s="45">
        <v>9799</v>
      </c>
      <c r="I446" s="45">
        <v>9799</v>
      </c>
      <c r="J446" s="45">
        <v>9499</v>
      </c>
      <c r="K446" s="45">
        <v>9499</v>
      </c>
      <c r="L446" s="45">
        <v>9499</v>
      </c>
      <c r="M446" s="45">
        <v>9499</v>
      </c>
      <c r="N446" s="45">
        <v>9499</v>
      </c>
      <c r="O446" s="45">
        <v>9399</v>
      </c>
      <c r="P446" s="46">
        <v>9299</v>
      </c>
      <c r="Q446" s="46">
        <v>8799</v>
      </c>
      <c r="R446" s="45">
        <v>9399</v>
      </c>
      <c r="S446" s="45">
        <v>9299</v>
      </c>
      <c r="T446" s="45">
        <v>8799</v>
      </c>
      <c r="U446" s="45">
        <v>8799</v>
      </c>
      <c r="V446" s="45">
        <v>8799</v>
      </c>
      <c r="W446" s="45">
        <v>8799</v>
      </c>
      <c r="X446" s="45">
        <v>8699</v>
      </c>
      <c r="Y446" s="54">
        <v>7199</v>
      </c>
      <c r="Z446" s="54">
        <v>7199</v>
      </c>
      <c r="AA446" s="54">
        <v>6999</v>
      </c>
      <c r="AB446" s="45"/>
      <c r="AC446" s="45"/>
      <c r="AD446" s="45"/>
      <c r="AE446" s="45"/>
      <c r="AF446" s="45"/>
      <c r="AG446" s="45"/>
      <c r="AH446" s="45"/>
      <c r="AI446" s="45"/>
      <c r="AJ446" s="45"/>
      <c r="AK446" s="45"/>
      <c r="AL446" s="45"/>
      <c r="AM446" s="45"/>
      <c r="AN446" s="45"/>
      <c r="AO446" s="45"/>
      <c r="AP446" s="45"/>
      <c r="AQ446" s="45"/>
      <c r="AR446" s="45"/>
      <c r="AS446" s="45"/>
      <c r="AT446" s="45"/>
      <c r="AU446" s="45"/>
      <c r="AV446" s="47"/>
      <c r="AW446" s="48" t="s">
        <v>67</v>
      </c>
      <c r="AX446" s="49" t="s">
        <v>68</v>
      </c>
      <c r="AY446" s="50">
        <f t="shared" si="39"/>
        <v>197.93979999999999</v>
      </c>
      <c r="AZ446" s="50">
        <f t="shared" si="40"/>
        <v>178.34180000000001</v>
      </c>
      <c r="BA446" s="51">
        <f t="shared" si="41"/>
        <v>100.9297</v>
      </c>
    </row>
    <row r="447" spans="1:53" ht="22.5" customHeight="1">
      <c r="A447" s="41" t="s">
        <v>63</v>
      </c>
      <c r="B447" s="42" t="s">
        <v>64</v>
      </c>
      <c r="C447" s="43">
        <v>4017732</v>
      </c>
      <c r="D447" s="57" t="s">
        <v>637</v>
      </c>
      <c r="E447" s="56" t="s">
        <v>643</v>
      </c>
      <c r="F447" s="45">
        <v>13099</v>
      </c>
      <c r="G447" s="45">
        <v>6499</v>
      </c>
      <c r="H447" s="45">
        <v>9799</v>
      </c>
      <c r="I447" s="45">
        <v>9799</v>
      </c>
      <c r="J447" s="45">
        <v>9499</v>
      </c>
      <c r="K447" s="45">
        <v>9499</v>
      </c>
      <c r="L447" s="45">
        <v>9499</v>
      </c>
      <c r="M447" s="45">
        <v>9499</v>
      </c>
      <c r="N447" s="45">
        <v>9499</v>
      </c>
      <c r="O447" s="45">
        <v>9399</v>
      </c>
      <c r="P447" s="46">
        <v>9299</v>
      </c>
      <c r="Q447" s="46">
        <v>8799</v>
      </c>
      <c r="R447" s="45">
        <v>9399</v>
      </c>
      <c r="S447" s="45">
        <v>9299</v>
      </c>
      <c r="T447" s="45">
        <v>8799</v>
      </c>
      <c r="U447" s="45">
        <v>8799</v>
      </c>
      <c r="V447" s="45">
        <v>8799</v>
      </c>
      <c r="W447" s="45">
        <v>8799</v>
      </c>
      <c r="X447" s="45">
        <v>8699</v>
      </c>
      <c r="Y447" s="54">
        <v>7199</v>
      </c>
      <c r="Z447" s="54">
        <v>7199</v>
      </c>
      <c r="AA447" s="54">
        <v>6999</v>
      </c>
      <c r="AB447" s="45"/>
      <c r="AC447" s="45"/>
      <c r="AD447" s="45"/>
      <c r="AE447" s="45"/>
      <c r="AF447" s="45"/>
      <c r="AG447" s="45"/>
      <c r="AH447" s="45"/>
      <c r="AI447" s="45"/>
      <c r="AJ447" s="45"/>
      <c r="AK447" s="45"/>
      <c r="AL447" s="45"/>
      <c r="AM447" s="45"/>
      <c r="AN447" s="45"/>
      <c r="AO447" s="45"/>
      <c r="AP447" s="45"/>
      <c r="AQ447" s="45"/>
      <c r="AR447" s="45"/>
      <c r="AS447" s="45"/>
      <c r="AT447" s="45"/>
      <c r="AU447" s="45"/>
      <c r="AV447" s="47"/>
      <c r="AW447" s="48" t="s">
        <v>67</v>
      </c>
      <c r="AX447" s="49" t="s">
        <v>68</v>
      </c>
      <c r="AY447" s="50">
        <f t="shared" si="39"/>
        <v>197.93979999999999</v>
      </c>
      <c r="AZ447" s="50">
        <f t="shared" si="40"/>
        <v>178.34180000000001</v>
      </c>
      <c r="BA447" s="51">
        <f t="shared" si="41"/>
        <v>100.9297</v>
      </c>
    </row>
    <row r="448" spans="1:53" ht="22.5" customHeight="1">
      <c r="A448" s="41" t="s">
        <v>63</v>
      </c>
      <c r="B448" s="42" t="s">
        <v>64</v>
      </c>
      <c r="C448" s="43">
        <v>4016325</v>
      </c>
      <c r="D448" s="56" t="s">
        <v>644</v>
      </c>
      <c r="E448" s="56" t="s">
        <v>645</v>
      </c>
      <c r="F448" s="45">
        <v>7999</v>
      </c>
      <c r="G448" s="45">
        <v>3399</v>
      </c>
      <c r="H448" s="45">
        <v>3999</v>
      </c>
      <c r="I448" s="45">
        <v>3999</v>
      </c>
      <c r="J448" s="45">
        <v>3899</v>
      </c>
      <c r="K448" s="45">
        <v>3899</v>
      </c>
      <c r="L448" s="45">
        <v>3899</v>
      </c>
      <c r="M448" s="45">
        <v>3899</v>
      </c>
      <c r="N448" s="45">
        <v>3899</v>
      </c>
      <c r="O448" s="45">
        <v>3799</v>
      </c>
      <c r="P448" s="46">
        <v>3699</v>
      </c>
      <c r="Q448" s="46">
        <v>3499</v>
      </c>
      <c r="R448" s="45">
        <v>3799</v>
      </c>
      <c r="S448" s="45">
        <v>3699</v>
      </c>
      <c r="T448" s="45">
        <v>3499</v>
      </c>
      <c r="U448" s="45">
        <v>3499</v>
      </c>
      <c r="V448" s="45">
        <v>3499</v>
      </c>
      <c r="W448" s="45">
        <v>3499</v>
      </c>
      <c r="X448" s="45">
        <v>3399</v>
      </c>
      <c r="Y448" s="45">
        <v>2999</v>
      </c>
      <c r="Z448" s="45">
        <v>2999</v>
      </c>
      <c r="AA448" s="45">
        <v>2999</v>
      </c>
      <c r="AB448" s="45"/>
      <c r="AC448" s="45"/>
      <c r="AD448" s="45"/>
      <c r="AE448" s="45"/>
      <c r="AF448" s="45"/>
      <c r="AG448" s="45"/>
      <c r="AH448" s="45"/>
      <c r="AI448" s="45"/>
      <c r="AJ448" s="45"/>
      <c r="AK448" s="45"/>
      <c r="AL448" s="45"/>
      <c r="AM448" s="45"/>
      <c r="AN448" s="45"/>
      <c r="AO448" s="45"/>
      <c r="AP448" s="45"/>
      <c r="AQ448" s="45"/>
      <c r="AR448" s="45"/>
      <c r="AS448" s="45"/>
      <c r="AT448" s="45"/>
      <c r="AU448" s="45"/>
      <c r="AV448" s="47"/>
      <c r="AW448" s="48" t="s">
        <v>67</v>
      </c>
      <c r="AX448" s="49" t="s">
        <v>68</v>
      </c>
      <c r="AY448" s="50">
        <f t="shared" si="39"/>
        <v>80.779799999999994</v>
      </c>
      <c r="AZ448" s="50">
        <f t="shared" si="40"/>
        <v>72.781800000000004</v>
      </c>
      <c r="BA448" s="51">
        <f t="shared" si="41"/>
        <v>41.189700000000002</v>
      </c>
    </row>
    <row r="449" spans="1:53" ht="22.5" customHeight="1">
      <c r="A449" s="41" t="s">
        <v>63</v>
      </c>
      <c r="B449" s="42" t="s">
        <v>64</v>
      </c>
      <c r="C449" s="43">
        <v>4016327</v>
      </c>
      <c r="D449" s="56" t="s">
        <v>644</v>
      </c>
      <c r="E449" s="56" t="s">
        <v>646</v>
      </c>
      <c r="F449" s="45">
        <v>7999</v>
      </c>
      <c r="G449" s="45">
        <v>3399</v>
      </c>
      <c r="H449" s="45">
        <v>3999</v>
      </c>
      <c r="I449" s="45">
        <v>3999</v>
      </c>
      <c r="J449" s="45">
        <v>3899</v>
      </c>
      <c r="K449" s="45">
        <v>3899</v>
      </c>
      <c r="L449" s="45">
        <v>3899</v>
      </c>
      <c r="M449" s="45">
        <v>3899</v>
      </c>
      <c r="N449" s="45">
        <v>3899</v>
      </c>
      <c r="O449" s="45">
        <v>3799</v>
      </c>
      <c r="P449" s="46">
        <v>3699</v>
      </c>
      <c r="Q449" s="46">
        <v>3499</v>
      </c>
      <c r="R449" s="45">
        <v>3799</v>
      </c>
      <c r="S449" s="45">
        <v>3699</v>
      </c>
      <c r="T449" s="45">
        <v>3499</v>
      </c>
      <c r="U449" s="45">
        <v>3499</v>
      </c>
      <c r="V449" s="45">
        <v>3499</v>
      </c>
      <c r="W449" s="45">
        <v>3499</v>
      </c>
      <c r="X449" s="45">
        <v>3399</v>
      </c>
      <c r="Y449" s="45">
        <v>2999</v>
      </c>
      <c r="Z449" s="45">
        <v>2999</v>
      </c>
      <c r="AA449" s="45">
        <v>2999</v>
      </c>
      <c r="AB449" s="45"/>
      <c r="AC449" s="45"/>
      <c r="AD449" s="45"/>
      <c r="AE449" s="45"/>
      <c r="AF449" s="45"/>
      <c r="AG449" s="45"/>
      <c r="AH449" s="45"/>
      <c r="AI449" s="45"/>
      <c r="AJ449" s="45"/>
      <c r="AK449" s="45"/>
      <c r="AL449" s="45"/>
      <c r="AM449" s="45"/>
      <c r="AN449" s="45"/>
      <c r="AO449" s="45"/>
      <c r="AP449" s="45"/>
      <c r="AQ449" s="45"/>
      <c r="AR449" s="45"/>
      <c r="AS449" s="45"/>
      <c r="AT449" s="45"/>
      <c r="AU449" s="45"/>
      <c r="AV449" s="47"/>
      <c r="AW449" s="48" t="s">
        <v>67</v>
      </c>
      <c r="AX449" s="49" t="s">
        <v>68</v>
      </c>
      <c r="AY449" s="50">
        <f t="shared" si="39"/>
        <v>80.779799999999994</v>
      </c>
      <c r="AZ449" s="50">
        <f t="shared" si="40"/>
        <v>72.781800000000004</v>
      </c>
      <c r="BA449" s="51">
        <f t="shared" si="41"/>
        <v>41.189700000000002</v>
      </c>
    </row>
    <row r="450" spans="1:53" ht="22.5" customHeight="1">
      <c r="A450" s="41" t="s">
        <v>63</v>
      </c>
      <c r="B450" s="42" t="s">
        <v>64</v>
      </c>
      <c r="C450" s="43">
        <v>4017179</v>
      </c>
      <c r="D450" s="56" t="s">
        <v>647</v>
      </c>
      <c r="E450" s="56" t="s">
        <v>648</v>
      </c>
      <c r="F450" s="45">
        <v>8499</v>
      </c>
      <c r="G450" s="45">
        <v>6099</v>
      </c>
      <c r="H450" s="45">
        <v>6799</v>
      </c>
      <c r="I450" s="45">
        <v>6799</v>
      </c>
      <c r="J450" s="45">
        <v>6699</v>
      </c>
      <c r="K450" s="45">
        <v>6699</v>
      </c>
      <c r="L450" s="45">
        <v>6699</v>
      </c>
      <c r="M450" s="45">
        <v>6699</v>
      </c>
      <c r="N450" s="45">
        <v>6699</v>
      </c>
      <c r="O450" s="45">
        <v>6599</v>
      </c>
      <c r="P450" s="46">
        <v>6499</v>
      </c>
      <c r="Q450" s="46">
        <v>6199</v>
      </c>
      <c r="R450" s="45">
        <v>6599</v>
      </c>
      <c r="S450" s="45">
        <v>6499</v>
      </c>
      <c r="T450" s="45">
        <v>6199</v>
      </c>
      <c r="U450" s="45">
        <v>6199</v>
      </c>
      <c r="V450" s="45">
        <v>6199</v>
      </c>
      <c r="W450" s="45">
        <v>6199</v>
      </c>
      <c r="X450" s="45">
        <v>6099</v>
      </c>
      <c r="Y450" s="45">
        <v>3999</v>
      </c>
      <c r="Z450" s="45">
        <v>3999</v>
      </c>
      <c r="AA450" s="45">
        <v>3999</v>
      </c>
      <c r="AB450" s="45"/>
      <c r="AC450" s="45"/>
      <c r="AD450" s="45"/>
      <c r="AE450" s="45"/>
      <c r="AF450" s="45"/>
      <c r="AG450" s="45"/>
      <c r="AH450" s="45"/>
      <c r="AI450" s="45"/>
      <c r="AJ450" s="45"/>
      <c r="AK450" s="45"/>
      <c r="AL450" s="45"/>
      <c r="AM450" s="45"/>
      <c r="AN450" s="45"/>
      <c r="AO450" s="45"/>
      <c r="AP450" s="45"/>
      <c r="AQ450" s="45"/>
      <c r="AR450" s="45"/>
      <c r="AS450" s="45"/>
      <c r="AT450" s="45"/>
      <c r="AU450" s="45"/>
      <c r="AV450" s="47"/>
      <c r="AW450" s="48" t="s">
        <v>67</v>
      </c>
      <c r="AX450" s="49" t="s">
        <v>68</v>
      </c>
      <c r="AY450" s="50">
        <f t="shared" si="39"/>
        <v>137.3398</v>
      </c>
      <c r="AZ450" s="50">
        <f t="shared" si="40"/>
        <v>123.74180000000001</v>
      </c>
      <c r="BA450" s="51">
        <f t="shared" si="41"/>
        <v>70.029700000000005</v>
      </c>
    </row>
    <row r="451" spans="1:53" ht="22.5" customHeight="1">
      <c r="A451" s="41" t="s">
        <v>63</v>
      </c>
      <c r="B451" s="42" t="s">
        <v>64</v>
      </c>
      <c r="C451" s="43">
        <v>4017187</v>
      </c>
      <c r="D451" s="56" t="s">
        <v>649</v>
      </c>
      <c r="E451" s="56" t="s">
        <v>650</v>
      </c>
      <c r="F451" s="45">
        <v>9499</v>
      </c>
      <c r="G451" s="45">
        <v>6299</v>
      </c>
      <c r="H451" s="45">
        <v>6999</v>
      </c>
      <c r="I451" s="45">
        <v>6999</v>
      </c>
      <c r="J451" s="45">
        <v>6899</v>
      </c>
      <c r="K451" s="45">
        <v>6899</v>
      </c>
      <c r="L451" s="45">
        <v>6899</v>
      </c>
      <c r="M451" s="45">
        <v>6899</v>
      </c>
      <c r="N451" s="45">
        <v>6899</v>
      </c>
      <c r="O451" s="45">
        <v>6799</v>
      </c>
      <c r="P451" s="46">
        <v>6699</v>
      </c>
      <c r="Q451" s="46">
        <v>6399</v>
      </c>
      <c r="R451" s="45">
        <v>6799</v>
      </c>
      <c r="S451" s="45">
        <v>6699</v>
      </c>
      <c r="T451" s="45">
        <v>6399</v>
      </c>
      <c r="U451" s="45">
        <v>6399</v>
      </c>
      <c r="V451" s="45">
        <v>6399</v>
      </c>
      <c r="W451" s="45">
        <v>6399</v>
      </c>
      <c r="X451" s="45">
        <v>6299</v>
      </c>
      <c r="Y451" s="45">
        <v>4699</v>
      </c>
      <c r="Z451" s="45">
        <v>4699</v>
      </c>
      <c r="AA451" s="45">
        <v>4649</v>
      </c>
      <c r="AB451" s="45"/>
      <c r="AC451" s="45"/>
      <c r="AD451" s="45"/>
      <c r="AE451" s="45"/>
      <c r="AF451" s="45"/>
      <c r="AG451" s="45"/>
      <c r="AH451" s="45"/>
      <c r="AI451" s="45"/>
      <c r="AJ451" s="45"/>
      <c r="AK451" s="45"/>
      <c r="AL451" s="45"/>
      <c r="AM451" s="45"/>
      <c r="AN451" s="45"/>
      <c r="AO451" s="45"/>
      <c r="AP451" s="45"/>
      <c r="AQ451" s="45"/>
      <c r="AR451" s="45"/>
      <c r="AS451" s="45"/>
      <c r="AT451" s="45"/>
      <c r="AU451" s="45"/>
      <c r="AV451" s="47"/>
      <c r="AW451" s="48" t="s">
        <v>67</v>
      </c>
      <c r="AX451" s="49" t="s">
        <v>68</v>
      </c>
      <c r="AY451" s="50">
        <f t="shared" si="39"/>
        <v>141.37979999999999</v>
      </c>
      <c r="AZ451" s="50">
        <f t="shared" si="40"/>
        <v>127.38180000000001</v>
      </c>
      <c r="BA451" s="51">
        <f t="shared" si="41"/>
        <v>72.089700000000008</v>
      </c>
    </row>
    <row r="452" spans="1:53" ht="22.5" customHeight="1">
      <c r="A452" s="41" t="s">
        <v>63</v>
      </c>
      <c r="B452" s="42" t="s">
        <v>64</v>
      </c>
      <c r="C452" s="43">
        <v>4017183</v>
      </c>
      <c r="D452" s="56" t="s">
        <v>651</v>
      </c>
      <c r="E452" s="56" t="s">
        <v>652</v>
      </c>
      <c r="F452" s="45">
        <v>7399</v>
      </c>
      <c r="G452" s="45">
        <v>3899</v>
      </c>
      <c r="H452" s="45">
        <v>4449</v>
      </c>
      <c r="I452" s="45">
        <v>4449</v>
      </c>
      <c r="J452" s="45">
        <v>4399</v>
      </c>
      <c r="K452" s="45">
        <v>4399</v>
      </c>
      <c r="L452" s="45">
        <v>4399</v>
      </c>
      <c r="M452" s="45">
        <v>4399</v>
      </c>
      <c r="N452" s="45">
        <v>4399</v>
      </c>
      <c r="O452" s="45">
        <v>4299</v>
      </c>
      <c r="P452" s="46">
        <v>4199</v>
      </c>
      <c r="Q452" s="46">
        <v>3999</v>
      </c>
      <c r="R452" s="45">
        <v>4299</v>
      </c>
      <c r="S452" s="45">
        <v>4199</v>
      </c>
      <c r="T452" s="45">
        <v>3999</v>
      </c>
      <c r="U452" s="45">
        <v>3999</v>
      </c>
      <c r="V452" s="45">
        <v>3999</v>
      </c>
      <c r="W452" s="45">
        <v>3999</v>
      </c>
      <c r="X452" s="45">
        <v>3899</v>
      </c>
      <c r="Y452" s="45">
        <v>2399</v>
      </c>
      <c r="Z452" s="45">
        <v>2399</v>
      </c>
      <c r="AA452" s="45">
        <v>2399</v>
      </c>
      <c r="AB452" s="45"/>
      <c r="AC452" s="45"/>
      <c r="AD452" s="45"/>
      <c r="AE452" s="45"/>
      <c r="AF452" s="45"/>
      <c r="AG452" s="45"/>
      <c r="AH452" s="45"/>
      <c r="AI452" s="45"/>
      <c r="AJ452" s="45"/>
      <c r="AK452" s="45"/>
      <c r="AL452" s="45"/>
      <c r="AM452" s="45"/>
      <c r="AN452" s="45"/>
      <c r="AO452" s="45"/>
      <c r="AP452" s="45"/>
      <c r="AQ452" s="45"/>
      <c r="AR452" s="45"/>
      <c r="AS452" s="45"/>
      <c r="AT452" s="45"/>
      <c r="AU452" s="45"/>
      <c r="AV452" s="47"/>
      <c r="AW452" s="48" t="s">
        <v>67</v>
      </c>
      <c r="AX452" s="49" t="s">
        <v>68</v>
      </c>
      <c r="AY452" s="50">
        <f t="shared" si="39"/>
        <v>89.869799999999998</v>
      </c>
      <c r="AZ452" s="50">
        <f t="shared" si="40"/>
        <v>80.971800000000002</v>
      </c>
      <c r="BA452" s="51">
        <f t="shared" si="41"/>
        <v>45.8247</v>
      </c>
    </row>
    <row r="453" spans="1:53" ht="22.5" customHeight="1">
      <c r="A453" s="41" t="s">
        <v>63</v>
      </c>
      <c r="B453" s="42" t="s">
        <v>64</v>
      </c>
      <c r="C453" s="43">
        <v>4016326</v>
      </c>
      <c r="D453" s="56" t="s">
        <v>653</v>
      </c>
      <c r="E453" s="56" t="s">
        <v>654</v>
      </c>
      <c r="F453" s="45">
        <v>13799</v>
      </c>
      <c r="G453" s="45">
        <v>6699</v>
      </c>
      <c r="H453" s="45">
        <v>7399</v>
      </c>
      <c r="I453" s="45">
        <v>7399</v>
      </c>
      <c r="J453" s="45">
        <v>7299</v>
      </c>
      <c r="K453" s="45">
        <v>7299</v>
      </c>
      <c r="L453" s="45">
        <v>7299</v>
      </c>
      <c r="M453" s="45">
        <v>7299</v>
      </c>
      <c r="N453" s="45">
        <v>7299</v>
      </c>
      <c r="O453" s="45">
        <v>7199</v>
      </c>
      <c r="P453" s="46">
        <v>7099</v>
      </c>
      <c r="Q453" s="46">
        <v>6799</v>
      </c>
      <c r="R453" s="45">
        <v>7199</v>
      </c>
      <c r="S453" s="45">
        <v>7099</v>
      </c>
      <c r="T453" s="45">
        <v>6799</v>
      </c>
      <c r="U453" s="45">
        <v>6799</v>
      </c>
      <c r="V453" s="45">
        <v>6799</v>
      </c>
      <c r="W453" s="45">
        <v>6799</v>
      </c>
      <c r="X453" s="45">
        <v>6699</v>
      </c>
      <c r="Y453" s="45">
        <v>4999</v>
      </c>
      <c r="Z453" s="45">
        <v>4999</v>
      </c>
      <c r="AA453" s="45">
        <v>4999</v>
      </c>
      <c r="AB453" s="45"/>
      <c r="AC453" s="45"/>
      <c r="AD453" s="45"/>
      <c r="AE453" s="45"/>
      <c r="AF453" s="45"/>
      <c r="AG453" s="45"/>
      <c r="AH453" s="45"/>
      <c r="AI453" s="45"/>
      <c r="AJ453" s="45"/>
      <c r="AK453" s="45"/>
      <c r="AL453" s="45"/>
      <c r="AM453" s="45"/>
      <c r="AN453" s="45"/>
      <c r="AO453" s="45"/>
      <c r="AP453" s="45"/>
      <c r="AQ453" s="45"/>
      <c r="AR453" s="45"/>
      <c r="AS453" s="45"/>
      <c r="AT453" s="45"/>
      <c r="AU453" s="45"/>
      <c r="AV453" s="47"/>
      <c r="AW453" s="48" t="s">
        <v>67</v>
      </c>
      <c r="AX453" s="49" t="s">
        <v>68</v>
      </c>
      <c r="AY453" s="50">
        <f t="shared" si="39"/>
        <v>149.4598</v>
      </c>
      <c r="AZ453" s="50">
        <f t="shared" si="40"/>
        <v>134.6618</v>
      </c>
      <c r="BA453" s="51">
        <f t="shared" si="41"/>
        <v>76.209699999999998</v>
      </c>
    </row>
    <row r="454" spans="1:53" ht="22.5" customHeight="1">
      <c r="A454" s="41" t="s">
        <v>63</v>
      </c>
      <c r="B454" s="42" t="s">
        <v>64</v>
      </c>
      <c r="C454" s="63">
        <v>4017186</v>
      </c>
      <c r="D454" s="64" t="s">
        <v>655</v>
      </c>
      <c r="E454" s="64" t="s">
        <v>656</v>
      </c>
      <c r="F454" s="46">
        <v>14799</v>
      </c>
      <c r="G454" s="46">
        <v>9449</v>
      </c>
      <c r="H454" s="46">
        <v>9899</v>
      </c>
      <c r="I454" s="46">
        <v>9899</v>
      </c>
      <c r="J454" s="46">
        <v>9799</v>
      </c>
      <c r="K454" s="46">
        <v>9799</v>
      </c>
      <c r="L454" s="46">
        <v>9799</v>
      </c>
      <c r="M454" s="46">
        <v>9799</v>
      </c>
      <c r="N454" s="46">
        <v>9799</v>
      </c>
      <c r="O454" s="46">
        <v>9749</v>
      </c>
      <c r="P454" s="46">
        <v>9699</v>
      </c>
      <c r="Q454" s="46">
        <v>9499</v>
      </c>
      <c r="R454" s="46">
        <v>9749</v>
      </c>
      <c r="S454" s="46">
        <v>9699</v>
      </c>
      <c r="T454" s="46">
        <v>9499</v>
      </c>
      <c r="U454" s="46">
        <v>9499</v>
      </c>
      <c r="V454" s="46">
        <v>9499</v>
      </c>
      <c r="W454" s="46">
        <v>9499</v>
      </c>
      <c r="X454" s="46">
        <v>9449</v>
      </c>
      <c r="Y454" s="46">
        <v>6999</v>
      </c>
      <c r="Z454" s="46">
        <v>6999</v>
      </c>
      <c r="AA454" s="46">
        <v>6999</v>
      </c>
      <c r="AB454" s="46"/>
      <c r="AC454" s="46"/>
      <c r="AD454" s="46"/>
      <c r="AE454" s="46"/>
      <c r="AF454" s="46"/>
      <c r="AG454" s="46"/>
      <c r="AH454" s="46"/>
      <c r="AI454" s="46"/>
      <c r="AJ454" s="46"/>
      <c r="AK454" s="46"/>
      <c r="AL454" s="46"/>
      <c r="AM454" s="46"/>
      <c r="AN454" s="46"/>
      <c r="AO454" s="46"/>
      <c r="AP454" s="46"/>
      <c r="AQ454" s="46"/>
      <c r="AR454" s="46"/>
      <c r="AS454" s="46"/>
      <c r="AT454" s="46"/>
      <c r="AU454" s="46"/>
      <c r="AV454" s="47"/>
      <c r="AW454" s="48" t="s">
        <v>67</v>
      </c>
      <c r="AX454" s="49" t="s">
        <v>68</v>
      </c>
      <c r="AY454" s="50">
        <f t="shared" si="39"/>
        <v>199.9598</v>
      </c>
      <c r="AZ454" s="50">
        <f t="shared" si="40"/>
        <v>180.1618</v>
      </c>
      <c r="BA454" s="51">
        <f t="shared" si="41"/>
        <v>101.9597</v>
      </c>
    </row>
    <row r="455" spans="1:53" ht="22.5" customHeight="1" thickBot="1">
      <c r="A455" s="65" t="s">
        <v>63</v>
      </c>
      <c r="B455" s="66" t="s">
        <v>64</v>
      </c>
      <c r="C455" s="67">
        <v>4017191</v>
      </c>
      <c r="D455" s="68" t="s">
        <v>657</v>
      </c>
      <c r="E455" s="68" t="s">
        <v>658</v>
      </c>
      <c r="F455" s="69">
        <v>15799</v>
      </c>
      <c r="G455" s="69">
        <v>9449</v>
      </c>
      <c r="H455" s="69">
        <v>9899</v>
      </c>
      <c r="I455" s="69">
        <v>9899</v>
      </c>
      <c r="J455" s="69">
        <v>9799</v>
      </c>
      <c r="K455" s="69">
        <v>9799</v>
      </c>
      <c r="L455" s="69">
        <v>9799</v>
      </c>
      <c r="M455" s="69">
        <v>9799</v>
      </c>
      <c r="N455" s="69">
        <v>9799</v>
      </c>
      <c r="O455" s="69">
        <v>9749</v>
      </c>
      <c r="P455" s="69">
        <v>9699</v>
      </c>
      <c r="Q455" s="69">
        <v>9499</v>
      </c>
      <c r="R455" s="69">
        <v>9749</v>
      </c>
      <c r="S455" s="69">
        <v>9699</v>
      </c>
      <c r="T455" s="69">
        <v>9499</v>
      </c>
      <c r="U455" s="69">
        <v>9499</v>
      </c>
      <c r="V455" s="69">
        <v>9499</v>
      </c>
      <c r="W455" s="69">
        <v>9499</v>
      </c>
      <c r="X455" s="69">
        <v>9449</v>
      </c>
      <c r="Y455" s="69">
        <v>8499</v>
      </c>
      <c r="Z455" s="69">
        <v>8499</v>
      </c>
      <c r="AA455" s="69">
        <v>8449</v>
      </c>
      <c r="AB455" s="69"/>
      <c r="AC455" s="69"/>
      <c r="AD455" s="69"/>
      <c r="AE455" s="69"/>
      <c r="AF455" s="69"/>
      <c r="AG455" s="69"/>
      <c r="AH455" s="69"/>
      <c r="AI455" s="69"/>
      <c r="AJ455" s="69"/>
      <c r="AK455" s="69"/>
      <c r="AL455" s="69"/>
      <c r="AM455" s="69"/>
      <c r="AN455" s="69"/>
      <c r="AO455" s="69"/>
      <c r="AP455" s="69"/>
      <c r="AQ455" s="69"/>
      <c r="AR455" s="69"/>
      <c r="AS455" s="69"/>
      <c r="AT455" s="69"/>
      <c r="AU455" s="69"/>
      <c r="AV455" s="47"/>
      <c r="AW455" s="70" t="s">
        <v>67</v>
      </c>
      <c r="AX455" s="71" t="s">
        <v>68</v>
      </c>
      <c r="AY455" s="72">
        <f t="shared" si="39"/>
        <v>199.9598</v>
      </c>
      <c r="AZ455" s="72">
        <f t="shared" si="40"/>
        <v>180.1618</v>
      </c>
      <c r="BA455" s="73">
        <f t="shared" si="41"/>
        <v>101.9597</v>
      </c>
    </row>
    <row r="456" spans="1:53" ht="22.5" customHeight="1">
      <c r="A456" s="74" t="s">
        <v>222</v>
      </c>
      <c r="B456" s="75" t="s">
        <v>64</v>
      </c>
      <c r="C456" s="43">
        <v>4013638</v>
      </c>
      <c r="D456" s="56" t="s">
        <v>659</v>
      </c>
      <c r="E456" s="56" t="s">
        <v>660</v>
      </c>
      <c r="F456" s="76">
        <v>341</v>
      </c>
      <c r="G456" s="77">
        <v>141</v>
      </c>
      <c r="H456" s="78">
        <v>341</v>
      </c>
      <c r="I456" s="45">
        <v>341</v>
      </c>
      <c r="J456" s="45">
        <v>99</v>
      </c>
      <c r="K456" s="45">
        <v>99</v>
      </c>
      <c r="L456" s="45">
        <v>99</v>
      </c>
      <c r="M456" s="45">
        <v>99</v>
      </c>
      <c r="N456" s="45">
        <v>99</v>
      </c>
      <c r="O456" s="45">
        <v>99</v>
      </c>
      <c r="P456" s="45">
        <v>99</v>
      </c>
      <c r="Q456" s="45">
        <v>99</v>
      </c>
      <c r="R456" s="45">
        <v>99</v>
      </c>
      <c r="S456" s="45">
        <v>99</v>
      </c>
      <c r="T456" s="45">
        <v>99</v>
      </c>
      <c r="U456" s="45">
        <v>99</v>
      </c>
      <c r="V456" s="45">
        <v>99</v>
      </c>
      <c r="W456" s="45">
        <v>99</v>
      </c>
      <c r="X456" s="45">
        <v>99</v>
      </c>
      <c r="Y456" s="45">
        <v>99</v>
      </c>
      <c r="Z456" s="45">
        <v>99</v>
      </c>
      <c r="AA456" s="45">
        <v>99</v>
      </c>
      <c r="AB456" s="45"/>
      <c r="AC456" s="45"/>
      <c r="AD456" s="45"/>
      <c r="AE456" s="45"/>
      <c r="AF456" s="45"/>
      <c r="AG456" s="45"/>
      <c r="AH456" s="45"/>
      <c r="AI456" s="45"/>
      <c r="AJ456" s="45"/>
      <c r="AK456" s="45"/>
      <c r="AL456" s="45"/>
      <c r="AM456" s="45">
        <v>199</v>
      </c>
      <c r="AN456" s="45">
        <v>159</v>
      </c>
      <c r="AO456" s="45">
        <v>129</v>
      </c>
      <c r="AP456" s="45"/>
      <c r="AQ456" s="45"/>
      <c r="AR456" s="45"/>
      <c r="AS456" s="45"/>
      <c r="AT456" s="45"/>
      <c r="AU456" s="45"/>
      <c r="AW456" s="79" t="s">
        <v>67</v>
      </c>
      <c r="AX456" s="80" t="s">
        <v>661</v>
      </c>
    </row>
    <row r="457" spans="1:53" ht="22.5" customHeight="1">
      <c r="A457" s="55" t="s">
        <v>222</v>
      </c>
      <c r="B457" s="42" t="s">
        <v>64</v>
      </c>
      <c r="C457" s="63">
        <v>4013131</v>
      </c>
      <c r="D457" s="64" t="s">
        <v>662</v>
      </c>
      <c r="E457" s="64" t="s">
        <v>663</v>
      </c>
      <c r="F457" s="76">
        <v>349</v>
      </c>
      <c r="G457" s="81">
        <v>299</v>
      </c>
      <c r="H457" s="78">
        <v>299</v>
      </c>
      <c r="I457" s="45">
        <v>299</v>
      </c>
      <c r="J457" s="45"/>
      <c r="K457" s="45"/>
      <c r="L457" s="45"/>
      <c r="M457" s="45"/>
      <c r="N457" s="45"/>
      <c r="O457" s="45"/>
      <c r="P457" s="45"/>
      <c r="Q457" s="45"/>
      <c r="R457" s="45"/>
      <c r="S457" s="45"/>
      <c r="T457" s="45"/>
      <c r="U457" s="45"/>
      <c r="V457" s="45"/>
      <c r="W457" s="45"/>
      <c r="X457" s="45"/>
      <c r="Y457" s="45"/>
      <c r="Z457" s="45"/>
      <c r="AA457" s="45"/>
      <c r="AB457" s="45"/>
      <c r="AC457" s="45"/>
      <c r="AD457" s="45"/>
      <c r="AE457" s="45"/>
      <c r="AF457" s="45"/>
      <c r="AG457" s="45"/>
      <c r="AH457" s="45"/>
      <c r="AI457" s="45"/>
      <c r="AJ457" s="45"/>
      <c r="AK457" s="45"/>
      <c r="AL457" s="45"/>
      <c r="AM457" s="45">
        <v>199</v>
      </c>
      <c r="AN457" s="45">
        <v>159</v>
      </c>
      <c r="AO457" s="45">
        <v>129</v>
      </c>
      <c r="AP457" s="45"/>
      <c r="AQ457" s="45"/>
      <c r="AR457" s="45"/>
      <c r="AS457" s="45"/>
      <c r="AT457" s="45"/>
      <c r="AU457" s="45"/>
      <c r="AW457" s="48" t="s">
        <v>67</v>
      </c>
      <c r="AX457" s="49" t="s">
        <v>661</v>
      </c>
    </row>
    <row r="458" spans="1:53" ht="22.5" customHeight="1">
      <c r="A458" s="55" t="s">
        <v>222</v>
      </c>
      <c r="B458" s="42" t="s">
        <v>64</v>
      </c>
      <c r="C458" s="63">
        <v>4013033</v>
      </c>
      <c r="D458" s="64" t="s">
        <v>664</v>
      </c>
      <c r="E458" s="64" t="s">
        <v>665</v>
      </c>
      <c r="F458" s="76">
        <v>299</v>
      </c>
      <c r="G458" s="77">
        <v>299</v>
      </c>
      <c r="H458" s="78">
        <v>299</v>
      </c>
      <c r="I458" s="45">
        <v>299</v>
      </c>
      <c r="J458" s="45"/>
      <c r="K458" s="45"/>
      <c r="L458" s="45"/>
      <c r="M458" s="45"/>
      <c r="N458" s="45"/>
      <c r="O458" s="45"/>
      <c r="P458" s="45"/>
      <c r="Q458" s="45"/>
      <c r="R458" s="45"/>
      <c r="S458" s="45"/>
      <c r="T458" s="45"/>
      <c r="U458" s="45"/>
      <c r="V458" s="45"/>
      <c r="W458" s="45"/>
      <c r="X458" s="45"/>
      <c r="Y458" s="45"/>
      <c r="Z458" s="45"/>
      <c r="AA458" s="45"/>
      <c r="AB458" s="45"/>
      <c r="AC458" s="45"/>
      <c r="AD458" s="45"/>
      <c r="AE458" s="45"/>
      <c r="AF458" s="45"/>
      <c r="AG458" s="45"/>
      <c r="AH458" s="45"/>
      <c r="AI458" s="45"/>
      <c r="AJ458" s="45"/>
      <c r="AK458" s="45"/>
      <c r="AL458" s="45"/>
      <c r="AM458" s="45">
        <v>199</v>
      </c>
      <c r="AN458" s="45">
        <v>159</v>
      </c>
      <c r="AO458" s="45">
        <v>129</v>
      </c>
      <c r="AP458" s="45"/>
      <c r="AQ458" s="45"/>
      <c r="AR458" s="45"/>
      <c r="AS458" s="45"/>
      <c r="AT458" s="45"/>
      <c r="AU458" s="45"/>
      <c r="AW458" s="48" t="s">
        <v>67</v>
      </c>
      <c r="AX458" s="49" t="s">
        <v>230</v>
      </c>
    </row>
    <row r="459" spans="1:53" ht="22.5" customHeight="1" thickBot="1">
      <c r="A459" s="82" t="s">
        <v>222</v>
      </c>
      <c r="B459" s="66" t="s">
        <v>64</v>
      </c>
      <c r="C459" s="67">
        <v>4011551</v>
      </c>
      <c r="D459" s="83" t="s">
        <v>666</v>
      </c>
      <c r="E459" s="68" t="s">
        <v>667</v>
      </c>
      <c r="F459" s="69">
        <v>329</v>
      </c>
      <c r="G459" s="69">
        <v>329</v>
      </c>
      <c r="H459" s="69">
        <v>329</v>
      </c>
      <c r="I459" s="69">
        <v>329</v>
      </c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  <c r="AA459" s="69"/>
      <c r="AB459" s="69"/>
      <c r="AC459" s="69"/>
      <c r="AD459" s="69"/>
      <c r="AE459" s="69"/>
      <c r="AF459" s="69"/>
      <c r="AG459" s="69"/>
      <c r="AH459" s="69"/>
      <c r="AI459" s="69"/>
      <c r="AJ459" s="69"/>
      <c r="AK459" s="69"/>
      <c r="AL459" s="69"/>
      <c r="AM459" s="69"/>
      <c r="AN459" s="69"/>
      <c r="AO459" s="69"/>
      <c r="AP459" s="69"/>
      <c r="AQ459" s="69"/>
      <c r="AR459" s="69"/>
      <c r="AS459" s="69"/>
      <c r="AT459" s="69"/>
      <c r="AU459" s="69"/>
      <c r="AW459" s="84" t="s">
        <v>67</v>
      </c>
      <c r="AX459" s="85" t="s">
        <v>230</v>
      </c>
    </row>
    <row r="460" spans="1:53" ht="23" customHeight="1">
      <c r="A460" s="55" t="s">
        <v>222</v>
      </c>
      <c r="B460" s="42" t="s">
        <v>64</v>
      </c>
      <c r="C460" s="56">
        <v>4011550</v>
      </c>
      <c r="D460" s="86" t="s">
        <v>668</v>
      </c>
      <c r="E460" s="56" t="s">
        <v>668</v>
      </c>
      <c r="F460" s="45">
        <v>575</v>
      </c>
      <c r="G460" s="45">
        <v>299</v>
      </c>
      <c r="H460" s="45">
        <v>575</v>
      </c>
      <c r="I460" s="45">
        <v>575</v>
      </c>
      <c r="J460" s="45"/>
      <c r="K460" s="45"/>
      <c r="L460" s="45"/>
      <c r="M460" s="45"/>
      <c r="N460" s="45"/>
      <c r="O460" s="45"/>
      <c r="P460" s="45"/>
      <c r="Q460" s="45"/>
      <c r="R460" s="45"/>
      <c r="S460" s="45"/>
      <c r="T460" s="45"/>
      <c r="U460" s="45"/>
      <c r="V460" s="45"/>
      <c r="W460" s="45"/>
      <c r="X460" s="45"/>
      <c r="Y460" s="45"/>
      <c r="Z460" s="45"/>
      <c r="AA460" s="45"/>
      <c r="AB460" s="45"/>
      <c r="AC460" s="45"/>
      <c r="AD460" s="45"/>
      <c r="AE460" s="45"/>
      <c r="AF460" s="45"/>
      <c r="AG460" s="45"/>
      <c r="AH460" s="45"/>
      <c r="AI460" s="45"/>
      <c r="AJ460" s="45"/>
      <c r="AK460" s="45"/>
      <c r="AL460" s="45"/>
      <c r="AM460" s="45"/>
      <c r="AN460" s="45"/>
      <c r="AO460" s="45"/>
      <c r="AP460" s="45">
        <v>575</v>
      </c>
      <c r="AQ460" s="45">
        <v>575</v>
      </c>
      <c r="AR460" s="45">
        <v>575</v>
      </c>
      <c r="AS460" s="87">
        <v>199</v>
      </c>
      <c r="AT460" s="87">
        <v>159</v>
      </c>
      <c r="AU460" s="88">
        <v>99.9</v>
      </c>
      <c r="AW460" s="48" t="s">
        <v>67</v>
      </c>
      <c r="AX460" s="49" t="s">
        <v>230</v>
      </c>
    </row>
    <row r="461" spans="1:53" ht="23" customHeight="1">
      <c r="A461" s="55" t="s">
        <v>222</v>
      </c>
      <c r="B461" s="42" t="s">
        <v>64</v>
      </c>
      <c r="C461" s="63">
        <v>4012041</v>
      </c>
      <c r="D461" s="62" t="s">
        <v>669</v>
      </c>
      <c r="E461" s="56" t="s">
        <v>669</v>
      </c>
      <c r="F461" s="45">
        <v>575</v>
      </c>
      <c r="G461" s="45">
        <v>299</v>
      </c>
      <c r="H461" s="45">
        <v>575</v>
      </c>
      <c r="I461" s="45">
        <v>575</v>
      </c>
      <c r="J461" s="45"/>
      <c r="K461" s="45"/>
      <c r="L461" s="45"/>
      <c r="M461" s="45"/>
      <c r="N461" s="45"/>
      <c r="O461" s="45"/>
      <c r="P461" s="45"/>
      <c r="Q461" s="45"/>
      <c r="R461" s="45"/>
      <c r="S461" s="45"/>
      <c r="T461" s="45"/>
      <c r="U461" s="45"/>
      <c r="V461" s="45"/>
      <c r="W461" s="45"/>
      <c r="X461" s="45"/>
      <c r="Y461" s="45"/>
      <c r="Z461" s="45"/>
      <c r="AA461" s="45"/>
      <c r="AB461" s="45"/>
      <c r="AC461" s="45"/>
      <c r="AD461" s="45"/>
      <c r="AE461" s="45"/>
      <c r="AF461" s="45"/>
      <c r="AG461" s="45"/>
      <c r="AH461" s="45"/>
      <c r="AI461" s="45"/>
      <c r="AJ461" s="45"/>
      <c r="AK461" s="45"/>
      <c r="AL461" s="45"/>
      <c r="AM461" s="45"/>
      <c r="AN461" s="45"/>
      <c r="AO461" s="45"/>
      <c r="AP461" s="45">
        <v>575</v>
      </c>
      <c r="AQ461" s="45">
        <v>575</v>
      </c>
      <c r="AR461" s="45">
        <v>575</v>
      </c>
      <c r="AS461" s="87">
        <v>199</v>
      </c>
      <c r="AT461" s="87">
        <v>159</v>
      </c>
      <c r="AU461" s="88">
        <v>99.9</v>
      </c>
      <c r="AW461" s="48" t="s">
        <v>67</v>
      </c>
      <c r="AX461" s="49" t="s">
        <v>230</v>
      </c>
    </row>
    <row r="462" spans="1:53" ht="23" customHeight="1">
      <c r="A462" s="55" t="s">
        <v>222</v>
      </c>
      <c r="B462" s="42" t="s">
        <v>64</v>
      </c>
      <c r="C462" s="43">
        <v>4012242</v>
      </c>
      <c r="D462" s="62" t="s">
        <v>670</v>
      </c>
      <c r="E462" s="56" t="s">
        <v>670</v>
      </c>
      <c r="F462" s="45">
        <v>575</v>
      </c>
      <c r="G462" s="45">
        <v>299</v>
      </c>
      <c r="H462" s="45">
        <v>575</v>
      </c>
      <c r="I462" s="45">
        <v>575</v>
      </c>
      <c r="J462" s="45"/>
      <c r="K462" s="45"/>
      <c r="L462" s="45"/>
      <c r="M462" s="45"/>
      <c r="N462" s="45"/>
      <c r="O462" s="45"/>
      <c r="P462" s="45"/>
      <c r="Q462" s="45"/>
      <c r="R462" s="45"/>
      <c r="S462" s="45"/>
      <c r="T462" s="45"/>
      <c r="U462" s="45"/>
      <c r="V462" s="45"/>
      <c r="W462" s="45"/>
      <c r="X462" s="45"/>
      <c r="Y462" s="45"/>
      <c r="Z462" s="45"/>
      <c r="AA462" s="45"/>
      <c r="AB462" s="45"/>
      <c r="AC462" s="45"/>
      <c r="AD462" s="45"/>
      <c r="AE462" s="45"/>
      <c r="AF462" s="45"/>
      <c r="AG462" s="45"/>
      <c r="AH462" s="45"/>
      <c r="AI462" s="45"/>
      <c r="AJ462" s="45"/>
      <c r="AK462" s="45"/>
      <c r="AL462" s="45"/>
      <c r="AM462" s="45"/>
      <c r="AN462" s="45"/>
      <c r="AO462" s="45"/>
      <c r="AP462" s="45">
        <v>575</v>
      </c>
      <c r="AQ462" s="45">
        <v>575</v>
      </c>
      <c r="AR462" s="45">
        <v>575</v>
      </c>
      <c r="AS462" s="87">
        <v>199</v>
      </c>
      <c r="AT462" s="87">
        <v>159</v>
      </c>
      <c r="AU462" s="88">
        <v>99.9</v>
      </c>
      <c r="AW462" s="48" t="s">
        <v>67</v>
      </c>
      <c r="AX462" s="49" t="s">
        <v>230</v>
      </c>
    </row>
    <row r="463" spans="1:53" ht="23" customHeight="1">
      <c r="A463" s="55" t="s">
        <v>222</v>
      </c>
      <c r="B463" s="42" t="s">
        <v>64</v>
      </c>
      <c r="C463" s="43">
        <v>4012590</v>
      </c>
      <c r="D463" s="62" t="s">
        <v>671</v>
      </c>
      <c r="E463" s="56" t="s">
        <v>671</v>
      </c>
      <c r="F463" s="45">
        <v>575</v>
      </c>
      <c r="G463" s="45">
        <v>299</v>
      </c>
      <c r="H463" s="45">
        <v>575</v>
      </c>
      <c r="I463" s="45">
        <v>575</v>
      </c>
      <c r="J463" s="45"/>
      <c r="K463" s="45"/>
      <c r="L463" s="45"/>
      <c r="M463" s="45"/>
      <c r="N463" s="45"/>
      <c r="O463" s="45"/>
      <c r="P463" s="45"/>
      <c r="Q463" s="45"/>
      <c r="R463" s="45"/>
      <c r="S463" s="45"/>
      <c r="T463" s="45"/>
      <c r="U463" s="45"/>
      <c r="V463" s="45"/>
      <c r="W463" s="45"/>
      <c r="X463" s="45"/>
      <c r="Y463" s="45"/>
      <c r="Z463" s="45"/>
      <c r="AA463" s="45"/>
      <c r="AB463" s="45"/>
      <c r="AC463" s="45"/>
      <c r="AD463" s="45"/>
      <c r="AE463" s="45"/>
      <c r="AF463" s="45"/>
      <c r="AG463" s="45"/>
      <c r="AH463" s="45"/>
      <c r="AI463" s="45"/>
      <c r="AJ463" s="45"/>
      <c r="AK463" s="45"/>
      <c r="AL463" s="45"/>
      <c r="AM463" s="45"/>
      <c r="AN463" s="45"/>
      <c r="AO463" s="45"/>
      <c r="AP463" s="45">
        <v>575</v>
      </c>
      <c r="AQ463" s="45">
        <v>575</v>
      </c>
      <c r="AR463" s="45">
        <v>575</v>
      </c>
      <c r="AS463" s="87">
        <v>199</v>
      </c>
      <c r="AT463" s="87">
        <v>159</v>
      </c>
      <c r="AU463" s="88">
        <v>99.9</v>
      </c>
      <c r="AW463" s="48" t="s">
        <v>67</v>
      </c>
      <c r="AX463" s="49" t="s">
        <v>230</v>
      </c>
    </row>
    <row r="464" spans="1:53" ht="23" customHeight="1">
      <c r="A464" s="55" t="s">
        <v>222</v>
      </c>
      <c r="B464" s="42" t="s">
        <v>64</v>
      </c>
      <c r="C464" s="43">
        <v>4012681</v>
      </c>
      <c r="D464" s="62" t="s">
        <v>672</v>
      </c>
      <c r="E464" s="56" t="s">
        <v>672</v>
      </c>
      <c r="F464" s="45">
        <v>575</v>
      </c>
      <c r="G464" s="45">
        <v>299</v>
      </c>
      <c r="H464" s="45">
        <v>575</v>
      </c>
      <c r="I464" s="45">
        <v>575</v>
      </c>
      <c r="J464" s="45"/>
      <c r="K464" s="45"/>
      <c r="L464" s="45"/>
      <c r="M464" s="45"/>
      <c r="N464" s="45"/>
      <c r="O464" s="45"/>
      <c r="P464" s="45"/>
      <c r="Q464" s="45"/>
      <c r="R464" s="45"/>
      <c r="S464" s="45"/>
      <c r="T464" s="45"/>
      <c r="U464" s="45"/>
      <c r="V464" s="45"/>
      <c r="W464" s="45"/>
      <c r="X464" s="45"/>
      <c r="Y464" s="45"/>
      <c r="Z464" s="45"/>
      <c r="AA464" s="45"/>
      <c r="AB464" s="45"/>
      <c r="AC464" s="45"/>
      <c r="AD464" s="45"/>
      <c r="AE464" s="45"/>
      <c r="AF464" s="45"/>
      <c r="AG464" s="45"/>
      <c r="AH464" s="45"/>
      <c r="AI464" s="45"/>
      <c r="AJ464" s="45"/>
      <c r="AK464" s="45"/>
      <c r="AL464" s="45"/>
      <c r="AM464" s="45"/>
      <c r="AN464" s="45"/>
      <c r="AO464" s="45"/>
      <c r="AP464" s="45">
        <v>575</v>
      </c>
      <c r="AQ464" s="45">
        <v>575</v>
      </c>
      <c r="AR464" s="45">
        <v>575</v>
      </c>
      <c r="AS464" s="87">
        <v>199</v>
      </c>
      <c r="AT464" s="87">
        <v>159</v>
      </c>
      <c r="AU464" s="88">
        <v>99.9</v>
      </c>
      <c r="AW464" s="48" t="s">
        <v>67</v>
      </c>
      <c r="AX464" s="49" t="s">
        <v>230</v>
      </c>
    </row>
    <row r="465" spans="1:50" ht="23" customHeight="1" thickBot="1">
      <c r="A465" s="82" t="s">
        <v>222</v>
      </c>
      <c r="B465" s="66" t="s">
        <v>64</v>
      </c>
      <c r="C465" s="67">
        <v>4012680</v>
      </c>
      <c r="D465" s="89" t="s">
        <v>673</v>
      </c>
      <c r="E465" s="68" t="s">
        <v>673</v>
      </c>
      <c r="F465" s="69">
        <v>575</v>
      </c>
      <c r="G465" s="69">
        <v>299</v>
      </c>
      <c r="H465" s="69">
        <v>575</v>
      </c>
      <c r="I465" s="69">
        <v>575</v>
      </c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  <c r="AA465" s="69"/>
      <c r="AB465" s="69"/>
      <c r="AC465" s="69"/>
      <c r="AD465" s="69"/>
      <c r="AE465" s="69"/>
      <c r="AF465" s="69"/>
      <c r="AG465" s="69"/>
      <c r="AH465" s="69"/>
      <c r="AI465" s="69"/>
      <c r="AJ465" s="69"/>
      <c r="AK465" s="69"/>
      <c r="AL465" s="69"/>
      <c r="AM465" s="69"/>
      <c r="AN465" s="69"/>
      <c r="AO465" s="69"/>
      <c r="AP465" s="69">
        <v>575</v>
      </c>
      <c r="AQ465" s="69">
        <v>575</v>
      </c>
      <c r="AR465" s="69">
        <v>575</v>
      </c>
      <c r="AS465" s="90">
        <v>199</v>
      </c>
      <c r="AT465" s="90">
        <v>159</v>
      </c>
      <c r="AU465" s="91">
        <v>99.9</v>
      </c>
      <c r="AW465" s="70" t="s">
        <v>67</v>
      </c>
      <c r="AX465" s="92" t="s">
        <v>230</v>
      </c>
    </row>
    <row r="468" spans="1:50" ht="15.5">
      <c r="C468" s="93"/>
      <c r="F468" s="93"/>
      <c r="G468" s="93"/>
      <c r="J468" s="93"/>
      <c r="K468" s="93"/>
      <c r="N468" s="93"/>
      <c r="O468" s="93"/>
      <c r="R468" s="93"/>
      <c r="S468" s="93"/>
      <c r="V468" s="93"/>
      <c r="W468" s="93"/>
      <c r="Z468" s="93"/>
      <c r="AA468" s="93"/>
      <c r="AD468" s="93"/>
      <c r="AE468" s="93"/>
      <c r="AH468" s="93"/>
      <c r="AI468" s="93"/>
      <c r="AL468" s="93"/>
    </row>
  </sheetData>
  <autoFilter ref="A12:BA465" xr:uid="{00000000-0001-0000-0000-000000000000}"/>
  <mergeCells count="5">
    <mergeCell ref="H11:I11"/>
    <mergeCell ref="J11:AA11"/>
    <mergeCell ref="AB11:AL11"/>
    <mergeCell ref="AM11:AO11"/>
    <mergeCell ref="AP11:AU11"/>
  </mergeCells>
  <conditionalFormatting sqref="G459">
    <cfRule type="cellIs" dxfId="33" priority="16" operator="equal">
      <formula>0</formula>
    </cfRule>
    <cfRule type="cellIs" dxfId="32" priority="17" operator="lessThan">
      <formula>F459</formula>
    </cfRule>
  </conditionalFormatting>
  <conditionalFormatting sqref="H133:I133 J135:O143 H184:O192 P206:P217 P218:Q312">
    <cfRule type="cellIs" dxfId="31" priority="14" operator="greaterThan">
      <formula>$G133</formula>
    </cfRule>
  </conditionalFormatting>
  <conditionalFormatting sqref="H13:O14 R313:AL315 H320:I323">
    <cfRule type="cellIs" dxfId="30" priority="11" operator="equal">
      <formula>$G13</formula>
    </cfRule>
    <cfRule type="cellIs" dxfId="29" priority="12" operator="lessThan">
      <formula>$G13</formula>
    </cfRule>
  </conditionalFormatting>
  <conditionalFormatting sqref="H13:AL132 H133:I133 J135:O143 R135:AL143 H184:O192 R184:AL192 P206:P217 P218:Q312 J313:AE315 AF313:AL455 H316:AE455">
    <cfRule type="cellIs" dxfId="28" priority="10" operator="lessThan">
      <formula>$G13</formula>
    </cfRule>
  </conditionalFormatting>
  <conditionalFormatting sqref="H13:AL132 J313:AE315 AF313:AL455 H316:AE455 R135:AL143 R184:AL192">
    <cfRule type="cellIs" dxfId="27" priority="13" operator="greaterThan">
      <formula>$G13</formula>
    </cfRule>
  </conditionalFormatting>
  <conditionalFormatting sqref="J218:N220 H266:I287 J266:N311 AV313:AV455 F456:F458">
    <cfRule type="expression" dxfId="26" priority="15" stopIfTrue="1">
      <formula>#REF!&lt;&gt;#REF!</formula>
    </cfRule>
  </conditionalFormatting>
  <conditionalFormatting sqref="J223:N227 J230:N260">
    <cfRule type="expression" dxfId="25" priority="8" stopIfTrue="1">
      <formula>#REF!&lt;&gt;#REF!</formula>
    </cfRule>
  </conditionalFormatting>
  <conditionalFormatting sqref="J220:AL222 J227:AL233 F460:G465">
    <cfRule type="expression" dxfId="24" priority="7" stopIfTrue="1">
      <formula>#REF!&lt;&gt;#REF!</formula>
    </cfRule>
  </conditionalFormatting>
  <conditionalFormatting sqref="P134:Q205">
    <cfRule type="cellIs" dxfId="23" priority="1" operator="equal">
      <formula>$G134</formula>
    </cfRule>
    <cfRule type="cellIs" dxfId="22" priority="2" operator="lessThan">
      <formula>$G134</formula>
    </cfRule>
    <cfRule type="cellIs" dxfId="21" priority="3" operator="greaterThan">
      <formula>$G134</formula>
    </cfRule>
  </conditionalFormatting>
  <conditionalFormatting sqref="P218:Q312 H13:AL132 H133:I133 J135:O143 R135:AL143 H184:O192 R184:AL192 P206:P217 J313:AE315 AF313:AL455 H316:AE455">
    <cfRule type="cellIs" dxfId="20" priority="9" operator="equal">
      <formula>$G13</formula>
    </cfRule>
  </conditionalFormatting>
  <conditionalFormatting sqref="R159:AA159">
    <cfRule type="cellIs" dxfId="19" priority="4" operator="equal">
      <formula>$G159</formula>
    </cfRule>
    <cfRule type="cellIs" dxfId="18" priority="5" operator="lessThan">
      <formula>$G159</formula>
    </cfRule>
    <cfRule type="cellIs" dxfId="17" priority="6" operator="greaterThan">
      <formula>$G159</formula>
    </cfRule>
  </conditionalFormatting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F76C8-7630-4E0C-901E-617B8E81DA47}">
  <dimension ref="B1:AN610"/>
  <sheetViews>
    <sheetView showGridLines="0" zoomScale="84" zoomScaleNormal="80" workbookViewId="0">
      <pane xSplit="4" ySplit="7" topLeftCell="AM96" activePane="bottomRight" state="frozen"/>
      <selection activeCell="D146" sqref="D146"/>
      <selection pane="topRight" activeCell="D146" sqref="D146"/>
      <selection pane="bottomLeft" activeCell="D146" sqref="D146"/>
      <selection pane="bottomRight" activeCell="AW1" sqref="AW1:AW1048576"/>
    </sheetView>
  </sheetViews>
  <sheetFormatPr defaultRowHeight="14.5"/>
  <cols>
    <col min="1" max="1" width="0.7265625" customWidth="1"/>
    <col min="2" max="2" width="19.7265625" bestFit="1" customWidth="1"/>
    <col min="3" max="3" width="16.90625" bestFit="1" customWidth="1"/>
    <col min="4" max="4" width="60.36328125" bestFit="1" customWidth="1"/>
    <col min="5" max="5" width="50.54296875" customWidth="1"/>
    <col min="6" max="6" width="14.453125" bestFit="1" customWidth="1"/>
    <col min="7" max="7" width="17.90625" customWidth="1"/>
    <col min="8" max="8" width="15" customWidth="1"/>
    <col min="9" max="12" width="15.6328125" customWidth="1"/>
    <col min="13" max="13" width="13.54296875" customWidth="1"/>
    <col min="14" max="17" width="13.6328125" customWidth="1"/>
    <col min="22" max="22" width="13.6328125" customWidth="1"/>
    <col min="23" max="23" width="13.36328125" customWidth="1"/>
    <col min="24" max="24" width="12.81640625" customWidth="1"/>
    <col min="25" max="25" width="12" customWidth="1"/>
    <col min="26" max="26" width="12.1796875" customWidth="1"/>
    <col min="27" max="28" width="11.90625" customWidth="1"/>
    <col min="29" max="29" width="13.26953125" customWidth="1"/>
    <col min="30" max="30" width="13.1796875" customWidth="1"/>
    <col min="31" max="32" width="15" customWidth="1"/>
    <col min="33" max="33" width="15.1796875" customWidth="1"/>
    <col min="34" max="38" width="11.90625" customWidth="1"/>
    <col min="39" max="39" width="13.54296875" bestFit="1" customWidth="1"/>
    <col min="40" max="40" width="11.36328125" customWidth="1"/>
  </cols>
  <sheetData>
    <row r="1" spans="2:40" ht="15.5">
      <c r="B1" s="94" t="s">
        <v>674</v>
      </c>
    </row>
    <row r="3" spans="2:40">
      <c r="B3" t="s">
        <v>5</v>
      </c>
      <c r="C3" t="s">
        <v>6</v>
      </c>
    </row>
    <row r="4" spans="2:40">
      <c r="B4" s="95" t="s">
        <v>675</v>
      </c>
    </row>
    <row r="5" spans="2:40">
      <c r="B5" s="96" t="s">
        <v>676</v>
      </c>
    </row>
    <row r="6" spans="2:40" ht="16" thickBot="1">
      <c r="C6" t="s">
        <v>7</v>
      </c>
      <c r="D6" s="21">
        <f>REV!D11</f>
        <v>46246</v>
      </c>
      <c r="AB6" s="213"/>
      <c r="AC6" s="213"/>
      <c r="AD6" s="213"/>
      <c r="AE6" s="213"/>
      <c r="AF6" s="213"/>
      <c r="AG6" s="213"/>
      <c r="AH6" s="213"/>
      <c r="AI6" s="213"/>
      <c r="AJ6" s="213"/>
      <c r="AK6" s="213"/>
      <c r="AL6" s="213"/>
    </row>
    <row r="7" spans="2:40" ht="93.5" thickBot="1">
      <c r="B7" s="97" t="s">
        <v>12</v>
      </c>
      <c r="C7" s="97" t="s">
        <v>13</v>
      </c>
      <c r="D7" s="98" t="s">
        <v>14</v>
      </c>
      <c r="E7" s="99" t="s">
        <v>15</v>
      </c>
      <c r="F7" s="26" t="s">
        <v>16</v>
      </c>
      <c r="G7" s="27" t="s">
        <v>17</v>
      </c>
      <c r="H7" s="28" t="s">
        <v>18</v>
      </c>
      <c r="I7" s="29" t="s">
        <v>19</v>
      </c>
      <c r="J7" s="30" t="s">
        <v>20</v>
      </c>
      <c r="K7" s="30" t="s">
        <v>21</v>
      </c>
      <c r="L7" s="30" t="s">
        <v>22</v>
      </c>
      <c r="M7" s="100" t="s">
        <v>23</v>
      </c>
      <c r="N7" s="101" t="s">
        <v>24</v>
      </c>
      <c r="O7" s="31" t="s">
        <v>25</v>
      </c>
      <c r="P7" s="31" t="s">
        <v>26</v>
      </c>
      <c r="Q7" s="31" t="s">
        <v>27</v>
      </c>
      <c r="R7" s="102" t="s">
        <v>28</v>
      </c>
      <c r="S7" s="102" t="s">
        <v>29</v>
      </c>
      <c r="T7" s="102" t="s">
        <v>30</v>
      </c>
      <c r="U7" s="102" t="s">
        <v>31</v>
      </c>
      <c r="V7" s="32" t="s">
        <v>32</v>
      </c>
      <c r="W7" s="32" t="s">
        <v>33</v>
      </c>
      <c r="X7" s="32" t="s">
        <v>34</v>
      </c>
      <c r="Y7" s="32" t="s">
        <v>35</v>
      </c>
      <c r="Z7" s="32" t="s">
        <v>36</v>
      </c>
      <c r="AA7" s="32" t="s">
        <v>37</v>
      </c>
      <c r="AB7" s="33" t="s">
        <v>38</v>
      </c>
      <c r="AC7" s="33" t="s">
        <v>39</v>
      </c>
      <c r="AD7" s="33" t="s">
        <v>40</v>
      </c>
      <c r="AE7" s="33" t="s">
        <v>41</v>
      </c>
      <c r="AF7" s="33" t="s">
        <v>42</v>
      </c>
      <c r="AG7" s="33" t="s">
        <v>43</v>
      </c>
      <c r="AH7" s="33" t="s">
        <v>44</v>
      </c>
      <c r="AI7" s="33" t="s">
        <v>45</v>
      </c>
      <c r="AJ7" s="33" t="s">
        <v>46</v>
      </c>
      <c r="AK7" s="33" t="s">
        <v>47</v>
      </c>
      <c r="AL7" s="33" t="s">
        <v>48</v>
      </c>
      <c r="AM7" s="103" t="s">
        <v>58</v>
      </c>
      <c r="AN7" s="104"/>
    </row>
    <row r="8" spans="2:40" ht="15.5">
      <c r="B8" s="105" t="s">
        <v>677</v>
      </c>
      <c r="C8" s="106">
        <v>4014927</v>
      </c>
      <c r="D8" s="107" t="s">
        <v>678</v>
      </c>
      <c r="E8" s="107" t="s">
        <v>679</v>
      </c>
      <c r="F8" s="108">
        <v>199</v>
      </c>
      <c r="G8" s="108">
        <v>199</v>
      </c>
      <c r="H8" s="108"/>
      <c r="I8" s="108"/>
      <c r="J8" s="109"/>
      <c r="K8" s="109"/>
      <c r="L8" s="109"/>
      <c r="M8" s="109"/>
      <c r="N8" s="109"/>
      <c r="O8" s="109"/>
      <c r="P8" s="109"/>
      <c r="Q8" s="109"/>
      <c r="R8" s="109"/>
      <c r="S8" s="109"/>
      <c r="T8" s="109"/>
      <c r="U8" s="109"/>
      <c r="V8" s="110"/>
      <c r="W8" s="110"/>
      <c r="X8" s="110"/>
      <c r="Y8" s="110"/>
      <c r="Z8" s="110"/>
      <c r="AA8" s="110"/>
      <c r="AB8" s="110">
        <v>169</v>
      </c>
      <c r="AC8" s="110">
        <v>169</v>
      </c>
      <c r="AD8" s="110">
        <v>169</v>
      </c>
      <c r="AE8" s="110">
        <v>169</v>
      </c>
      <c r="AF8" s="110">
        <v>169</v>
      </c>
      <c r="AG8" s="110">
        <v>169</v>
      </c>
      <c r="AH8" s="110">
        <v>169</v>
      </c>
      <c r="AI8" s="110">
        <v>169</v>
      </c>
      <c r="AJ8" s="110">
        <v>169</v>
      </c>
      <c r="AK8" s="110">
        <v>169</v>
      </c>
      <c r="AL8" s="110">
        <v>169</v>
      </c>
      <c r="AM8" s="111" t="s">
        <v>680</v>
      </c>
    </row>
    <row r="9" spans="2:40" ht="15.5">
      <c r="B9" s="105" t="s">
        <v>681</v>
      </c>
      <c r="C9" s="106">
        <v>4016500</v>
      </c>
      <c r="D9" s="107" t="s">
        <v>682</v>
      </c>
      <c r="E9" s="107" t="s">
        <v>683</v>
      </c>
      <c r="F9" s="108">
        <v>199</v>
      </c>
      <c r="G9" s="108">
        <v>199</v>
      </c>
      <c r="H9" s="109"/>
      <c r="I9" s="109"/>
      <c r="J9" s="109"/>
      <c r="K9" s="109"/>
      <c r="L9" s="109"/>
      <c r="M9" s="109"/>
      <c r="N9" s="109"/>
      <c r="O9" s="109"/>
      <c r="P9" s="109"/>
      <c r="Q9" s="109"/>
      <c r="R9" s="109"/>
      <c r="S9" s="109"/>
      <c r="T9" s="109"/>
      <c r="U9" s="109"/>
      <c r="V9" s="109"/>
      <c r="W9" s="109"/>
      <c r="X9" s="109"/>
      <c r="Y9" s="110"/>
      <c r="Z9" s="110"/>
      <c r="AA9" s="109"/>
      <c r="AB9" s="109"/>
      <c r="AC9" s="109"/>
      <c r="AD9" s="109"/>
      <c r="AE9" s="109"/>
      <c r="AF9" s="109"/>
      <c r="AG9" s="109"/>
      <c r="AH9" s="109"/>
      <c r="AI9" s="109"/>
      <c r="AJ9" s="109"/>
      <c r="AK9" s="109"/>
      <c r="AL9" s="109"/>
      <c r="AM9" s="111" t="s">
        <v>680</v>
      </c>
    </row>
    <row r="10" spans="2:40" ht="15.5">
      <c r="B10" s="112" t="s">
        <v>684</v>
      </c>
      <c r="C10" s="106">
        <v>4014444</v>
      </c>
      <c r="D10" s="113" t="s">
        <v>685</v>
      </c>
      <c r="E10" s="107" t="s">
        <v>686</v>
      </c>
      <c r="F10" s="110">
        <v>799</v>
      </c>
      <c r="G10" s="110">
        <v>799</v>
      </c>
      <c r="H10" s="109">
        <v>799</v>
      </c>
      <c r="I10" s="109">
        <v>799</v>
      </c>
      <c r="J10" s="109">
        <v>749</v>
      </c>
      <c r="K10" s="109">
        <v>749</v>
      </c>
      <c r="L10" s="109">
        <v>749</v>
      </c>
      <c r="M10" s="114">
        <v>749</v>
      </c>
      <c r="N10" s="114">
        <v>749</v>
      </c>
      <c r="O10" s="109">
        <v>699</v>
      </c>
      <c r="P10" s="109">
        <v>599</v>
      </c>
      <c r="Q10" s="109">
        <v>449</v>
      </c>
      <c r="R10" s="114">
        <v>699</v>
      </c>
      <c r="S10" s="114">
        <v>599</v>
      </c>
      <c r="T10" s="114">
        <v>449</v>
      </c>
      <c r="U10" s="114">
        <v>449</v>
      </c>
      <c r="V10" s="114">
        <v>449</v>
      </c>
      <c r="W10" s="114">
        <v>449</v>
      </c>
      <c r="X10" s="114">
        <v>449</v>
      </c>
      <c r="Y10" s="114">
        <v>449</v>
      </c>
      <c r="Z10" s="114">
        <v>449</v>
      </c>
      <c r="AA10" s="114">
        <v>449</v>
      </c>
      <c r="AB10" s="114"/>
      <c r="AC10" s="114"/>
      <c r="AD10" s="114"/>
      <c r="AE10" s="114"/>
      <c r="AF10" s="114"/>
      <c r="AG10" s="114"/>
      <c r="AH10" s="114"/>
      <c r="AI10" s="114"/>
      <c r="AJ10" s="114"/>
      <c r="AK10" s="114"/>
      <c r="AL10" s="114"/>
      <c r="AM10" s="111" t="s">
        <v>680</v>
      </c>
    </row>
    <row r="11" spans="2:40" ht="15.5">
      <c r="B11" s="112" t="s">
        <v>684</v>
      </c>
      <c r="C11" s="106">
        <v>4017142</v>
      </c>
      <c r="D11" s="113" t="s">
        <v>687</v>
      </c>
      <c r="E11" s="107" t="s">
        <v>688</v>
      </c>
      <c r="F11" s="110">
        <v>999</v>
      </c>
      <c r="G11" s="110">
        <v>999</v>
      </c>
      <c r="H11" s="109">
        <v>999</v>
      </c>
      <c r="I11" s="109">
        <v>999</v>
      </c>
      <c r="J11" s="109">
        <v>949</v>
      </c>
      <c r="K11" s="109">
        <v>949</v>
      </c>
      <c r="L11" s="109">
        <v>949</v>
      </c>
      <c r="M11" s="114">
        <v>949</v>
      </c>
      <c r="N11" s="114">
        <v>949</v>
      </c>
      <c r="O11" s="109">
        <v>899</v>
      </c>
      <c r="P11" s="109">
        <v>799</v>
      </c>
      <c r="Q11" s="109">
        <v>599</v>
      </c>
      <c r="R11" s="114">
        <v>899</v>
      </c>
      <c r="S11" s="114">
        <v>799</v>
      </c>
      <c r="T11" s="114">
        <v>599</v>
      </c>
      <c r="U11" s="114">
        <v>599</v>
      </c>
      <c r="V11" s="114">
        <v>599</v>
      </c>
      <c r="W11" s="114">
        <v>599</v>
      </c>
      <c r="X11" s="114">
        <v>549</v>
      </c>
      <c r="Y11" s="114">
        <v>549</v>
      </c>
      <c r="Z11" s="114">
        <v>549</v>
      </c>
      <c r="AA11" s="114">
        <v>549</v>
      </c>
      <c r="AB11" s="114"/>
      <c r="AC11" s="114"/>
      <c r="AD11" s="114"/>
      <c r="AE11" s="114"/>
      <c r="AF11" s="114"/>
      <c r="AG11" s="114"/>
      <c r="AH11" s="114"/>
      <c r="AI11" s="114"/>
      <c r="AJ11" s="114"/>
      <c r="AK11" s="114"/>
      <c r="AL11" s="114"/>
      <c r="AM11" s="111" t="s">
        <v>680</v>
      </c>
    </row>
    <row r="12" spans="2:40" ht="15.5">
      <c r="B12" s="112" t="s">
        <v>684</v>
      </c>
      <c r="C12" s="106">
        <v>4014958</v>
      </c>
      <c r="D12" s="105" t="s">
        <v>689</v>
      </c>
      <c r="E12" s="107" t="s">
        <v>690</v>
      </c>
      <c r="F12" s="108">
        <v>299</v>
      </c>
      <c r="G12" s="108">
        <v>399</v>
      </c>
      <c r="H12" s="109"/>
      <c r="I12" s="109"/>
      <c r="J12" s="109"/>
      <c r="K12" s="109"/>
      <c r="L12" s="109"/>
      <c r="M12" s="109"/>
      <c r="N12" s="109"/>
      <c r="O12" s="109"/>
      <c r="P12" s="109"/>
      <c r="Q12" s="109"/>
      <c r="R12" s="109"/>
      <c r="S12" s="109"/>
      <c r="T12" s="109"/>
      <c r="U12" s="109"/>
      <c r="V12" s="110"/>
      <c r="W12" s="110"/>
      <c r="X12" s="110"/>
      <c r="Y12" s="110"/>
      <c r="Z12" s="110"/>
      <c r="AA12" s="110"/>
      <c r="AB12" s="110"/>
      <c r="AC12" s="110"/>
      <c r="AD12" s="110"/>
      <c r="AE12" s="110"/>
      <c r="AF12" s="110"/>
      <c r="AG12" s="110"/>
      <c r="AH12" s="110"/>
      <c r="AI12" s="110"/>
      <c r="AJ12" s="110"/>
      <c r="AK12" s="110"/>
      <c r="AL12" s="110"/>
      <c r="AM12" s="111" t="s">
        <v>680</v>
      </c>
    </row>
    <row r="13" spans="2:40" ht="15.5">
      <c r="B13" s="112" t="s">
        <v>691</v>
      </c>
      <c r="C13" s="106">
        <v>4017062</v>
      </c>
      <c r="D13" s="115" t="s">
        <v>692</v>
      </c>
      <c r="E13" s="107" t="s">
        <v>693</v>
      </c>
      <c r="F13" s="110">
        <v>899</v>
      </c>
      <c r="G13" s="116">
        <v>599</v>
      </c>
      <c r="H13" s="109">
        <v>899</v>
      </c>
      <c r="I13" s="109">
        <v>899</v>
      </c>
      <c r="J13" s="109">
        <v>849</v>
      </c>
      <c r="K13" s="109">
        <v>849</v>
      </c>
      <c r="L13" s="109">
        <v>849</v>
      </c>
      <c r="M13" s="114">
        <v>849</v>
      </c>
      <c r="N13" s="114">
        <v>849</v>
      </c>
      <c r="O13" s="109">
        <v>799</v>
      </c>
      <c r="P13" s="109">
        <v>799</v>
      </c>
      <c r="Q13" s="117">
        <v>599</v>
      </c>
      <c r="R13" s="114">
        <v>799</v>
      </c>
      <c r="S13" s="117">
        <v>799</v>
      </c>
      <c r="T13" s="117">
        <v>599</v>
      </c>
      <c r="U13" s="117">
        <v>599</v>
      </c>
      <c r="V13" s="117">
        <v>599</v>
      </c>
      <c r="W13" s="117">
        <v>599</v>
      </c>
      <c r="X13" s="117">
        <v>599</v>
      </c>
      <c r="Y13" s="117">
        <v>599</v>
      </c>
      <c r="Z13" s="117">
        <v>599</v>
      </c>
      <c r="AA13" s="117">
        <v>599</v>
      </c>
      <c r="AB13" s="114"/>
      <c r="AC13" s="114"/>
      <c r="AD13" s="114"/>
      <c r="AE13" s="114"/>
      <c r="AF13" s="114"/>
      <c r="AG13" s="114"/>
      <c r="AH13" s="114"/>
      <c r="AI13" s="114"/>
      <c r="AJ13" s="114"/>
      <c r="AK13" s="114"/>
      <c r="AL13" s="114"/>
      <c r="AM13" s="111" t="s">
        <v>680</v>
      </c>
    </row>
    <row r="14" spans="2:40" ht="15.5">
      <c r="B14" s="112" t="s">
        <v>684</v>
      </c>
      <c r="C14" s="106">
        <v>4016330</v>
      </c>
      <c r="D14" s="118" t="s">
        <v>695</v>
      </c>
      <c r="E14" s="107" t="s">
        <v>696</v>
      </c>
      <c r="F14" s="119">
        <v>699</v>
      </c>
      <c r="G14" s="119">
        <v>149</v>
      </c>
      <c r="H14" s="117">
        <v>699</v>
      </c>
      <c r="I14" s="117">
        <v>699</v>
      </c>
      <c r="J14" s="117">
        <v>649</v>
      </c>
      <c r="K14" s="117">
        <v>649</v>
      </c>
      <c r="L14" s="117">
        <v>649</v>
      </c>
      <c r="M14" s="117">
        <v>649</v>
      </c>
      <c r="N14" s="117">
        <v>649</v>
      </c>
      <c r="O14" s="117">
        <v>599</v>
      </c>
      <c r="P14" s="117">
        <v>599</v>
      </c>
      <c r="Q14" s="117">
        <v>149</v>
      </c>
      <c r="R14" s="117">
        <v>599</v>
      </c>
      <c r="S14" s="117">
        <v>599</v>
      </c>
      <c r="T14" s="117">
        <v>149</v>
      </c>
      <c r="U14" s="117">
        <v>149</v>
      </c>
      <c r="V14" s="117">
        <v>149</v>
      </c>
      <c r="W14" s="117">
        <v>149</v>
      </c>
      <c r="X14" s="117">
        <v>149</v>
      </c>
      <c r="Y14" s="117">
        <v>149</v>
      </c>
      <c r="Z14" s="117">
        <v>149</v>
      </c>
      <c r="AA14" s="117">
        <v>149</v>
      </c>
      <c r="AB14" s="117">
        <v>649</v>
      </c>
      <c r="AC14" s="117">
        <v>649</v>
      </c>
      <c r="AD14" s="117">
        <v>649</v>
      </c>
      <c r="AE14" s="117">
        <v>599</v>
      </c>
      <c r="AF14" s="117">
        <v>599</v>
      </c>
      <c r="AG14" s="117">
        <v>599</v>
      </c>
      <c r="AH14" s="117">
        <v>599</v>
      </c>
      <c r="AI14" s="117">
        <v>149</v>
      </c>
      <c r="AJ14" s="117">
        <v>149</v>
      </c>
      <c r="AK14" s="117">
        <v>149</v>
      </c>
      <c r="AL14" s="117">
        <v>149</v>
      </c>
      <c r="AM14" s="111" t="s">
        <v>680</v>
      </c>
    </row>
    <row r="15" spans="2:40" ht="15.5">
      <c r="B15" s="112" t="s">
        <v>697</v>
      </c>
      <c r="C15" s="106">
        <v>4018060</v>
      </c>
      <c r="D15" s="118" t="s">
        <v>698</v>
      </c>
      <c r="E15" s="107" t="s">
        <v>699</v>
      </c>
      <c r="F15" s="119">
        <v>859</v>
      </c>
      <c r="G15" s="119">
        <v>199</v>
      </c>
      <c r="H15" s="117">
        <v>859</v>
      </c>
      <c r="I15" s="117">
        <v>859</v>
      </c>
      <c r="J15" s="117">
        <v>809</v>
      </c>
      <c r="K15" s="117">
        <v>809</v>
      </c>
      <c r="L15" s="117">
        <v>809</v>
      </c>
      <c r="M15" s="117">
        <v>809</v>
      </c>
      <c r="N15" s="117">
        <v>809</v>
      </c>
      <c r="O15" s="117">
        <v>759</v>
      </c>
      <c r="P15" s="117">
        <v>759</v>
      </c>
      <c r="Q15" s="117">
        <v>199</v>
      </c>
      <c r="R15" s="117">
        <v>759</v>
      </c>
      <c r="S15" s="117">
        <v>759</v>
      </c>
      <c r="T15" s="117">
        <v>199</v>
      </c>
      <c r="U15" s="117">
        <v>199</v>
      </c>
      <c r="V15" s="117">
        <v>199</v>
      </c>
      <c r="W15" s="117">
        <v>199</v>
      </c>
      <c r="X15" s="117">
        <v>199</v>
      </c>
      <c r="Y15" s="117">
        <v>199</v>
      </c>
      <c r="Z15" s="117">
        <v>199</v>
      </c>
      <c r="AA15" s="117">
        <v>199</v>
      </c>
      <c r="AB15" s="117">
        <v>809</v>
      </c>
      <c r="AC15" s="117">
        <v>809</v>
      </c>
      <c r="AD15" s="117">
        <v>809</v>
      </c>
      <c r="AE15" s="117">
        <v>759</v>
      </c>
      <c r="AF15" s="117">
        <v>759</v>
      </c>
      <c r="AG15" s="117">
        <v>759</v>
      </c>
      <c r="AH15" s="117">
        <v>759</v>
      </c>
      <c r="AI15" s="117">
        <v>199</v>
      </c>
      <c r="AJ15" s="117">
        <v>199</v>
      </c>
      <c r="AK15" s="117">
        <v>199</v>
      </c>
      <c r="AL15" s="117">
        <v>199</v>
      </c>
      <c r="AM15" s="111" t="s">
        <v>680</v>
      </c>
    </row>
    <row r="16" spans="2:40" ht="15.5">
      <c r="B16" s="121" t="s">
        <v>684</v>
      </c>
      <c r="C16" s="122">
        <v>4015270</v>
      </c>
      <c r="D16" s="123" t="s">
        <v>700</v>
      </c>
      <c r="E16" s="107" t="s">
        <v>701</v>
      </c>
      <c r="F16" s="124">
        <v>1999</v>
      </c>
      <c r="G16" s="124">
        <v>1999</v>
      </c>
      <c r="H16" s="125">
        <v>1999</v>
      </c>
      <c r="I16" s="125">
        <v>1999</v>
      </c>
      <c r="J16" s="125">
        <v>1949</v>
      </c>
      <c r="K16" s="125">
        <v>1949</v>
      </c>
      <c r="L16" s="125">
        <v>1949</v>
      </c>
      <c r="M16" s="126">
        <v>1949</v>
      </c>
      <c r="N16" s="126">
        <v>1949</v>
      </c>
      <c r="O16" s="125">
        <v>1899</v>
      </c>
      <c r="P16" s="125">
        <v>1799</v>
      </c>
      <c r="Q16" s="125">
        <v>1599</v>
      </c>
      <c r="R16" s="126">
        <v>1899</v>
      </c>
      <c r="S16" s="126">
        <v>1799</v>
      </c>
      <c r="T16" s="126">
        <v>1599</v>
      </c>
      <c r="U16" s="126">
        <v>1599</v>
      </c>
      <c r="V16" s="126">
        <v>1599</v>
      </c>
      <c r="W16" s="126">
        <v>1599</v>
      </c>
      <c r="X16" s="126">
        <v>1499</v>
      </c>
      <c r="Y16" s="126">
        <v>1199</v>
      </c>
      <c r="Z16" s="126">
        <v>1199</v>
      </c>
      <c r="AA16" s="126">
        <v>1149</v>
      </c>
      <c r="AB16" s="126"/>
      <c r="AC16" s="126"/>
      <c r="AD16" s="126"/>
      <c r="AE16" s="126"/>
      <c r="AF16" s="126"/>
      <c r="AG16" s="126"/>
      <c r="AH16" s="126"/>
      <c r="AI16" s="126"/>
      <c r="AJ16" s="126"/>
      <c r="AK16" s="126"/>
      <c r="AL16" s="126"/>
      <c r="AM16" s="111" t="s">
        <v>680</v>
      </c>
    </row>
    <row r="17" spans="2:40" ht="15.5">
      <c r="B17" s="121" t="s">
        <v>684</v>
      </c>
      <c r="C17" s="122">
        <v>4015688</v>
      </c>
      <c r="D17" s="123" t="s">
        <v>700</v>
      </c>
      <c r="E17" s="107" t="s">
        <v>702</v>
      </c>
      <c r="F17" s="124">
        <v>1999</v>
      </c>
      <c r="G17" s="124">
        <v>1999</v>
      </c>
      <c r="H17" s="125">
        <v>1999</v>
      </c>
      <c r="I17" s="125">
        <v>1999</v>
      </c>
      <c r="J17" s="125">
        <v>1949</v>
      </c>
      <c r="K17" s="125">
        <v>1949</v>
      </c>
      <c r="L17" s="125">
        <v>1949</v>
      </c>
      <c r="M17" s="126">
        <v>1949</v>
      </c>
      <c r="N17" s="126">
        <v>1949</v>
      </c>
      <c r="O17" s="125">
        <v>1899</v>
      </c>
      <c r="P17" s="125">
        <v>1799</v>
      </c>
      <c r="Q17" s="125">
        <v>1599</v>
      </c>
      <c r="R17" s="126">
        <v>1899</v>
      </c>
      <c r="S17" s="126">
        <v>1799</v>
      </c>
      <c r="T17" s="126">
        <v>1599</v>
      </c>
      <c r="U17" s="126">
        <v>1599</v>
      </c>
      <c r="V17" s="126">
        <v>1599</v>
      </c>
      <c r="W17" s="126">
        <v>1599</v>
      </c>
      <c r="X17" s="126">
        <v>1499</v>
      </c>
      <c r="Y17" s="126">
        <v>1199</v>
      </c>
      <c r="Z17" s="126">
        <v>1199</v>
      </c>
      <c r="AA17" s="126">
        <v>1149</v>
      </c>
      <c r="AB17" s="126"/>
      <c r="AC17" s="126"/>
      <c r="AD17" s="126"/>
      <c r="AE17" s="126"/>
      <c r="AF17" s="126"/>
      <c r="AG17" s="126"/>
      <c r="AH17" s="126"/>
      <c r="AI17" s="126"/>
      <c r="AJ17" s="126"/>
      <c r="AK17" s="126"/>
      <c r="AL17" s="126"/>
      <c r="AM17" s="111" t="s">
        <v>680</v>
      </c>
    </row>
    <row r="18" spans="2:40" ht="15.5">
      <c r="B18" s="121" t="s">
        <v>703</v>
      </c>
      <c r="C18" s="122">
        <v>4017260</v>
      </c>
      <c r="D18" s="123" t="s">
        <v>704</v>
      </c>
      <c r="E18" s="107" t="s">
        <v>705</v>
      </c>
      <c r="F18" s="124">
        <v>2499</v>
      </c>
      <c r="G18" s="124">
        <v>1999</v>
      </c>
      <c r="H18" s="125">
        <v>2499</v>
      </c>
      <c r="I18" s="125">
        <v>2499</v>
      </c>
      <c r="J18" s="109">
        <v>2449</v>
      </c>
      <c r="K18" s="109">
        <v>2449</v>
      </c>
      <c r="L18" s="109">
        <v>2449</v>
      </c>
      <c r="M18" s="126">
        <v>2449</v>
      </c>
      <c r="N18" s="126">
        <v>2449</v>
      </c>
      <c r="O18" s="109">
        <v>2399</v>
      </c>
      <c r="P18" s="109">
        <v>2399</v>
      </c>
      <c r="Q18" s="109">
        <v>1999</v>
      </c>
      <c r="R18" s="126">
        <v>2399</v>
      </c>
      <c r="S18" s="126">
        <v>2299</v>
      </c>
      <c r="T18" s="126">
        <v>1999</v>
      </c>
      <c r="U18" s="126">
        <v>1999</v>
      </c>
      <c r="V18" s="126">
        <v>2099</v>
      </c>
      <c r="W18" s="126">
        <v>2099</v>
      </c>
      <c r="X18" s="126">
        <v>1999</v>
      </c>
      <c r="Y18" s="126">
        <v>1499</v>
      </c>
      <c r="Z18" s="126">
        <v>1499</v>
      </c>
      <c r="AA18" s="126">
        <v>1449</v>
      </c>
      <c r="AB18" s="126">
        <v>2449</v>
      </c>
      <c r="AC18" s="126">
        <v>2449</v>
      </c>
      <c r="AD18" s="126">
        <v>2449</v>
      </c>
      <c r="AE18" s="126">
        <v>2399</v>
      </c>
      <c r="AF18" s="126">
        <v>2399</v>
      </c>
      <c r="AG18" s="126">
        <v>2399</v>
      </c>
      <c r="AH18" s="126">
        <v>2399</v>
      </c>
      <c r="AI18" s="126">
        <v>1999</v>
      </c>
      <c r="AJ18" s="126">
        <v>1999</v>
      </c>
      <c r="AK18" s="126">
        <v>1999</v>
      </c>
      <c r="AL18" s="126">
        <v>1449</v>
      </c>
      <c r="AM18" s="111" t="s">
        <v>680</v>
      </c>
    </row>
    <row r="19" spans="2:40" ht="15.5">
      <c r="B19" s="123" t="s">
        <v>691</v>
      </c>
      <c r="C19" s="122">
        <v>4016358</v>
      </c>
      <c r="D19" s="127" t="s">
        <v>706</v>
      </c>
      <c r="E19" s="107" t="s">
        <v>707</v>
      </c>
      <c r="F19" s="124">
        <v>849</v>
      </c>
      <c r="G19" s="124">
        <v>299</v>
      </c>
      <c r="H19" s="125">
        <v>849</v>
      </c>
      <c r="I19" s="125">
        <v>849</v>
      </c>
      <c r="J19" s="109">
        <v>799</v>
      </c>
      <c r="K19" s="109">
        <v>799</v>
      </c>
      <c r="L19" s="109">
        <v>799</v>
      </c>
      <c r="M19" s="125">
        <v>799</v>
      </c>
      <c r="N19" s="125">
        <v>799</v>
      </c>
      <c r="O19" s="109">
        <v>749</v>
      </c>
      <c r="P19" s="109">
        <v>749</v>
      </c>
      <c r="Q19" s="109">
        <v>299</v>
      </c>
      <c r="R19" s="125">
        <v>749</v>
      </c>
      <c r="S19" s="125">
        <v>749</v>
      </c>
      <c r="T19" s="125">
        <v>299</v>
      </c>
      <c r="U19" s="125">
        <v>299</v>
      </c>
      <c r="V19" s="125">
        <v>299</v>
      </c>
      <c r="W19" s="125">
        <v>299</v>
      </c>
      <c r="X19" s="125">
        <v>299</v>
      </c>
      <c r="Y19" s="128">
        <v>299</v>
      </c>
      <c r="Z19" s="128">
        <v>299</v>
      </c>
      <c r="AA19" s="125">
        <v>299</v>
      </c>
      <c r="AB19" s="125"/>
      <c r="AC19" s="125"/>
      <c r="AD19" s="125"/>
      <c r="AE19" s="125"/>
      <c r="AF19" s="125"/>
      <c r="AG19" s="125"/>
      <c r="AH19" s="125"/>
      <c r="AI19" s="125"/>
      <c r="AJ19" s="125"/>
      <c r="AK19" s="125"/>
      <c r="AL19" s="125"/>
      <c r="AM19" s="111" t="s">
        <v>680</v>
      </c>
    </row>
    <row r="20" spans="2:40" ht="15.5">
      <c r="B20" s="121" t="s">
        <v>684</v>
      </c>
      <c r="C20" s="122">
        <v>4016341</v>
      </c>
      <c r="D20" s="123" t="s">
        <v>708</v>
      </c>
      <c r="E20" s="107" t="s">
        <v>709</v>
      </c>
      <c r="F20" s="124">
        <v>1199</v>
      </c>
      <c r="G20" s="124">
        <v>1199</v>
      </c>
      <c r="H20" s="125"/>
      <c r="I20" s="125"/>
      <c r="J20" s="109"/>
      <c r="K20" s="109"/>
      <c r="L20" s="109"/>
      <c r="M20" s="126"/>
      <c r="N20" s="126"/>
      <c r="O20" s="109"/>
      <c r="P20" s="109"/>
      <c r="Q20" s="109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  <c r="AD20" s="126"/>
      <c r="AE20" s="126"/>
      <c r="AF20" s="126"/>
      <c r="AG20" s="126"/>
      <c r="AH20" s="126"/>
      <c r="AI20" s="126"/>
      <c r="AJ20" s="126"/>
      <c r="AK20" s="126"/>
      <c r="AL20" s="126"/>
      <c r="AM20" s="111" t="s">
        <v>680</v>
      </c>
    </row>
    <row r="21" spans="2:40" ht="15.5">
      <c r="B21" s="121" t="s">
        <v>684</v>
      </c>
      <c r="C21" s="122">
        <v>4015273</v>
      </c>
      <c r="D21" s="123" t="s">
        <v>708</v>
      </c>
      <c r="E21" s="107" t="s">
        <v>710</v>
      </c>
      <c r="F21" s="124">
        <v>1199</v>
      </c>
      <c r="G21" s="124">
        <v>1199</v>
      </c>
      <c r="H21" s="125"/>
      <c r="I21" s="125"/>
      <c r="J21" s="109"/>
      <c r="K21" s="109"/>
      <c r="L21" s="109"/>
      <c r="M21" s="126"/>
      <c r="N21" s="126"/>
      <c r="O21" s="109"/>
      <c r="P21" s="109"/>
      <c r="Q21" s="109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  <c r="AD21" s="126"/>
      <c r="AE21" s="126"/>
      <c r="AF21" s="126"/>
      <c r="AG21" s="126"/>
      <c r="AH21" s="126"/>
      <c r="AI21" s="126"/>
      <c r="AJ21" s="126"/>
      <c r="AK21" s="126"/>
      <c r="AL21" s="126"/>
      <c r="AM21" s="111" t="s">
        <v>680</v>
      </c>
    </row>
    <row r="22" spans="2:40" ht="15.5">
      <c r="B22" s="121" t="s">
        <v>684</v>
      </c>
      <c r="C22" s="122">
        <v>4017250</v>
      </c>
      <c r="D22" s="123" t="s">
        <v>711</v>
      </c>
      <c r="E22" s="107" t="s">
        <v>712</v>
      </c>
      <c r="F22" s="124">
        <v>1499</v>
      </c>
      <c r="G22" s="124">
        <v>999</v>
      </c>
      <c r="H22" s="125">
        <v>1499</v>
      </c>
      <c r="I22" s="125">
        <v>1499</v>
      </c>
      <c r="J22" s="109">
        <v>1449</v>
      </c>
      <c r="K22" s="109">
        <v>1449</v>
      </c>
      <c r="L22" s="109">
        <v>1449</v>
      </c>
      <c r="M22" s="126">
        <v>1449</v>
      </c>
      <c r="N22" s="126">
        <v>1449</v>
      </c>
      <c r="O22" s="109">
        <v>1399</v>
      </c>
      <c r="P22" s="109">
        <v>1299</v>
      </c>
      <c r="Q22" s="109">
        <v>999</v>
      </c>
      <c r="R22" s="126">
        <v>1399</v>
      </c>
      <c r="S22" s="126">
        <v>1299</v>
      </c>
      <c r="T22" s="126">
        <v>1099</v>
      </c>
      <c r="U22" s="126">
        <v>1099</v>
      </c>
      <c r="V22" s="126">
        <v>999</v>
      </c>
      <c r="W22" s="126">
        <v>999</v>
      </c>
      <c r="X22" s="126">
        <v>999</v>
      </c>
      <c r="Y22" s="126">
        <v>899</v>
      </c>
      <c r="Z22" s="126">
        <v>899</v>
      </c>
      <c r="AA22" s="126">
        <v>899</v>
      </c>
      <c r="AB22" s="126">
        <v>1449</v>
      </c>
      <c r="AC22" s="126">
        <v>1449</v>
      </c>
      <c r="AD22" s="126">
        <v>1449</v>
      </c>
      <c r="AE22" s="126">
        <v>1399</v>
      </c>
      <c r="AF22" s="126">
        <v>1399</v>
      </c>
      <c r="AG22" s="126">
        <v>1399</v>
      </c>
      <c r="AH22" s="126">
        <v>1399</v>
      </c>
      <c r="AI22" s="126">
        <v>999</v>
      </c>
      <c r="AJ22" s="126">
        <v>999</v>
      </c>
      <c r="AK22" s="126">
        <v>999</v>
      </c>
      <c r="AL22" s="126">
        <v>899</v>
      </c>
      <c r="AM22" s="111" t="s">
        <v>680</v>
      </c>
    </row>
    <row r="23" spans="2:40" ht="15.5">
      <c r="B23" s="121" t="s">
        <v>703</v>
      </c>
      <c r="C23" s="122">
        <v>4017581</v>
      </c>
      <c r="D23" s="123" t="s">
        <v>713</v>
      </c>
      <c r="E23" s="107" t="s">
        <v>714</v>
      </c>
      <c r="F23" s="124">
        <v>219</v>
      </c>
      <c r="G23" s="124">
        <v>219</v>
      </c>
      <c r="H23" s="124"/>
      <c r="I23" s="124"/>
      <c r="J23" s="109"/>
      <c r="K23" s="109"/>
      <c r="L23" s="109"/>
      <c r="M23" s="125"/>
      <c r="N23" s="125"/>
      <c r="O23" s="109"/>
      <c r="P23" s="109"/>
      <c r="Q23" s="109"/>
      <c r="R23" s="125"/>
      <c r="S23" s="125"/>
      <c r="T23" s="125"/>
      <c r="U23" s="125"/>
      <c r="V23" s="128"/>
      <c r="W23" s="128"/>
      <c r="X23" s="128"/>
      <c r="Y23" s="128"/>
      <c r="Z23" s="128"/>
      <c r="AA23" s="128"/>
      <c r="AB23" s="128"/>
      <c r="AC23" s="128"/>
      <c r="AD23" s="128"/>
      <c r="AE23" s="128"/>
      <c r="AF23" s="128"/>
      <c r="AG23" s="128"/>
      <c r="AH23" s="128"/>
      <c r="AI23" s="128"/>
      <c r="AJ23" s="128"/>
      <c r="AK23" s="128"/>
      <c r="AL23" s="128"/>
      <c r="AM23" s="111" t="s">
        <v>680</v>
      </c>
    </row>
    <row r="24" spans="2:40" ht="15.5">
      <c r="B24" s="123" t="s">
        <v>691</v>
      </c>
      <c r="C24" s="122">
        <v>4017638</v>
      </c>
      <c r="D24" s="127" t="s">
        <v>715</v>
      </c>
      <c r="E24" s="107" t="s">
        <v>716</v>
      </c>
      <c r="F24" s="124">
        <v>1049</v>
      </c>
      <c r="G24" s="124">
        <v>399</v>
      </c>
      <c r="H24" s="125">
        <v>1049</v>
      </c>
      <c r="I24" s="125">
        <v>1049</v>
      </c>
      <c r="J24" s="109">
        <v>999</v>
      </c>
      <c r="K24" s="109">
        <v>999</v>
      </c>
      <c r="L24" s="109">
        <v>999</v>
      </c>
      <c r="M24" s="125">
        <v>999</v>
      </c>
      <c r="N24" s="125">
        <v>999</v>
      </c>
      <c r="O24" s="109">
        <v>949</v>
      </c>
      <c r="P24" s="109">
        <v>949</v>
      </c>
      <c r="Q24" s="109">
        <v>399</v>
      </c>
      <c r="R24" s="125">
        <v>949</v>
      </c>
      <c r="S24" s="125">
        <v>949</v>
      </c>
      <c r="T24" s="125">
        <v>399</v>
      </c>
      <c r="U24" s="125">
        <v>399</v>
      </c>
      <c r="V24" s="125">
        <v>399</v>
      </c>
      <c r="W24" s="125">
        <v>399</v>
      </c>
      <c r="X24" s="125">
        <v>399</v>
      </c>
      <c r="Y24" s="128">
        <v>399</v>
      </c>
      <c r="Z24" s="128">
        <v>399</v>
      </c>
      <c r="AA24" s="125">
        <v>399</v>
      </c>
      <c r="AB24" s="125"/>
      <c r="AC24" s="125"/>
      <c r="AD24" s="125"/>
      <c r="AE24" s="125"/>
      <c r="AF24" s="125"/>
      <c r="AG24" s="125"/>
      <c r="AH24" s="125"/>
      <c r="AI24" s="125"/>
      <c r="AJ24" s="125"/>
      <c r="AK24" s="125"/>
      <c r="AL24" s="125"/>
      <c r="AM24" s="111" t="s">
        <v>680</v>
      </c>
    </row>
    <row r="25" spans="2:40" ht="15.5">
      <c r="B25" s="121" t="s">
        <v>684</v>
      </c>
      <c r="C25" s="122">
        <v>4016351</v>
      </c>
      <c r="D25" s="123" t="s">
        <v>717</v>
      </c>
      <c r="E25" s="129" t="s">
        <v>717</v>
      </c>
      <c r="F25" s="124">
        <v>799</v>
      </c>
      <c r="G25" s="124">
        <v>999</v>
      </c>
      <c r="H25" s="125">
        <v>799</v>
      </c>
      <c r="I25" s="125">
        <v>799</v>
      </c>
      <c r="J25" s="109">
        <v>749</v>
      </c>
      <c r="K25" s="109">
        <v>749</v>
      </c>
      <c r="L25" s="109">
        <v>749</v>
      </c>
      <c r="M25" s="126">
        <v>749</v>
      </c>
      <c r="N25" s="126">
        <v>749</v>
      </c>
      <c r="O25" s="109">
        <v>699</v>
      </c>
      <c r="P25" s="109">
        <v>599</v>
      </c>
      <c r="Q25" s="109">
        <v>449</v>
      </c>
      <c r="R25" s="126">
        <v>699</v>
      </c>
      <c r="S25" s="126">
        <v>599</v>
      </c>
      <c r="T25" s="126">
        <v>449</v>
      </c>
      <c r="U25" s="126">
        <v>449</v>
      </c>
      <c r="V25" s="126">
        <v>449</v>
      </c>
      <c r="W25" s="126">
        <v>449</v>
      </c>
      <c r="X25" s="126">
        <v>449</v>
      </c>
      <c r="Y25" s="126">
        <v>449</v>
      </c>
      <c r="Z25" s="126">
        <v>449</v>
      </c>
      <c r="AA25" s="126">
        <v>449</v>
      </c>
      <c r="AB25" s="126"/>
      <c r="AC25" s="126"/>
      <c r="AD25" s="126"/>
      <c r="AE25" s="126"/>
      <c r="AF25" s="126"/>
      <c r="AG25" s="126"/>
      <c r="AH25" s="126"/>
      <c r="AI25" s="126"/>
      <c r="AJ25" s="126"/>
      <c r="AK25" s="126"/>
      <c r="AL25" s="126"/>
      <c r="AM25" s="111" t="s">
        <v>680</v>
      </c>
    </row>
    <row r="26" spans="2:40" ht="15.5">
      <c r="B26" s="123" t="s">
        <v>718</v>
      </c>
      <c r="C26" s="122">
        <v>4016004</v>
      </c>
      <c r="D26" s="129" t="s">
        <v>719</v>
      </c>
      <c r="E26" s="107" t="s">
        <v>720</v>
      </c>
      <c r="F26" s="124">
        <v>129</v>
      </c>
      <c r="G26" s="124">
        <v>129</v>
      </c>
      <c r="H26" s="125"/>
      <c r="I26" s="125"/>
      <c r="J26" s="109"/>
      <c r="K26" s="109"/>
      <c r="L26" s="109"/>
      <c r="M26" s="125"/>
      <c r="N26" s="125"/>
      <c r="O26" s="109"/>
      <c r="P26" s="109"/>
      <c r="Q26" s="109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  <c r="AD26" s="125"/>
      <c r="AE26" s="125"/>
      <c r="AF26" s="125"/>
      <c r="AG26" s="125"/>
      <c r="AH26" s="125"/>
      <c r="AI26" s="125"/>
      <c r="AJ26" s="125"/>
      <c r="AK26" s="125"/>
      <c r="AL26" s="125"/>
      <c r="AM26" s="111" t="s">
        <v>680</v>
      </c>
    </row>
    <row r="27" spans="2:40" ht="15.5">
      <c r="B27" s="123" t="s">
        <v>718</v>
      </c>
      <c r="C27" s="122">
        <v>4016005</v>
      </c>
      <c r="D27" s="129" t="s">
        <v>721</v>
      </c>
      <c r="E27" s="107" t="s">
        <v>722</v>
      </c>
      <c r="F27" s="124">
        <v>129</v>
      </c>
      <c r="G27" s="124">
        <v>129</v>
      </c>
      <c r="H27" s="125"/>
      <c r="I27" s="125"/>
      <c r="J27" s="109"/>
      <c r="K27" s="109"/>
      <c r="L27" s="109"/>
      <c r="M27" s="125"/>
      <c r="N27" s="125"/>
      <c r="O27" s="109"/>
      <c r="P27" s="109"/>
      <c r="Q27" s="109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  <c r="AD27" s="125"/>
      <c r="AE27" s="125"/>
      <c r="AF27" s="125"/>
      <c r="AG27" s="125"/>
      <c r="AH27" s="125"/>
      <c r="AI27" s="125"/>
      <c r="AJ27" s="125"/>
      <c r="AK27" s="125"/>
      <c r="AL27" s="125"/>
      <c r="AM27" s="111" t="s">
        <v>680</v>
      </c>
    </row>
    <row r="28" spans="2:40" ht="15.5">
      <c r="B28" s="123" t="s">
        <v>718</v>
      </c>
      <c r="C28" s="122">
        <v>4016006</v>
      </c>
      <c r="D28" s="129" t="s">
        <v>723</v>
      </c>
      <c r="E28" s="107" t="s">
        <v>724</v>
      </c>
      <c r="F28" s="124">
        <v>129</v>
      </c>
      <c r="G28" s="124">
        <v>129</v>
      </c>
      <c r="H28" s="125"/>
      <c r="I28" s="125"/>
      <c r="J28" s="109"/>
      <c r="K28" s="109"/>
      <c r="L28" s="109"/>
      <c r="M28" s="125"/>
      <c r="N28" s="125"/>
      <c r="O28" s="109"/>
      <c r="P28" s="109"/>
      <c r="Q28" s="109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  <c r="AD28" s="125"/>
      <c r="AE28" s="125"/>
      <c r="AF28" s="125"/>
      <c r="AG28" s="125"/>
      <c r="AH28" s="125"/>
      <c r="AI28" s="125"/>
      <c r="AJ28" s="125"/>
      <c r="AK28" s="125"/>
      <c r="AL28" s="125"/>
      <c r="AM28" s="111" t="s">
        <v>680</v>
      </c>
      <c r="AN28" s="130"/>
    </row>
    <row r="29" spans="2:40" ht="15.5">
      <c r="B29" s="123" t="s">
        <v>718</v>
      </c>
      <c r="C29" s="122">
        <v>4015729</v>
      </c>
      <c r="D29" s="129" t="s">
        <v>725</v>
      </c>
      <c r="E29" s="107" t="s">
        <v>726</v>
      </c>
      <c r="F29" s="124">
        <v>10</v>
      </c>
      <c r="G29" s="124">
        <v>10</v>
      </c>
      <c r="H29" s="125"/>
      <c r="I29" s="125"/>
      <c r="J29" s="109"/>
      <c r="K29" s="109"/>
      <c r="L29" s="109"/>
      <c r="M29" s="125"/>
      <c r="N29" s="125"/>
      <c r="O29" s="109"/>
      <c r="P29" s="109"/>
      <c r="Q29" s="109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  <c r="AD29" s="125"/>
      <c r="AE29" s="125"/>
      <c r="AF29" s="125"/>
      <c r="AG29" s="125"/>
      <c r="AH29" s="125"/>
      <c r="AI29" s="125"/>
      <c r="AJ29" s="125"/>
      <c r="AK29" s="125"/>
      <c r="AL29" s="125"/>
      <c r="AM29" s="111" t="s">
        <v>680</v>
      </c>
      <c r="AN29" s="130"/>
    </row>
    <row r="30" spans="2:40" ht="15.5">
      <c r="B30" s="131" t="s">
        <v>718</v>
      </c>
      <c r="C30" s="122">
        <v>4013975</v>
      </c>
      <c r="D30" s="129" t="s">
        <v>727</v>
      </c>
      <c r="E30" s="107" t="s">
        <v>728</v>
      </c>
      <c r="F30" s="124">
        <v>219</v>
      </c>
      <c r="G30" s="124">
        <v>219</v>
      </c>
      <c r="H30" s="125"/>
      <c r="I30" s="125"/>
      <c r="J30" s="125"/>
      <c r="K30" s="125"/>
      <c r="L30" s="125"/>
      <c r="M30" s="125"/>
      <c r="N30" s="125"/>
      <c r="O30" s="125"/>
      <c r="P30" s="109"/>
      <c r="Q30" s="109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  <c r="AD30" s="125"/>
      <c r="AE30" s="125"/>
      <c r="AF30" s="125"/>
      <c r="AG30" s="125"/>
      <c r="AH30" s="125"/>
      <c r="AI30" s="125"/>
      <c r="AJ30" s="125"/>
      <c r="AK30" s="125"/>
      <c r="AL30" s="125"/>
      <c r="AM30" s="111" t="s">
        <v>680</v>
      </c>
      <c r="AN30" s="130"/>
    </row>
    <row r="31" spans="2:40" ht="15.5">
      <c r="B31" s="123" t="s">
        <v>729</v>
      </c>
      <c r="C31" s="122">
        <v>4016254</v>
      </c>
      <c r="D31" s="129" t="s">
        <v>730</v>
      </c>
      <c r="E31" s="107" t="s">
        <v>731</v>
      </c>
      <c r="F31" s="124">
        <v>219</v>
      </c>
      <c r="G31" s="124">
        <v>219</v>
      </c>
      <c r="H31" s="125"/>
      <c r="I31" s="125"/>
      <c r="J31" s="125"/>
      <c r="K31" s="125"/>
      <c r="L31" s="125"/>
      <c r="M31" s="125"/>
      <c r="N31" s="125"/>
      <c r="O31" s="125"/>
      <c r="P31" s="109"/>
      <c r="Q31" s="109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  <c r="AD31" s="125"/>
      <c r="AE31" s="125"/>
      <c r="AF31" s="125"/>
      <c r="AG31" s="125"/>
      <c r="AH31" s="125"/>
      <c r="AI31" s="125"/>
      <c r="AJ31" s="125"/>
      <c r="AK31" s="125"/>
      <c r="AL31" s="125"/>
      <c r="AM31" s="111" t="s">
        <v>680</v>
      </c>
      <c r="AN31" s="130"/>
    </row>
    <row r="32" spans="2:40" ht="15.5">
      <c r="B32" s="123" t="s">
        <v>732</v>
      </c>
      <c r="C32" s="122">
        <v>4018040</v>
      </c>
      <c r="D32" s="129" t="s">
        <v>733</v>
      </c>
      <c r="E32" s="107" t="s">
        <v>734</v>
      </c>
      <c r="F32" s="132">
        <v>399</v>
      </c>
      <c r="G32" s="132">
        <v>399</v>
      </c>
      <c r="H32" s="132">
        <v>399</v>
      </c>
      <c r="I32" s="132">
        <v>399</v>
      </c>
      <c r="J32" s="132">
        <v>299</v>
      </c>
      <c r="K32" s="132">
        <v>299</v>
      </c>
      <c r="L32" s="132">
        <v>299</v>
      </c>
      <c r="M32" s="132">
        <v>299</v>
      </c>
      <c r="N32" s="132">
        <v>299</v>
      </c>
      <c r="O32" s="132">
        <v>299</v>
      </c>
      <c r="P32" s="133">
        <v>249</v>
      </c>
      <c r="Q32" s="133">
        <v>249</v>
      </c>
      <c r="R32" s="132">
        <v>299</v>
      </c>
      <c r="S32" s="132">
        <v>249</v>
      </c>
      <c r="T32" s="132">
        <v>249</v>
      </c>
      <c r="U32" s="132">
        <v>249</v>
      </c>
      <c r="V32" s="132">
        <v>249</v>
      </c>
      <c r="W32" s="132">
        <v>249</v>
      </c>
      <c r="X32" s="132">
        <v>249</v>
      </c>
      <c r="Y32" s="132">
        <v>249</v>
      </c>
      <c r="Z32" s="132">
        <v>249</v>
      </c>
      <c r="AA32" s="132">
        <v>249</v>
      </c>
      <c r="AB32" s="132">
        <v>299</v>
      </c>
      <c r="AC32" s="132">
        <v>299</v>
      </c>
      <c r="AD32" s="132">
        <v>299</v>
      </c>
      <c r="AE32" s="132">
        <v>299</v>
      </c>
      <c r="AF32" s="132">
        <v>299</v>
      </c>
      <c r="AG32" s="132">
        <v>299</v>
      </c>
      <c r="AH32" s="132">
        <v>299</v>
      </c>
      <c r="AI32" s="132">
        <v>249</v>
      </c>
      <c r="AJ32" s="132">
        <v>249</v>
      </c>
      <c r="AK32" s="132">
        <v>249</v>
      </c>
      <c r="AL32" s="132">
        <v>249</v>
      </c>
      <c r="AM32" s="111" t="s">
        <v>680</v>
      </c>
      <c r="AN32" s="130"/>
    </row>
    <row r="33" spans="2:40" ht="15.5">
      <c r="B33" s="123" t="s">
        <v>732</v>
      </c>
      <c r="C33" s="122">
        <v>4017939</v>
      </c>
      <c r="D33" s="129" t="s">
        <v>733</v>
      </c>
      <c r="E33" s="107" t="s">
        <v>735</v>
      </c>
      <c r="F33" s="132">
        <v>399</v>
      </c>
      <c r="G33" s="132">
        <v>399</v>
      </c>
      <c r="H33" s="132">
        <v>399</v>
      </c>
      <c r="I33" s="132">
        <v>399</v>
      </c>
      <c r="J33" s="132">
        <v>299</v>
      </c>
      <c r="K33" s="132">
        <v>299</v>
      </c>
      <c r="L33" s="132">
        <v>299</v>
      </c>
      <c r="M33" s="132">
        <v>299</v>
      </c>
      <c r="N33" s="132">
        <v>299</v>
      </c>
      <c r="O33" s="132">
        <v>299</v>
      </c>
      <c r="P33" s="133">
        <v>249</v>
      </c>
      <c r="Q33" s="133">
        <v>249</v>
      </c>
      <c r="R33" s="132">
        <v>299</v>
      </c>
      <c r="S33" s="132">
        <v>249</v>
      </c>
      <c r="T33" s="132">
        <v>249</v>
      </c>
      <c r="U33" s="132">
        <v>249</v>
      </c>
      <c r="V33" s="132">
        <v>249</v>
      </c>
      <c r="W33" s="132">
        <v>249</v>
      </c>
      <c r="X33" s="132">
        <v>249</v>
      </c>
      <c r="Y33" s="132">
        <v>249</v>
      </c>
      <c r="Z33" s="132">
        <v>249</v>
      </c>
      <c r="AA33" s="132">
        <v>249</v>
      </c>
      <c r="AB33" s="132">
        <v>299</v>
      </c>
      <c r="AC33" s="132">
        <v>299</v>
      </c>
      <c r="AD33" s="132">
        <v>299</v>
      </c>
      <c r="AE33" s="132">
        <v>299</v>
      </c>
      <c r="AF33" s="132">
        <v>299</v>
      </c>
      <c r="AG33" s="132">
        <v>299</v>
      </c>
      <c r="AH33" s="132">
        <v>299</v>
      </c>
      <c r="AI33" s="132">
        <v>249</v>
      </c>
      <c r="AJ33" s="132">
        <v>249</v>
      </c>
      <c r="AK33" s="132">
        <v>249</v>
      </c>
      <c r="AL33" s="132">
        <v>249</v>
      </c>
      <c r="AM33" s="111" t="s">
        <v>680</v>
      </c>
      <c r="AN33" s="130"/>
    </row>
    <row r="34" spans="2:40" ht="15.5">
      <c r="B34" s="123" t="s">
        <v>681</v>
      </c>
      <c r="C34" s="122">
        <v>4016340</v>
      </c>
      <c r="D34" s="129" t="s">
        <v>736</v>
      </c>
      <c r="E34" s="107" t="s">
        <v>737</v>
      </c>
      <c r="F34" s="132">
        <v>399</v>
      </c>
      <c r="G34" s="132">
        <v>399</v>
      </c>
      <c r="H34" s="132">
        <v>399</v>
      </c>
      <c r="I34" s="132">
        <v>399</v>
      </c>
      <c r="J34" s="132">
        <v>299</v>
      </c>
      <c r="K34" s="132">
        <v>299</v>
      </c>
      <c r="L34" s="132">
        <v>299</v>
      </c>
      <c r="M34" s="132">
        <v>299</v>
      </c>
      <c r="N34" s="132">
        <v>299</v>
      </c>
      <c r="O34" s="132">
        <v>299</v>
      </c>
      <c r="P34" s="133">
        <v>249</v>
      </c>
      <c r="Q34" s="133">
        <v>249</v>
      </c>
      <c r="R34" s="132">
        <v>299</v>
      </c>
      <c r="S34" s="132">
        <v>249</v>
      </c>
      <c r="T34" s="132">
        <v>249</v>
      </c>
      <c r="U34" s="132">
        <v>249</v>
      </c>
      <c r="V34" s="132">
        <v>249</v>
      </c>
      <c r="W34" s="132">
        <v>249</v>
      </c>
      <c r="X34" s="132">
        <v>249</v>
      </c>
      <c r="Y34" s="132">
        <v>249</v>
      </c>
      <c r="Z34" s="132">
        <v>249</v>
      </c>
      <c r="AA34" s="132">
        <v>249</v>
      </c>
      <c r="AB34" s="132">
        <v>299</v>
      </c>
      <c r="AC34" s="132">
        <v>299</v>
      </c>
      <c r="AD34" s="132">
        <v>299</v>
      </c>
      <c r="AE34" s="132">
        <v>299</v>
      </c>
      <c r="AF34" s="132">
        <v>299</v>
      </c>
      <c r="AG34" s="132">
        <v>299</v>
      </c>
      <c r="AH34" s="132">
        <v>299</v>
      </c>
      <c r="AI34" s="132">
        <v>249</v>
      </c>
      <c r="AJ34" s="132">
        <v>249</v>
      </c>
      <c r="AK34" s="132">
        <v>249</v>
      </c>
      <c r="AL34" s="132">
        <v>249</v>
      </c>
      <c r="AM34" s="111" t="s">
        <v>680</v>
      </c>
      <c r="AN34" s="130"/>
    </row>
    <row r="35" spans="2:40" ht="15.5">
      <c r="B35" s="123" t="s">
        <v>681</v>
      </c>
      <c r="C35" s="122">
        <v>4016494</v>
      </c>
      <c r="D35" s="129" t="s">
        <v>736</v>
      </c>
      <c r="E35" s="107" t="s">
        <v>738</v>
      </c>
      <c r="F35" s="132">
        <v>399</v>
      </c>
      <c r="G35" s="132">
        <v>399</v>
      </c>
      <c r="H35" s="132">
        <v>399</v>
      </c>
      <c r="I35" s="132">
        <v>399</v>
      </c>
      <c r="J35" s="132">
        <v>299</v>
      </c>
      <c r="K35" s="132">
        <v>299</v>
      </c>
      <c r="L35" s="132">
        <v>299</v>
      </c>
      <c r="M35" s="132">
        <v>299</v>
      </c>
      <c r="N35" s="132">
        <v>299</v>
      </c>
      <c r="O35" s="132">
        <v>299</v>
      </c>
      <c r="P35" s="133">
        <v>249</v>
      </c>
      <c r="Q35" s="133">
        <v>249</v>
      </c>
      <c r="R35" s="132">
        <v>299</v>
      </c>
      <c r="S35" s="132">
        <v>249</v>
      </c>
      <c r="T35" s="132">
        <v>249</v>
      </c>
      <c r="U35" s="132">
        <v>249</v>
      </c>
      <c r="V35" s="132">
        <v>249</v>
      </c>
      <c r="W35" s="132">
        <v>249</v>
      </c>
      <c r="X35" s="132">
        <v>249</v>
      </c>
      <c r="Y35" s="132">
        <v>249</v>
      </c>
      <c r="Z35" s="132">
        <v>249</v>
      </c>
      <c r="AA35" s="132">
        <v>249</v>
      </c>
      <c r="AB35" s="132">
        <v>299</v>
      </c>
      <c r="AC35" s="132">
        <v>299</v>
      </c>
      <c r="AD35" s="132">
        <v>299</v>
      </c>
      <c r="AE35" s="132">
        <v>299</v>
      </c>
      <c r="AF35" s="132">
        <v>299</v>
      </c>
      <c r="AG35" s="132">
        <v>299</v>
      </c>
      <c r="AH35" s="132">
        <v>299</v>
      </c>
      <c r="AI35" s="132">
        <v>249</v>
      </c>
      <c r="AJ35" s="132">
        <v>249</v>
      </c>
      <c r="AK35" s="132">
        <v>249</v>
      </c>
      <c r="AL35" s="132">
        <v>249</v>
      </c>
      <c r="AM35" s="111" t="s">
        <v>680</v>
      </c>
      <c r="AN35" s="130"/>
    </row>
    <row r="36" spans="2:40" ht="15.5">
      <c r="B36" s="123" t="s">
        <v>681</v>
      </c>
      <c r="C36" s="122">
        <v>4017140</v>
      </c>
      <c r="D36" s="129" t="s">
        <v>736</v>
      </c>
      <c r="E36" s="107" t="s">
        <v>739</v>
      </c>
      <c r="F36" s="132">
        <v>399</v>
      </c>
      <c r="G36" s="132">
        <v>399</v>
      </c>
      <c r="H36" s="132">
        <v>399</v>
      </c>
      <c r="I36" s="132">
        <v>399</v>
      </c>
      <c r="J36" s="132">
        <v>299</v>
      </c>
      <c r="K36" s="132">
        <v>299</v>
      </c>
      <c r="L36" s="132">
        <v>299</v>
      </c>
      <c r="M36" s="132">
        <v>299</v>
      </c>
      <c r="N36" s="132">
        <v>299</v>
      </c>
      <c r="O36" s="132">
        <v>299</v>
      </c>
      <c r="P36" s="133">
        <v>249</v>
      </c>
      <c r="Q36" s="133">
        <v>249</v>
      </c>
      <c r="R36" s="132">
        <v>299</v>
      </c>
      <c r="S36" s="132">
        <v>249</v>
      </c>
      <c r="T36" s="132">
        <v>249</v>
      </c>
      <c r="U36" s="132">
        <v>249</v>
      </c>
      <c r="V36" s="132">
        <v>249</v>
      </c>
      <c r="W36" s="132">
        <v>249</v>
      </c>
      <c r="X36" s="132">
        <v>249</v>
      </c>
      <c r="Y36" s="132">
        <v>249</v>
      </c>
      <c r="Z36" s="132">
        <v>249</v>
      </c>
      <c r="AA36" s="132">
        <v>249</v>
      </c>
      <c r="AB36" s="132">
        <v>299</v>
      </c>
      <c r="AC36" s="132">
        <v>299</v>
      </c>
      <c r="AD36" s="132">
        <v>299</v>
      </c>
      <c r="AE36" s="132">
        <v>299</v>
      </c>
      <c r="AF36" s="132">
        <v>299</v>
      </c>
      <c r="AG36" s="132">
        <v>299</v>
      </c>
      <c r="AH36" s="132">
        <v>299</v>
      </c>
      <c r="AI36" s="132">
        <v>249</v>
      </c>
      <c r="AJ36" s="132">
        <v>249</v>
      </c>
      <c r="AK36" s="132">
        <v>249</v>
      </c>
      <c r="AL36" s="132">
        <v>249</v>
      </c>
      <c r="AM36" s="111" t="s">
        <v>680</v>
      </c>
    </row>
    <row r="37" spans="2:40" ht="15.5">
      <c r="B37" s="123" t="s">
        <v>732</v>
      </c>
      <c r="C37" s="122">
        <v>4016959</v>
      </c>
      <c r="D37" s="129" t="s">
        <v>740</v>
      </c>
      <c r="E37" s="107" t="s">
        <v>741</v>
      </c>
      <c r="F37" s="132">
        <v>399</v>
      </c>
      <c r="G37" s="132">
        <v>399</v>
      </c>
      <c r="H37" s="132">
        <v>399</v>
      </c>
      <c r="I37" s="132">
        <v>399</v>
      </c>
      <c r="J37" s="133">
        <v>299</v>
      </c>
      <c r="K37" s="133">
        <v>299</v>
      </c>
      <c r="L37" s="133">
        <v>299</v>
      </c>
      <c r="M37" s="132">
        <v>299</v>
      </c>
      <c r="N37" s="132">
        <v>299</v>
      </c>
      <c r="O37" s="133">
        <v>299</v>
      </c>
      <c r="P37" s="133">
        <v>249</v>
      </c>
      <c r="Q37" s="133">
        <v>249</v>
      </c>
      <c r="R37" s="132">
        <v>299</v>
      </c>
      <c r="S37" s="132">
        <v>249</v>
      </c>
      <c r="T37" s="132">
        <v>249</v>
      </c>
      <c r="U37" s="132">
        <v>249</v>
      </c>
      <c r="V37" s="132">
        <v>249</v>
      </c>
      <c r="W37" s="132">
        <v>249</v>
      </c>
      <c r="X37" s="132">
        <v>249</v>
      </c>
      <c r="Y37" s="132">
        <v>249</v>
      </c>
      <c r="Z37" s="132">
        <v>249</v>
      </c>
      <c r="AA37" s="132">
        <v>249</v>
      </c>
      <c r="AB37" s="132">
        <v>299</v>
      </c>
      <c r="AC37" s="132">
        <v>299</v>
      </c>
      <c r="AD37" s="132">
        <v>299</v>
      </c>
      <c r="AE37" s="132">
        <v>299</v>
      </c>
      <c r="AF37" s="132">
        <v>299</v>
      </c>
      <c r="AG37" s="132">
        <v>299</v>
      </c>
      <c r="AH37" s="132">
        <v>299</v>
      </c>
      <c r="AI37" s="132">
        <v>249</v>
      </c>
      <c r="AJ37" s="132">
        <v>249</v>
      </c>
      <c r="AK37" s="132">
        <v>249</v>
      </c>
      <c r="AL37" s="132">
        <v>249</v>
      </c>
      <c r="AM37" s="111" t="s">
        <v>680</v>
      </c>
    </row>
    <row r="38" spans="2:40" ht="15.5">
      <c r="B38" s="123" t="s">
        <v>681</v>
      </c>
      <c r="C38" s="134">
        <v>4015506</v>
      </c>
      <c r="D38" s="123" t="s">
        <v>742</v>
      </c>
      <c r="E38" s="107" t="s">
        <v>743</v>
      </c>
      <c r="F38" s="124">
        <v>299</v>
      </c>
      <c r="G38" s="124">
        <v>299</v>
      </c>
      <c r="H38" s="125">
        <v>299</v>
      </c>
      <c r="I38" s="125">
        <v>299</v>
      </c>
      <c r="J38" s="109">
        <v>249</v>
      </c>
      <c r="K38" s="109">
        <v>249</v>
      </c>
      <c r="L38" s="109">
        <v>249</v>
      </c>
      <c r="M38" s="125">
        <v>249</v>
      </c>
      <c r="N38" s="125">
        <v>249</v>
      </c>
      <c r="O38" s="109">
        <v>199</v>
      </c>
      <c r="P38" s="109">
        <v>199</v>
      </c>
      <c r="Q38" s="109">
        <v>199</v>
      </c>
      <c r="R38" s="125">
        <v>199</v>
      </c>
      <c r="S38" s="125">
        <v>199</v>
      </c>
      <c r="T38" s="125">
        <v>199</v>
      </c>
      <c r="U38" s="125">
        <v>199</v>
      </c>
      <c r="V38" s="125">
        <v>199</v>
      </c>
      <c r="W38" s="125">
        <v>199</v>
      </c>
      <c r="X38" s="125">
        <v>199</v>
      </c>
      <c r="Y38" s="128">
        <v>199</v>
      </c>
      <c r="Z38" s="128">
        <v>199</v>
      </c>
      <c r="AA38" s="125">
        <v>199</v>
      </c>
      <c r="AB38" s="125"/>
      <c r="AC38" s="125"/>
      <c r="AD38" s="125"/>
      <c r="AE38" s="125"/>
      <c r="AF38" s="125"/>
      <c r="AG38" s="125"/>
      <c r="AH38" s="125"/>
      <c r="AI38" s="125"/>
      <c r="AJ38" s="125"/>
      <c r="AK38" s="125"/>
      <c r="AL38" s="125"/>
      <c r="AM38" s="111" t="s">
        <v>680</v>
      </c>
    </row>
    <row r="39" spans="2:40" ht="15.5">
      <c r="B39" s="123" t="s">
        <v>744</v>
      </c>
      <c r="C39" s="122">
        <v>4015637</v>
      </c>
      <c r="D39" s="129" t="s">
        <v>745</v>
      </c>
      <c r="E39" s="107" t="s">
        <v>746</v>
      </c>
      <c r="F39" s="124">
        <v>999</v>
      </c>
      <c r="G39" s="124">
        <v>999</v>
      </c>
      <c r="H39" s="125">
        <v>999</v>
      </c>
      <c r="I39" s="125">
        <v>999</v>
      </c>
      <c r="J39" s="125">
        <v>949</v>
      </c>
      <c r="K39" s="125">
        <v>949</v>
      </c>
      <c r="L39" s="125">
        <v>949</v>
      </c>
      <c r="M39" s="125">
        <v>949</v>
      </c>
      <c r="N39" s="125">
        <v>949</v>
      </c>
      <c r="O39" s="125">
        <v>899</v>
      </c>
      <c r="P39" s="125">
        <v>799</v>
      </c>
      <c r="Q39" s="125">
        <v>599</v>
      </c>
      <c r="R39" s="128">
        <v>899</v>
      </c>
      <c r="S39" s="128">
        <v>799</v>
      </c>
      <c r="T39" s="125">
        <v>599</v>
      </c>
      <c r="U39" s="125">
        <v>599</v>
      </c>
      <c r="V39" s="128">
        <v>599</v>
      </c>
      <c r="W39" s="128">
        <v>599</v>
      </c>
      <c r="X39" s="128">
        <v>549</v>
      </c>
      <c r="Y39" s="128">
        <v>549</v>
      </c>
      <c r="Z39" s="128">
        <v>549</v>
      </c>
      <c r="AA39" s="128">
        <v>549</v>
      </c>
      <c r="AB39" s="128"/>
      <c r="AC39" s="128"/>
      <c r="AD39" s="128"/>
      <c r="AE39" s="128"/>
      <c r="AF39" s="128"/>
      <c r="AG39" s="128"/>
      <c r="AH39" s="128"/>
      <c r="AI39" s="128"/>
      <c r="AJ39" s="128"/>
      <c r="AK39" s="128"/>
      <c r="AL39" s="128"/>
      <c r="AM39" s="111" t="s">
        <v>680</v>
      </c>
      <c r="AN39" s="135"/>
    </row>
    <row r="40" spans="2:40" ht="15.5">
      <c r="B40" s="131" t="s">
        <v>744</v>
      </c>
      <c r="C40" s="122">
        <v>4015591</v>
      </c>
      <c r="D40" s="129" t="s">
        <v>747</v>
      </c>
      <c r="E40" s="107" t="s">
        <v>748</v>
      </c>
      <c r="F40" s="124">
        <v>49</v>
      </c>
      <c r="G40" s="124">
        <v>49</v>
      </c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  <c r="AD40" s="125"/>
      <c r="AE40" s="125"/>
      <c r="AF40" s="125"/>
      <c r="AG40" s="125"/>
      <c r="AH40" s="125"/>
      <c r="AI40" s="125"/>
      <c r="AJ40" s="125"/>
      <c r="AK40" s="125"/>
      <c r="AL40" s="125"/>
      <c r="AM40" s="111" t="s">
        <v>680</v>
      </c>
      <c r="AN40" s="135"/>
    </row>
    <row r="41" spans="2:40" ht="15.5">
      <c r="B41" s="136" t="s">
        <v>744</v>
      </c>
      <c r="C41" s="134">
        <v>4015592</v>
      </c>
      <c r="D41" s="123" t="s">
        <v>749</v>
      </c>
      <c r="E41" s="107" t="s">
        <v>750</v>
      </c>
      <c r="F41" s="124">
        <v>89</v>
      </c>
      <c r="G41" s="124">
        <v>89</v>
      </c>
      <c r="H41" s="125"/>
      <c r="I41" s="125"/>
      <c r="J41" s="125"/>
      <c r="K41" s="125"/>
      <c r="L41" s="125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  <c r="AD41" s="126"/>
      <c r="AE41" s="126"/>
      <c r="AF41" s="126"/>
      <c r="AG41" s="126"/>
      <c r="AH41" s="126"/>
      <c r="AI41" s="126"/>
      <c r="AJ41" s="126"/>
      <c r="AK41" s="126"/>
      <c r="AL41" s="126"/>
      <c r="AM41" s="111" t="s">
        <v>680</v>
      </c>
      <c r="AN41" s="135"/>
    </row>
    <row r="42" spans="2:40" ht="15.5">
      <c r="B42" s="123" t="s">
        <v>751</v>
      </c>
      <c r="C42" s="134">
        <v>4013141</v>
      </c>
      <c r="D42" s="123" t="s">
        <v>752</v>
      </c>
      <c r="E42" s="107" t="s">
        <v>753</v>
      </c>
      <c r="F42" s="124">
        <v>199</v>
      </c>
      <c r="G42" s="124">
        <v>199</v>
      </c>
      <c r="H42" s="125"/>
      <c r="I42" s="125"/>
      <c r="J42" s="125"/>
      <c r="K42" s="125"/>
      <c r="L42" s="125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  <c r="AD42" s="126"/>
      <c r="AE42" s="126"/>
      <c r="AF42" s="126"/>
      <c r="AG42" s="126"/>
      <c r="AH42" s="126"/>
      <c r="AI42" s="126"/>
      <c r="AJ42" s="126"/>
      <c r="AK42" s="126"/>
      <c r="AL42" s="126"/>
      <c r="AM42" s="111" t="s">
        <v>680</v>
      </c>
      <c r="AN42" s="135"/>
    </row>
    <row r="43" spans="2:40" ht="15.5">
      <c r="B43" s="123" t="s">
        <v>751</v>
      </c>
      <c r="C43" s="134">
        <v>4015880</v>
      </c>
      <c r="D43" s="123" t="s">
        <v>754</v>
      </c>
      <c r="E43" s="107" t="s">
        <v>755</v>
      </c>
      <c r="F43" s="124">
        <v>199</v>
      </c>
      <c r="G43" s="124">
        <v>199</v>
      </c>
      <c r="H43" s="125"/>
      <c r="I43" s="125"/>
      <c r="J43" s="109"/>
      <c r="K43" s="109"/>
      <c r="L43" s="109"/>
      <c r="M43" s="126"/>
      <c r="N43" s="126"/>
      <c r="O43" s="114"/>
      <c r="P43" s="114"/>
      <c r="Q43" s="114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  <c r="AD43" s="126"/>
      <c r="AE43" s="126"/>
      <c r="AF43" s="126"/>
      <c r="AG43" s="126"/>
      <c r="AH43" s="126"/>
      <c r="AI43" s="126"/>
      <c r="AJ43" s="126"/>
      <c r="AK43" s="126"/>
      <c r="AL43" s="126"/>
      <c r="AM43" s="111" t="s">
        <v>680</v>
      </c>
      <c r="AN43" s="135"/>
    </row>
    <row r="44" spans="2:40" ht="15.5">
      <c r="B44" s="123" t="s">
        <v>751</v>
      </c>
      <c r="C44" s="134">
        <v>4016971</v>
      </c>
      <c r="D44" s="123" t="s">
        <v>756</v>
      </c>
      <c r="E44" s="107" t="s">
        <v>757</v>
      </c>
      <c r="F44" s="124">
        <v>199</v>
      </c>
      <c r="G44" s="124">
        <v>199</v>
      </c>
      <c r="H44" s="125"/>
      <c r="I44" s="125"/>
      <c r="J44" s="109"/>
      <c r="K44" s="109"/>
      <c r="L44" s="109"/>
      <c r="M44" s="126"/>
      <c r="N44" s="126"/>
      <c r="O44" s="114"/>
      <c r="P44" s="114"/>
      <c r="Q44" s="114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  <c r="AD44" s="126"/>
      <c r="AE44" s="126"/>
      <c r="AF44" s="126"/>
      <c r="AG44" s="126"/>
      <c r="AH44" s="126"/>
      <c r="AI44" s="126"/>
      <c r="AJ44" s="126"/>
      <c r="AK44" s="126"/>
      <c r="AL44" s="126"/>
      <c r="AM44" s="111" t="s">
        <v>680</v>
      </c>
      <c r="AN44" s="135"/>
    </row>
    <row r="45" spans="2:40" ht="15.5">
      <c r="B45" s="123" t="s">
        <v>751</v>
      </c>
      <c r="C45" s="122">
        <v>4013617</v>
      </c>
      <c r="D45" s="137" t="s">
        <v>758</v>
      </c>
      <c r="E45" s="107" t="s">
        <v>759</v>
      </c>
      <c r="F45" s="138">
        <v>599</v>
      </c>
      <c r="G45" s="138">
        <v>99</v>
      </c>
      <c r="H45" s="139">
        <v>599</v>
      </c>
      <c r="I45" s="139">
        <v>599</v>
      </c>
      <c r="J45" s="117">
        <v>549</v>
      </c>
      <c r="K45" s="117">
        <v>549</v>
      </c>
      <c r="L45" s="117">
        <v>549</v>
      </c>
      <c r="M45" s="140">
        <v>549</v>
      </c>
      <c r="N45" s="140">
        <v>549</v>
      </c>
      <c r="O45" s="141">
        <v>499</v>
      </c>
      <c r="P45" s="141">
        <v>499</v>
      </c>
      <c r="Q45" s="141">
        <v>99</v>
      </c>
      <c r="R45" s="140">
        <v>499</v>
      </c>
      <c r="S45" s="140">
        <v>499</v>
      </c>
      <c r="T45" s="140">
        <v>99</v>
      </c>
      <c r="U45" s="140">
        <v>99</v>
      </c>
      <c r="V45" s="140">
        <v>99</v>
      </c>
      <c r="W45" s="140">
        <v>99</v>
      </c>
      <c r="X45" s="140">
        <v>99</v>
      </c>
      <c r="Y45" s="140">
        <v>99</v>
      </c>
      <c r="Z45" s="140">
        <v>99</v>
      </c>
      <c r="AA45" s="140">
        <v>99</v>
      </c>
      <c r="AB45" s="126"/>
      <c r="AC45" s="126"/>
      <c r="AD45" s="126"/>
      <c r="AE45" s="126"/>
      <c r="AF45" s="126"/>
      <c r="AG45" s="126"/>
      <c r="AH45" s="126"/>
      <c r="AI45" s="126"/>
      <c r="AJ45" s="126"/>
      <c r="AK45" s="126"/>
      <c r="AL45" s="126"/>
      <c r="AM45" s="111" t="s">
        <v>680</v>
      </c>
    </row>
    <row r="46" spans="2:40" ht="15.5">
      <c r="B46" s="123" t="s">
        <v>751</v>
      </c>
      <c r="C46" s="122">
        <v>4014261</v>
      </c>
      <c r="D46" s="123" t="s">
        <v>760</v>
      </c>
      <c r="E46" s="107" t="s">
        <v>761</v>
      </c>
      <c r="F46" s="124">
        <v>149</v>
      </c>
      <c r="G46" s="124">
        <v>149</v>
      </c>
      <c r="H46" s="125"/>
      <c r="I46" s="125"/>
      <c r="J46" s="125"/>
      <c r="K46" s="125"/>
      <c r="L46" s="125"/>
      <c r="M46" s="126"/>
      <c r="N46" s="126"/>
      <c r="O46" s="126"/>
      <c r="P46" s="114"/>
      <c r="Q46" s="114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  <c r="AD46" s="126"/>
      <c r="AE46" s="126"/>
      <c r="AF46" s="126"/>
      <c r="AG46" s="126"/>
      <c r="AH46" s="126"/>
      <c r="AI46" s="126"/>
      <c r="AJ46" s="126"/>
      <c r="AK46" s="126"/>
      <c r="AL46" s="126"/>
      <c r="AM46" s="111" t="s">
        <v>680</v>
      </c>
    </row>
    <row r="47" spans="2:40" ht="15.5">
      <c r="B47" s="123" t="s">
        <v>751</v>
      </c>
      <c r="C47" s="122">
        <v>4015696</v>
      </c>
      <c r="D47" s="129" t="s">
        <v>762</v>
      </c>
      <c r="E47" s="107" t="s">
        <v>763</v>
      </c>
      <c r="F47" s="124">
        <v>199</v>
      </c>
      <c r="G47" s="124">
        <v>199</v>
      </c>
      <c r="H47" s="125">
        <v>199</v>
      </c>
      <c r="I47" s="125">
        <v>199</v>
      </c>
      <c r="J47" s="125">
        <v>149</v>
      </c>
      <c r="K47" s="125">
        <v>149</v>
      </c>
      <c r="L47" s="125">
        <v>149</v>
      </c>
      <c r="M47" s="125">
        <v>149</v>
      </c>
      <c r="N47" s="125">
        <v>149</v>
      </c>
      <c r="O47" s="125">
        <v>99</v>
      </c>
      <c r="P47" s="109">
        <v>99</v>
      </c>
      <c r="Q47" s="109">
        <v>99</v>
      </c>
      <c r="R47" s="128">
        <v>99</v>
      </c>
      <c r="S47" s="128">
        <v>99</v>
      </c>
      <c r="T47" s="125">
        <v>99</v>
      </c>
      <c r="U47" s="125">
        <v>99</v>
      </c>
      <c r="V47" s="128">
        <v>99</v>
      </c>
      <c r="W47" s="128">
        <v>99</v>
      </c>
      <c r="X47" s="128">
        <v>99</v>
      </c>
      <c r="Y47" s="128">
        <v>99</v>
      </c>
      <c r="Z47" s="128">
        <v>99</v>
      </c>
      <c r="AA47" s="128">
        <v>99</v>
      </c>
      <c r="AB47" s="142"/>
      <c r="AC47" s="142"/>
      <c r="AD47" s="142"/>
      <c r="AE47" s="142"/>
      <c r="AF47" s="142"/>
      <c r="AG47" s="142"/>
      <c r="AH47" s="142"/>
      <c r="AI47" s="142"/>
      <c r="AJ47" s="142"/>
      <c r="AK47" s="142"/>
      <c r="AL47" s="142"/>
      <c r="AM47" s="111" t="s">
        <v>680</v>
      </c>
    </row>
    <row r="48" spans="2:40" ht="15.5">
      <c r="B48" s="123" t="s">
        <v>751</v>
      </c>
      <c r="C48" s="122">
        <v>4016533</v>
      </c>
      <c r="D48" s="129" t="s">
        <v>764</v>
      </c>
      <c r="E48" s="107" t="s">
        <v>765</v>
      </c>
      <c r="F48" s="124">
        <v>599</v>
      </c>
      <c r="G48" s="124">
        <v>799</v>
      </c>
      <c r="H48" s="125">
        <v>599</v>
      </c>
      <c r="I48" s="125">
        <v>599</v>
      </c>
      <c r="J48" s="109">
        <v>549</v>
      </c>
      <c r="K48" s="109">
        <v>549</v>
      </c>
      <c r="L48" s="109">
        <v>549</v>
      </c>
      <c r="M48" s="125">
        <v>549</v>
      </c>
      <c r="N48" s="125">
        <v>549</v>
      </c>
      <c r="O48" s="109">
        <v>499</v>
      </c>
      <c r="P48" s="109">
        <v>399</v>
      </c>
      <c r="Q48" s="109">
        <v>349</v>
      </c>
      <c r="R48" s="128">
        <v>499</v>
      </c>
      <c r="S48" s="128">
        <v>399</v>
      </c>
      <c r="T48" s="125">
        <v>349</v>
      </c>
      <c r="U48" s="125">
        <v>349</v>
      </c>
      <c r="V48" s="128">
        <v>349</v>
      </c>
      <c r="W48" s="128">
        <v>349</v>
      </c>
      <c r="X48" s="128">
        <v>349</v>
      </c>
      <c r="Y48" s="128">
        <v>349</v>
      </c>
      <c r="Z48" s="128">
        <v>349</v>
      </c>
      <c r="AA48" s="128">
        <v>349</v>
      </c>
      <c r="AB48" s="128"/>
      <c r="AC48" s="128"/>
      <c r="AD48" s="128"/>
      <c r="AE48" s="128"/>
      <c r="AF48" s="128"/>
      <c r="AG48" s="128"/>
      <c r="AH48" s="128"/>
      <c r="AI48" s="128"/>
      <c r="AJ48" s="128"/>
      <c r="AK48" s="128"/>
      <c r="AL48" s="128"/>
      <c r="AM48" s="111" t="s">
        <v>680</v>
      </c>
    </row>
    <row r="49" spans="2:39" ht="15.5">
      <c r="B49" s="123" t="s">
        <v>751</v>
      </c>
      <c r="C49" s="122">
        <v>4016531</v>
      </c>
      <c r="D49" s="129" t="s">
        <v>764</v>
      </c>
      <c r="E49" s="107" t="s">
        <v>766</v>
      </c>
      <c r="F49" s="124">
        <v>599</v>
      </c>
      <c r="G49" s="124">
        <v>799</v>
      </c>
      <c r="H49" s="125">
        <v>599</v>
      </c>
      <c r="I49" s="125">
        <v>599</v>
      </c>
      <c r="J49" s="109">
        <v>549</v>
      </c>
      <c r="K49" s="109">
        <v>549</v>
      </c>
      <c r="L49" s="109">
        <v>549</v>
      </c>
      <c r="M49" s="125">
        <v>549</v>
      </c>
      <c r="N49" s="125">
        <v>549</v>
      </c>
      <c r="O49" s="109">
        <v>499</v>
      </c>
      <c r="P49" s="109">
        <v>399</v>
      </c>
      <c r="Q49" s="109">
        <v>349</v>
      </c>
      <c r="R49" s="128">
        <v>499</v>
      </c>
      <c r="S49" s="128">
        <v>399</v>
      </c>
      <c r="T49" s="125">
        <v>349</v>
      </c>
      <c r="U49" s="125">
        <v>349</v>
      </c>
      <c r="V49" s="128">
        <v>349</v>
      </c>
      <c r="W49" s="128">
        <v>349</v>
      </c>
      <c r="X49" s="128">
        <v>349</v>
      </c>
      <c r="Y49" s="128">
        <v>349</v>
      </c>
      <c r="Z49" s="128">
        <v>349</v>
      </c>
      <c r="AA49" s="128">
        <v>349</v>
      </c>
      <c r="AB49" s="128"/>
      <c r="AC49" s="128"/>
      <c r="AD49" s="128"/>
      <c r="AE49" s="128"/>
      <c r="AF49" s="128"/>
      <c r="AG49" s="128"/>
      <c r="AH49" s="128"/>
      <c r="AI49" s="128"/>
      <c r="AJ49" s="128"/>
      <c r="AK49" s="128"/>
      <c r="AL49" s="128"/>
      <c r="AM49" s="111" t="s">
        <v>680</v>
      </c>
    </row>
    <row r="50" spans="2:39" ht="15.5">
      <c r="B50" s="123" t="s">
        <v>751</v>
      </c>
      <c r="C50" s="122">
        <v>4017404</v>
      </c>
      <c r="D50" s="129" t="s">
        <v>767</v>
      </c>
      <c r="E50" s="107" t="s">
        <v>768</v>
      </c>
      <c r="F50" s="124">
        <v>1099</v>
      </c>
      <c r="G50" s="124">
        <v>1099</v>
      </c>
      <c r="H50" s="125">
        <v>1099</v>
      </c>
      <c r="I50" s="125">
        <v>1099</v>
      </c>
      <c r="J50" s="109">
        <v>1049</v>
      </c>
      <c r="K50" s="109">
        <v>1049</v>
      </c>
      <c r="L50" s="109">
        <v>1049</v>
      </c>
      <c r="M50" s="125">
        <v>1049</v>
      </c>
      <c r="N50" s="125">
        <v>1049</v>
      </c>
      <c r="O50" s="109">
        <v>999</v>
      </c>
      <c r="P50" s="109">
        <v>899</v>
      </c>
      <c r="Q50" s="109">
        <v>699</v>
      </c>
      <c r="R50" s="125">
        <v>999</v>
      </c>
      <c r="S50" s="125">
        <v>899</v>
      </c>
      <c r="T50" s="125">
        <v>699</v>
      </c>
      <c r="U50" s="125">
        <v>699</v>
      </c>
      <c r="V50" s="125">
        <v>699</v>
      </c>
      <c r="W50" s="125">
        <v>699</v>
      </c>
      <c r="X50" s="125">
        <v>599</v>
      </c>
      <c r="Y50" s="128">
        <v>599</v>
      </c>
      <c r="Z50" s="128">
        <v>599</v>
      </c>
      <c r="AA50" s="125">
        <v>599</v>
      </c>
      <c r="AB50" s="125"/>
      <c r="AC50" s="125"/>
      <c r="AD50" s="125"/>
      <c r="AE50" s="125"/>
      <c r="AF50" s="125"/>
      <c r="AG50" s="125"/>
      <c r="AH50" s="125"/>
      <c r="AI50" s="125"/>
      <c r="AJ50" s="125"/>
      <c r="AK50" s="125"/>
      <c r="AL50" s="125"/>
      <c r="AM50" s="111" t="s">
        <v>680</v>
      </c>
    </row>
    <row r="51" spans="2:39" ht="15.5">
      <c r="B51" s="123" t="s">
        <v>751</v>
      </c>
      <c r="C51" s="122">
        <v>4016537</v>
      </c>
      <c r="D51" s="129" t="s">
        <v>769</v>
      </c>
      <c r="E51" s="107" t="s">
        <v>770</v>
      </c>
      <c r="F51" s="124">
        <v>1199</v>
      </c>
      <c r="G51" s="124">
        <v>1199</v>
      </c>
      <c r="H51" s="125">
        <v>1199</v>
      </c>
      <c r="I51" s="125">
        <v>1199</v>
      </c>
      <c r="J51" s="125">
        <v>1149</v>
      </c>
      <c r="K51" s="125">
        <v>1149</v>
      </c>
      <c r="L51" s="125">
        <v>1149</v>
      </c>
      <c r="M51" s="125">
        <v>1149</v>
      </c>
      <c r="N51" s="125">
        <v>1149</v>
      </c>
      <c r="O51" s="125">
        <v>1099</v>
      </c>
      <c r="P51" s="125">
        <v>999</v>
      </c>
      <c r="Q51" s="125">
        <v>799</v>
      </c>
      <c r="R51" s="125">
        <v>1099</v>
      </c>
      <c r="S51" s="125">
        <v>999</v>
      </c>
      <c r="T51" s="125">
        <v>799</v>
      </c>
      <c r="U51" s="125">
        <v>799</v>
      </c>
      <c r="V51" s="125">
        <v>799</v>
      </c>
      <c r="W51" s="125">
        <v>799</v>
      </c>
      <c r="X51" s="125">
        <v>799</v>
      </c>
      <c r="Y51" s="128">
        <v>799</v>
      </c>
      <c r="Z51" s="128">
        <v>799</v>
      </c>
      <c r="AA51" s="125">
        <v>799</v>
      </c>
      <c r="AB51" s="125"/>
      <c r="AC51" s="125"/>
      <c r="AD51" s="125"/>
      <c r="AE51" s="125"/>
      <c r="AF51" s="125"/>
      <c r="AG51" s="125"/>
      <c r="AH51" s="125"/>
      <c r="AI51" s="125"/>
      <c r="AJ51" s="125"/>
      <c r="AK51" s="125"/>
      <c r="AL51" s="125"/>
      <c r="AM51" s="111" t="s">
        <v>680</v>
      </c>
    </row>
    <row r="52" spans="2:39" ht="15.5">
      <c r="B52" s="123" t="s">
        <v>751</v>
      </c>
      <c r="C52" s="122">
        <v>4017785</v>
      </c>
      <c r="D52" s="129" t="s">
        <v>771</v>
      </c>
      <c r="E52" s="107" t="s">
        <v>772</v>
      </c>
      <c r="F52" s="124">
        <v>1599</v>
      </c>
      <c r="G52" s="124">
        <v>1599</v>
      </c>
      <c r="H52" s="125">
        <v>1599</v>
      </c>
      <c r="I52" s="125">
        <v>1599</v>
      </c>
      <c r="J52" s="125">
        <v>1549</v>
      </c>
      <c r="K52" s="125">
        <v>1549</v>
      </c>
      <c r="L52" s="125">
        <v>1549</v>
      </c>
      <c r="M52" s="125">
        <v>1549</v>
      </c>
      <c r="N52" s="125">
        <v>1549</v>
      </c>
      <c r="O52" s="125">
        <v>1499</v>
      </c>
      <c r="P52" s="125">
        <v>1399</v>
      </c>
      <c r="Q52" s="125">
        <v>1199</v>
      </c>
      <c r="R52" s="128">
        <v>1499</v>
      </c>
      <c r="S52" s="128">
        <v>1399</v>
      </c>
      <c r="T52" s="125">
        <v>1199</v>
      </c>
      <c r="U52" s="125">
        <v>1199</v>
      </c>
      <c r="V52" s="128">
        <v>1199</v>
      </c>
      <c r="W52" s="128">
        <v>1199</v>
      </c>
      <c r="X52" s="128">
        <v>1099</v>
      </c>
      <c r="Y52" s="128">
        <v>849</v>
      </c>
      <c r="Z52" s="128">
        <v>849</v>
      </c>
      <c r="AA52" s="128">
        <v>849</v>
      </c>
      <c r="AB52" s="142"/>
      <c r="AC52" s="142"/>
      <c r="AD52" s="142"/>
      <c r="AE52" s="142"/>
      <c r="AF52" s="142"/>
      <c r="AG52" s="142"/>
      <c r="AH52" s="142"/>
      <c r="AI52" s="142"/>
      <c r="AJ52" s="142"/>
      <c r="AK52" s="142"/>
      <c r="AL52" s="142"/>
      <c r="AM52" s="111" t="s">
        <v>680</v>
      </c>
    </row>
    <row r="53" spans="2:39" ht="15.5">
      <c r="B53" s="123" t="s">
        <v>751</v>
      </c>
      <c r="C53" s="122">
        <v>4017780</v>
      </c>
      <c r="D53" s="129" t="s">
        <v>773</v>
      </c>
      <c r="E53" s="107" t="s">
        <v>774</v>
      </c>
      <c r="F53" s="124">
        <v>2099</v>
      </c>
      <c r="G53" s="124">
        <v>2099</v>
      </c>
      <c r="H53" s="125">
        <v>2099</v>
      </c>
      <c r="I53" s="125">
        <v>2099</v>
      </c>
      <c r="J53" s="125">
        <v>2049</v>
      </c>
      <c r="K53" s="125">
        <v>2049</v>
      </c>
      <c r="L53" s="125">
        <v>2049</v>
      </c>
      <c r="M53" s="125">
        <v>2049</v>
      </c>
      <c r="N53" s="125">
        <v>2049</v>
      </c>
      <c r="O53" s="125">
        <v>1999</v>
      </c>
      <c r="P53" s="125">
        <v>1899</v>
      </c>
      <c r="Q53" s="125">
        <v>1699</v>
      </c>
      <c r="R53" s="128">
        <v>1999</v>
      </c>
      <c r="S53" s="128">
        <v>1899</v>
      </c>
      <c r="T53" s="125">
        <v>1699</v>
      </c>
      <c r="U53" s="125">
        <v>1699</v>
      </c>
      <c r="V53" s="128">
        <v>1699</v>
      </c>
      <c r="W53" s="128">
        <v>1699</v>
      </c>
      <c r="X53" s="128">
        <v>1599</v>
      </c>
      <c r="Y53" s="128">
        <v>1299</v>
      </c>
      <c r="Z53" s="128">
        <v>1299</v>
      </c>
      <c r="AA53" s="128">
        <v>1249</v>
      </c>
      <c r="AB53" s="142"/>
      <c r="AC53" s="142"/>
      <c r="AD53" s="142"/>
      <c r="AE53" s="142"/>
      <c r="AF53" s="142"/>
      <c r="AG53" s="142"/>
      <c r="AH53" s="142"/>
      <c r="AI53" s="142"/>
      <c r="AJ53" s="142"/>
      <c r="AK53" s="142"/>
      <c r="AL53" s="142"/>
      <c r="AM53" s="111" t="s">
        <v>680</v>
      </c>
    </row>
    <row r="54" spans="2:39" ht="15.5">
      <c r="B54" s="123" t="s">
        <v>751</v>
      </c>
      <c r="C54" s="122">
        <v>4017339</v>
      </c>
      <c r="D54" s="129" t="s">
        <v>775</v>
      </c>
      <c r="E54" s="107" t="s">
        <v>776</v>
      </c>
      <c r="F54" s="124">
        <v>299</v>
      </c>
      <c r="G54" s="124">
        <v>299</v>
      </c>
      <c r="H54" s="125">
        <v>299</v>
      </c>
      <c r="I54" s="125">
        <v>299</v>
      </c>
      <c r="J54" s="125">
        <v>249</v>
      </c>
      <c r="K54" s="125">
        <v>249</v>
      </c>
      <c r="L54" s="125">
        <v>249</v>
      </c>
      <c r="M54" s="125">
        <v>249</v>
      </c>
      <c r="N54" s="125">
        <v>249</v>
      </c>
      <c r="O54" s="125">
        <v>199</v>
      </c>
      <c r="P54" s="125">
        <v>199</v>
      </c>
      <c r="Q54" s="125">
        <v>199</v>
      </c>
      <c r="R54" s="125">
        <v>199</v>
      </c>
      <c r="S54" s="125">
        <v>199</v>
      </c>
      <c r="T54" s="125">
        <v>199</v>
      </c>
      <c r="U54" s="125">
        <v>199</v>
      </c>
      <c r="V54" s="125">
        <v>199</v>
      </c>
      <c r="W54" s="125">
        <v>199</v>
      </c>
      <c r="X54" s="125">
        <v>199</v>
      </c>
      <c r="Y54" s="128">
        <v>199</v>
      </c>
      <c r="Z54" s="128">
        <v>199</v>
      </c>
      <c r="AA54" s="125">
        <v>199</v>
      </c>
      <c r="AB54" s="125"/>
      <c r="AC54" s="125"/>
      <c r="AD54" s="125"/>
      <c r="AE54" s="125"/>
      <c r="AF54" s="125"/>
      <c r="AG54" s="125"/>
      <c r="AH54" s="125"/>
      <c r="AI54" s="125"/>
      <c r="AJ54" s="125"/>
      <c r="AK54" s="125"/>
      <c r="AL54" s="125"/>
      <c r="AM54" s="111" t="s">
        <v>680</v>
      </c>
    </row>
    <row r="55" spans="2:39" ht="15.5">
      <c r="B55" s="123" t="s">
        <v>697</v>
      </c>
      <c r="C55" s="122">
        <v>4017398</v>
      </c>
      <c r="D55" s="129" t="s">
        <v>775</v>
      </c>
      <c r="E55" s="129" t="s">
        <v>777</v>
      </c>
      <c r="F55" s="124">
        <v>299</v>
      </c>
      <c r="G55" s="124">
        <v>299</v>
      </c>
      <c r="H55" s="125">
        <v>299</v>
      </c>
      <c r="I55" s="125">
        <v>299</v>
      </c>
      <c r="J55" s="125">
        <v>249</v>
      </c>
      <c r="K55" s="125">
        <v>249</v>
      </c>
      <c r="L55" s="125">
        <v>249</v>
      </c>
      <c r="M55" s="125">
        <v>249</v>
      </c>
      <c r="N55" s="125">
        <v>249</v>
      </c>
      <c r="O55" s="125">
        <v>199</v>
      </c>
      <c r="P55" s="125">
        <v>199</v>
      </c>
      <c r="Q55" s="125">
        <v>199</v>
      </c>
      <c r="R55" s="125">
        <v>199</v>
      </c>
      <c r="S55" s="125">
        <v>199</v>
      </c>
      <c r="T55" s="125">
        <v>199</v>
      </c>
      <c r="U55" s="125">
        <v>199</v>
      </c>
      <c r="V55" s="125">
        <v>199</v>
      </c>
      <c r="W55" s="125">
        <v>199</v>
      </c>
      <c r="X55" s="125">
        <v>199</v>
      </c>
      <c r="Y55" s="128">
        <v>199</v>
      </c>
      <c r="Z55" s="128">
        <v>199</v>
      </c>
      <c r="AA55" s="125">
        <v>199</v>
      </c>
      <c r="AB55" s="125"/>
      <c r="AC55" s="125"/>
      <c r="AD55" s="125"/>
      <c r="AE55" s="125"/>
      <c r="AF55" s="125"/>
      <c r="AG55" s="125"/>
      <c r="AH55" s="125"/>
      <c r="AI55" s="125"/>
      <c r="AJ55" s="125"/>
      <c r="AK55" s="125"/>
      <c r="AL55" s="125"/>
      <c r="AM55" s="111" t="s">
        <v>680</v>
      </c>
    </row>
    <row r="56" spans="2:39" ht="15.5">
      <c r="B56" s="123" t="s">
        <v>751</v>
      </c>
      <c r="C56" s="122">
        <v>4016523</v>
      </c>
      <c r="D56" s="129" t="s">
        <v>778</v>
      </c>
      <c r="E56" s="107" t="s">
        <v>779</v>
      </c>
      <c r="F56" s="124">
        <v>199</v>
      </c>
      <c r="G56" s="124">
        <v>199</v>
      </c>
      <c r="H56" s="125">
        <v>199</v>
      </c>
      <c r="I56" s="125">
        <v>199</v>
      </c>
      <c r="J56" s="109">
        <v>149</v>
      </c>
      <c r="K56" s="109">
        <v>149</v>
      </c>
      <c r="L56" s="109">
        <v>149</v>
      </c>
      <c r="M56" s="125">
        <v>149</v>
      </c>
      <c r="N56" s="125">
        <v>149</v>
      </c>
      <c r="O56" s="109">
        <v>99</v>
      </c>
      <c r="P56" s="109">
        <v>99</v>
      </c>
      <c r="Q56" s="109">
        <v>99</v>
      </c>
      <c r="R56" s="128">
        <v>99</v>
      </c>
      <c r="S56" s="128">
        <v>99</v>
      </c>
      <c r="T56" s="125">
        <v>99</v>
      </c>
      <c r="U56" s="125">
        <v>99</v>
      </c>
      <c r="V56" s="128">
        <v>99</v>
      </c>
      <c r="W56" s="128">
        <v>99</v>
      </c>
      <c r="X56" s="128">
        <v>99</v>
      </c>
      <c r="Y56" s="128">
        <v>99</v>
      </c>
      <c r="Z56" s="128">
        <v>99</v>
      </c>
      <c r="AA56" s="128">
        <v>99</v>
      </c>
      <c r="AB56" s="142"/>
      <c r="AC56" s="142"/>
      <c r="AD56" s="142"/>
      <c r="AE56" s="142"/>
      <c r="AF56" s="142"/>
      <c r="AG56" s="142"/>
      <c r="AH56" s="142"/>
      <c r="AI56" s="142"/>
      <c r="AJ56" s="142"/>
      <c r="AK56" s="142"/>
      <c r="AL56" s="142"/>
      <c r="AM56" s="111" t="s">
        <v>680</v>
      </c>
    </row>
    <row r="57" spans="2:39" ht="15" customHeight="1">
      <c r="B57" s="123" t="s">
        <v>751</v>
      </c>
      <c r="C57" s="122">
        <v>4017661</v>
      </c>
      <c r="D57" s="127" t="s">
        <v>780</v>
      </c>
      <c r="E57" s="107" t="s">
        <v>781</v>
      </c>
      <c r="F57" s="124">
        <v>999</v>
      </c>
      <c r="G57" s="124">
        <v>299</v>
      </c>
      <c r="H57" s="125">
        <v>999</v>
      </c>
      <c r="I57" s="125">
        <v>999</v>
      </c>
      <c r="J57" s="125">
        <v>949</v>
      </c>
      <c r="K57" s="125">
        <v>949</v>
      </c>
      <c r="L57" s="125">
        <v>949</v>
      </c>
      <c r="M57" s="125">
        <v>949</v>
      </c>
      <c r="N57" s="125">
        <v>949</v>
      </c>
      <c r="O57" s="125">
        <v>899</v>
      </c>
      <c r="P57" s="125">
        <v>899</v>
      </c>
      <c r="Q57" s="125">
        <v>299</v>
      </c>
      <c r="R57" s="125">
        <v>899</v>
      </c>
      <c r="S57" s="125">
        <v>899</v>
      </c>
      <c r="T57" s="125">
        <v>299</v>
      </c>
      <c r="U57" s="125">
        <v>299</v>
      </c>
      <c r="V57" s="125">
        <v>299</v>
      </c>
      <c r="W57" s="125">
        <v>299</v>
      </c>
      <c r="X57" s="125">
        <v>299</v>
      </c>
      <c r="Y57" s="128">
        <v>299</v>
      </c>
      <c r="Z57" s="128">
        <v>299</v>
      </c>
      <c r="AA57" s="125">
        <v>299</v>
      </c>
      <c r="AB57" s="125"/>
      <c r="AC57" s="125"/>
      <c r="AD57" s="125"/>
      <c r="AE57" s="125"/>
      <c r="AF57" s="125"/>
      <c r="AG57" s="125"/>
      <c r="AH57" s="125"/>
      <c r="AI57" s="125"/>
      <c r="AJ57" s="125"/>
      <c r="AK57" s="125"/>
      <c r="AL57" s="125"/>
      <c r="AM57" s="111" t="s">
        <v>680</v>
      </c>
    </row>
    <row r="58" spans="2:39" ht="15.5">
      <c r="B58" s="123" t="s">
        <v>751</v>
      </c>
      <c r="C58" s="122">
        <v>4016484</v>
      </c>
      <c r="D58" s="127" t="s">
        <v>782</v>
      </c>
      <c r="E58" s="107" t="s">
        <v>783</v>
      </c>
      <c r="F58" s="124">
        <v>799</v>
      </c>
      <c r="G58" s="124">
        <v>249</v>
      </c>
      <c r="H58" s="125">
        <v>799</v>
      </c>
      <c r="I58" s="125">
        <v>799</v>
      </c>
      <c r="J58" s="125">
        <v>749</v>
      </c>
      <c r="K58" s="125">
        <v>749</v>
      </c>
      <c r="L58" s="125">
        <v>749</v>
      </c>
      <c r="M58" s="125">
        <v>749</v>
      </c>
      <c r="N58" s="125">
        <v>749</v>
      </c>
      <c r="O58" s="125">
        <v>699</v>
      </c>
      <c r="P58" s="125">
        <v>699</v>
      </c>
      <c r="Q58" s="125">
        <v>249</v>
      </c>
      <c r="R58" s="125">
        <v>699</v>
      </c>
      <c r="S58" s="125">
        <v>699</v>
      </c>
      <c r="T58" s="125">
        <v>249</v>
      </c>
      <c r="U58" s="125">
        <v>249</v>
      </c>
      <c r="V58" s="125">
        <v>249</v>
      </c>
      <c r="W58" s="125">
        <v>249</v>
      </c>
      <c r="X58" s="125">
        <v>249</v>
      </c>
      <c r="Y58" s="128">
        <v>249</v>
      </c>
      <c r="Z58" s="128">
        <v>249</v>
      </c>
      <c r="AA58" s="125">
        <v>249</v>
      </c>
      <c r="AB58" s="125"/>
      <c r="AC58" s="125"/>
      <c r="AD58" s="125"/>
      <c r="AE58" s="125"/>
      <c r="AF58" s="125"/>
      <c r="AG58" s="125"/>
      <c r="AH58" s="125"/>
      <c r="AI58" s="125"/>
      <c r="AJ58" s="125"/>
      <c r="AK58" s="125"/>
      <c r="AL58" s="125"/>
      <c r="AM58" s="111" t="s">
        <v>680</v>
      </c>
    </row>
    <row r="59" spans="2:39" ht="15.5">
      <c r="B59" s="123" t="s">
        <v>751</v>
      </c>
      <c r="C59" s="122">
        <v>4016483</v>
      </c>
      <c r="D59" s="127" t="s">
        <v>784</v>
      </c>
      <c r="E59" s="107" t="s">
        <v>785</v>
      </c>
      <c r="F59" s="124">
        <v>699</v>
      </c>
      <c r="G59" s="124">
        <v>199</v>
      </c>
      <c r="H59" s="125">
        <v>699</v>
      </c>
      <c r="I59" s="125">
        <v>699</v>
      </c>
      <c r="J59" s="125">
        <v>649</v>
      </c>
      <c r="K59" s="125">
        <v>649</v>
      </c>
      <c r="L59" s="125">
        <v>649</v>
      </c>
      <c r="M59" s="125">
        <v>649</v>
      </c>
      <c r="N59" s="125">
        <v>649</v>
      </c>
      <c r="O59" s="125">
        <v>599</v>
      </c>
      <c r="P59" s="125">
        <v>599</v>
      </c>
      <c r="Q59" s="125">
        <v>199</v>
      </c>
      <c r="R59" s="125">
        <v>599</v>
      </c>
      <c r="S59" s="125">
        <v>599</v>
      </c>
      <c r="T59" s="125">
        <v>199</v>
      </c>
      <c r="U59" s="125">
        <v>199</v>
      </c>
      <c r="V59" s="125">
        <v>199</v>
      </c>
      <c r="W59" s="125">
        <v>199</v>
      </c>
      <c r="X59" s="125">
        <v>199</v>
      </c>
      <c r="Y59" s="128">
        <v>199</v>
      </c>
      <c r="Z59" s="128">
        <v>199</v>
      </c>
      <c r="AA59" s="125">
        <v>199</v>
      </c>
      <c r="AB59" s="125"/>
      <c r="AC59" s="125"/>
      <c r="AD59" s="125"/>
      <c r="AE59" s="125"/>
      <c r="AF59" s="125"/>
      <c r="AG59" s="125"/>
      <c r="AH59" s="125"/>
      <c r="AI59" s="125"/>
      <c r="AJ59" s="125"/>
      <c r="AK59" s="125"/>
      <c r="AL59" s="125"/>
      <c r="AM59" s="111" t="s">
        <v>680</v>
      </c>
    </row>
    <row r="60" spans="2:39" ht="15.5">
      <c r="B60" s="123" t="s">
        <v>751</v>
      </c>
      <c r="C60" s="122">
        <v>4016310</v>
      </c>
      <c r="D60" s="129" t="s">
        <v>786</v>
      </c>
      <c r="E60" s="107" t="s">
        <v>787</v>
      </c>
      <c r="F60" s="124">
        <v>399</v>
      </c>
      <c r="G60" s="124">
        <v>399</v>
      </c>
      <c r="H60" s="125">
        <v>399</v>
      </c>
      <c r="I60" s="125">
        <v>399</v>
      </c>
      <c r="J60" s="125">
        <v>349</v>
      </c>
      <c r="K60" s="125">
        <v>349</v>
      </c>
      <c r="L60" s="125">
        <v>349</v>
      </c>
      <c r="M60" s="125">
        <v>349</v>
      </c>
      <c r="N60" s="125">
        <v>349</v>
      </c>
      <c r="O60" s="125">
        <v>299</v>
      </c>
      <c r="P60" s="125">
        <v>299</v>
      </c>
      <c r="Q60" s="125">
        <v>249</v>
      </c>
      <c r="R60" s="128">
        <v>299</v>
      </c>
      <c r="S60" s="128">
        <v>249</v>
      </c>
      <c r="T60" s="125">
        <v>249</v>
      </c>
      <c r="U60" s="125">
        <v>249</v>
      </c>
      <c r="V60" s="128">
        <v>249</v>
      </c>
      <c r="W60" s="128">
        <v>249</v>
      </c>
      <c r="X60" s="128">
        <v>249</v>
      </c>
      <c r="Y60" s="128">
        <v>249</v>
      </c>
      <c r="Z60" s="128">
        <v>249</v>
      </c>
      <c r="AA60" s="128">
        <v>249</v>
      </c>
      <c r="AB60" s="128"/>
      <c r="AC60" s="128"/>
      <c r="AD60" s="128"/>
      <c r="AE60" s="128"/>
      <c r="AF60" s="128"/>
      <c r="AG60" s="128"/>
      <c r="AH60" s="128"/>
      <c r="AI60" s="128"/>
      <c r="AJ60" s="128"/>
      <c r="AK60" s="128"/>
      <c r="AL60" s="128"/>
      <c r="AM60" s="111" t="s">
        <v>680</v>
      </c>
    </row>
    <row r="61" spans="2:39" ht="15.5">
      <c r="B61" s="123" t="s">
        <v>751</v>
      </c>
      <c r="C61" s="122">
        <v>4016311</v>
      </c>
      <c r="D61" s="129" t="s">
        <v>786</v>
      </c>
      <c r="E61" s="107" t="s">
        <v>788</v>
      </c>
      <c r="F61" s="124">
        <v>399</v>
      </c>
      <c r="G61" s="124">
        <v>399</v>
      </c>
      <c r="H61" s="125">
        <v>399</v>
      </c>
      <c r="I61" s="125">
        <v>399</v>
      </c>
      <c r="J61" s="125">
        <v>349</v>
      </c>
      <c r="K61" s="125">
        <v>349</v>
      </c>
      <c r="L61" s="125">
        <v>349</v>
      </c>
      <c r="M61" s="125">
        <v>349</v>
      </c>
      <c r="N61" s="125">
        <v>349</v>
      </c>
      <c r="O61" s="125">
        <v>299</v>
      </c>
      <c r="P61" s="125">
        <v>299</v>
      </c>
      <c r="Q61" s="125">
        <v>249</v>
      </c>
      <c r="R61" s="128">
        <v>299</v>
      </c>
      <c r="S61" s="128">
        <v>249</v>
      </c>
      <c r="T61" s="125">
        <v>249</v>
      </c>
      <c r="U61" s="125">
        <v>249</v>
      </c>
      <c r="V61" s="128">
        <v>249</v>
      </c>
      <c r="W61" s="128">
        <v>249</v>
      </c>
      <c r="X61" s="128">
        <v>249</v>
      </c>
      <c r="Y61" s="128">
        <v>249</v>
      </c>
      <c r="Z61" s="128">
        <v>249</v>
      </c>
      <c r="AA61" s="128">
        <v>249</v>
      </c>
      <c r="AB61" s="128"/>
      <c r="AC61" s="128"/>
      <c r="AD61" s="128"/>
      <c r="AE61" s="128"/>
      <c r="AF61" s="128"/>
      <c r="AG61" s="128"/>
      <c r="AH61" s="128"/>
      <c r="AI61" s="128"/>
      <c r="AJ61" s="128"/>
      <c r="AK61" s="128"/>
      <c r="AL61" s="128"/>
      <c r="AM61" s="111" t="s">
        <v>680</v>
      </c>
    </row>
    <row r="62" spans="2:39" ht="15.5">
      <c r="B62" s="123" t="s">
        <v>684</v>
      </c>
      <c r="C62" s="122">
        <v>4016544</v>
      </c>
      <c r="D62" s="129" t="s">
        <v>789</v>
      </c>
      <c r="E62" s="107" t="s">
        <v>790</v>
      </c>
      <c r="F62" s="124">
        <v>199</v>
      </c>
      <c r="G62" s="124">
        <v>199</v>
      </c>
      <c r="H62" s="125">
        <v>199</v>
      </c>
      <c r="I62" s="125">
        <v>199</v>
      </c>
      <c r="J62" s="125">
        <v>99</v>
      </c>
      <c r="K62" s="125">
        <v>99</v>
      </c>
      <c r="L62" s="125">
        <v>99</v>
      </c>
      <c r="M62" s="125">
        <v>99</v>
      </c>
      <c r="N62" s="125">
        <v>99</v>
      </c>
      <c r="O62" s="125">
        <v>99</v>
      </c>
      <c r="P62" s="125">
        <v>99</v>
      </c>
      <c r="Q62" s="125">
        <v>99</v>
      </c>
      <c r="R62" s="128">
        <v>99</v>
      </c>
      <c r="S62" s="128">
        <v>99</v>
      </c>
      <c r="T62" s="125">
        <v>99</v>
      </c>
      <c r="U62" s="125">
        <v>99</v>
      </c>
      <c r="V62" s="128">
        <v>99</v>
      </c>
      <c r="W62" s="128">
        <v>99</v>
      </c>
      <c r="X62" s="128">
        <v>99</v>
      </c>
      <c r="Y62" s="128">
        <v>99</v>
      </c>
      <c r="Z62" s="128">
        <v>99</v>
      </c>
      <c r="AA62" s="128">
        <v>99</v>
      </c>
      <c r="AB62" s="128"/>
      <c r="AC62" s="128"/>
      <c r="AD62" s="128"/>
      <c r="AE62" s="128"/>
      <c r="AF62" s="128"/>
      <c r="AG62" s="128"/>
      <c r="AH62" s="128"/>
      <c r="AI62" s="128"/>
      <c r="AJ62" s="128"/>
      <c r="AK62" s="128"/>
      <c r="AL62" s="128"/>
      <c r="AM62" s="111" t="s">
        <v>680</v>
      </c>
    </row>
    <row r="63" spans="2:39" ht="15.5">
      <c r="B63" s="123" t="s">
        <v>744</v>
      </c>
      <c r="C63" s="122">
        <v>4016406</v>
      </c>
      <c r="D63" s="129" t="s">
        <v>791</v>
      </c>
      <c r="E63" s="107" t="s">
        <v>792</v>
      </c>
      <c r="F63" s="124">
        <v>599</v>
      </c>
      <c r="G63" s="124">
        <v>799</v>
      </c>
      <c r="H63" s="125">
        <v>599</v>
      </c>
      <c r="I63" s="125">
        <v>599</v>
      </c>
      <c r="J63" s="109">
        <v>549</v>
      </c>
      <c r="K63" s="109">
        <v>549</v>
      </c>
      <c r="L63" s="109">
        <v>549</v>
      </c>
      <c r="M63" s="125">
        <v>549</v>
      </c>
      <c r="N63" s="125">
        <v>549</v>
      </c>
      <c r="O63" s="109">
        <v>499</v>
      </c>
      <c r="P63" s="109">
        <v>399</v>
      </c>
      <c r="Q63" s="109">
        <v>349</v>
      </c>
      <c r="R63" s="125">
        <v>499</v>
      </c>
      <c r="S63" s="125">
        <v>399</v>
      </c>
      <c r="T63" s="125">
        <v>349</v>
      </c>
      <c r="U63" s="125">
        <v>349</v>
      </c>
      <c r="V63" s="125">
        <v>349</v>
      </c>
      <c r="W63" s="125">
        <v>349</v>
      </c>
      <c r="X63" s="125">
        <v>349</v>
      </c>
      <c r="Y63" s="128">
        <v>349</v>
      </c>
      <c r="Z63" s="128">
        <v>349</v>
      </c>
      <c r="AA63" s="125">
        <v>349</v>
      </c>
      <c r="AB63" s="125"/>
      <c r="AC63" s="125"/>
      <c r="AD63" s="125"/>
      <c r="AE63" s="125"/>
      <c r="AF63" s="125"/>
      <c r="AG63" s="125"/>
      <c r="AH63" s="125"/>
      <c r="AI63" s="125"/>
      <c r="AJ63" s="125"/>
      <c r="AK63" s="125"/>
      <c r="AL63" s="125"/>
      <c r="AM63" s="111" t="s">
        <v>680</v>
      </c>
    </row>
    <row r="64" spans="2:39" ht="15.5">
      <c r="B64" s="123" t="s">
        <v>744</v>
      </c>
      <c r="C64" s="122">
        <v>4016403</v>
      </c>
      <c r="D64" s="129" t="s">
        <v>791</v>
      </c>
      <c r="E64" s="107" t="s">
        <v>793</v>
      </c>
      <c r="F64" s="124">
        <v>599</v>
      </c>
      <c r="G64" s="124">
        <v>799</v>
      </c>
      <c r="H64" s="125">
        <v>599</v>
      </c>
      <c r="I64" s="125">
        <v>599</v>
      </c>
      <c r="J64" s="109">
        <v>549</v>
      </c>
      <c r="K64" s="109">
        <v>549</v>
      </c>
      <c r="L64" s="109">
        <v>549</v>
      </c>
      <c r="M64" s="125">
        <v>549</v>
      </c>
      <c r="N64" s="125">
        <v>549</v>
      </c>
      <c r="O64" s="109">
        <v>499</v>
      </c>
      <c r="P64" s="109">
        <v>399</v>
      </c>
      <c r="Q64" s="109">
        <v>349</v>
      </c>
      <c r="R64" s="125">
        <v>499</v>
      </c>
      <c r="S64" s="125">
        <v>399</v>
      </c>
      <c r="T64" s="125">
        <v>349</v>
      </c>
      <c r="U64" s="125">
        <v>349</v>
      </c>
      <c r="V64" s="125">
        <v>349</v>
      </c>
      <c r="W64" s="125">
        <v>349</v>
      </c>
      <c r="X64" s="125">
        <v>349</v>
      </c>
      <c r="Y64" s="128">
        <v>349</v>
      </c>
      <c r="Z64" s="128">
        <v>349</v>
      </c>
      <c r="AA64" s="125">
        <v>349</v>
      </c>
      <c r="AB64" s="125"/>
      <c r="AC64" s="125"/>
      <c r="AD64" s="125"/>
      <c r="AE64" s="125"/>
      <c r="AF64" s="125"/>
      <c r="AG64" s="125"/>
      <c r="AH64" s="125"/>
      <c r="AI64" s="125"/>
      <c r="AJ64" s="125"/>
      <c r="AK64" s="125"/>
      <c r="AL64" s="125"/>
      <c r="AM64" s="111" t="s">
        <v>680</v>
      </c>
    </row>
    <row r="65" spans="2:39" ht="15.5">
      <c r="B65" s="123" t="s">
        <v>751</v>
      </c>
      <c r="C65" s="122">
        <v>4016367</v>
      </c>
      <c r="D65" s="143" t="s">
        <v>794</v>
      </c>
      <c r="E65" s="107" t="s">
        <v>795</v>
      </c>
      <c r="F65" s="139">
        <v>579</v>
      </c>
      <c r="G65" s="138">
        <v>99</v>
      </c>
      <c r="H65" s="139">
        <v>579</v>
      </c>
      <c r="I65" s="139">
        <v>579</v>
      </c>
      <c r="J65" s="117">
        <v>529</v>
      </c>
      <c r="K65" s="117">
        <v>529</v>
      </c>
      <c r="L65" s="117">
        <v>529</v>
      </c>
      <c r="M65" s="139">
        <v>529</v>
      </c>
      <c r="N65" s="139">
        <v>529</v>
      </c>
      <c r="O65" s="117">
        <v>479</v>
      </c>
      <c r="P65" s="117">
        <v>479</v>
      </c>
      <c r="Q65" s="117">
        <v>99</v>
      </c>
      <c r="R65" s="116">
        <v>479</v>
      </c>
      <c r="S65" s="144">
        <v>479</v>
      </c>
      <c r="T65" s="139">
        <v>99</v>
      </c>
      <c r="U65" s="139">
        <v>99</v>
      </c>
      <c r="V65" s="144">
        <v>99</v>
      </c>
      <c r="W65" s="144">
        <v>99</v>
      </c>
      <c r="X65" s="144">
        <v>99</v>
      </c>
      <c r="Y65" s="144">
        <v>99</v>
      </c>
      <c r="Z65" s="144">
        <v>99</v>
      </c>
      <c r="AA65" s="144">
        <v>99</v>
      </c>
      <c r="AB65" s="128"/>
      <c r="AC65" s="128"/>
      <c r="AD65" s="128"/>
      <c r="AE65" s="128"/>
      <c r="AF65" s="128"/>
      <c r="AG65" s="128"/>
      <c r="AH65" s="128"/>
      <c r="AI65" s="128"/>
      <c r="AJ65" s="128"/>
      <c r="AK65" s="128"/>
      <c r="AL65" s="128"/>
      <c r="AM65" s="111" t="s">
        <v>680</v>
      </c>
    </row>
    <row r="66" spans="2:39" ht="15.5">
      <c r="B66" s="123" t="s">
        <v>697</v>
      </c>
      <c r="C66" s="122">
        <v>4016410</v>
      </c>
      <c r="D66" s="129" t="s">
        <v>796</v>
      </c>
      <c r="E66" s="107" t="s">
        <v>797</v>
      </c>
      <c r="F66" s="124">
        <v>2999</v>
      </c>
      <c r="G66" s="124">
        <v>2199</v>
      </c>
      <c r="H66" s="125">
        <v>2999</v>
      </c>
      <c r="I66" s="125">
        <v>2999</v>
      </c>
      <c r="J66" s="109">
        <v>2949</v>
      </c>
      <c r="K66" s="109">
        <v>2949</v>
      </c>
      <c r="L66" s="109">
        <v>2949</v>
      </c>
      <c r="M66" s="125">
        <v>2949</v>
      </c>
      <c r="N66" s="125">
        <v>2949</v>
      </c>
      <c r="O66" s="109">
        <v>2899</v>
      </c>
      <c r="P66" s="109">
        <v>2799</v>
      </c>
      <c r="Q66" s="109">
        <v>2599</v>
      </c>
      <c r="R66" s="125">
        <v>2899</v>
      </c>
      <c r="S66" s="125">
        <v>2799</v>
      </c>
      <c r="T66" s="109">
        <v>2599</v>
      </c>
      <c r="U66" s="125">
        <v>2599</v>
      </c>
      <c r="V66" s="125">
        <v>2599</v>
      </c>
      <c r="W66" s="125">
        <v>2599</v>
      </c>
      <c r="X66" s="125">
        <v>2499</v>
      </c>
      <c r="Y66" s="128">
        <v>2199</v>
      </c>
      <c r="Z66" s="128">
        <v>2199</v>
      </c>
      <c r="AA66" s="128">
        <v>2149</v>
      </c>
      <c r="AB66" s="128"/>
      <c r="AC66" s="128"/>
      <c r="AD66" s="128"/>
      <c r="AE66" s="128"/>
      <c r="AF66" s="128"/>
      <c r="AG66" s="128"/>
      <c r="AH66" s="128"/>
      <c r="AI66" s="128"/>
      <c r="AJ66" s="128"/>
      <c r="AK66" s="128"/>
      <c r="AL66" s="128"/>
      <c r="AM66" s="111" t="s">
        <v>680</v>
      </c>
    </row>
    <row r="67" spans="2:39" ht="15.5">
      <c r="B67" s="121" t="s">
        <v>684</v>
      </c>
      <c r="C67" s="122">
        <v>4015498</v>
      </c>
      <c r="D67" s="123" t="s">
        <v>798</v>
      </c>
      <c r="E67" s="107" t="s">
        <v>799</v>
      </c>
      <c r="F67" s="124">
        <v>149</v>
      </c>
      <c r="G67" s="124">
        <v>199</v>
      </c>
      <c r="H67" s="125">
        <v>0</v>
      </c>
      <c r="I67" s="125">
        <v>0</v>
      </c>
      <c r="J67" s="109">
        <v>0</v>
      </c>
      <c r="K67" s="109">
        <v>0</v>
      </c>
      <c r="L67" s="109">
        <v>0</v>
      </c>
      <c r="M67" s="126">
        <v>0</v>
      </c>
      <c r="N67" s="126">
        <v>0</v>
      </c>
      <c r="O67" s="109">
        <v>0</v>
      </c>
      <c r="P67" s="109">
        <v>0</v>
      </c>
      <c r="Q67" s="109">
        <v>0</v>
      </c>
      <c r="R67" s="126">
        <v>0</v>
      </c>
      <c r="S67" s="126">
        <v>0</v>
      </c>
      <c r="T67" s="126">
        <v>0</v>
      </c>
      <c r="U67" s="126">
        <v>0</v>
      </c>
      <c r="V67" s="126">
        <v>0</v>
      </c>
      <c r="W67" s="126">
        <v>0</v>
      </c>
      <c r="X67" s="126">
        <v>0</v>
      </c>
      <c r="Y67" s="126">
        <v>0</v>
      </c>
      <c r="Z67" s="126">
        <v>0</v>
      </c>
      <c r="AA67" s="126">
        <v>0</v>
      </c>
      <c r="AB67" s="126"/>
      <c r="AC67" s="126"/>
      <c r="AD67" s="126"/>
      <c r="AE67" s="126"/>
      <c r="AF67" s="126"/>
      <c r="AG67" s="126"/>
      <c r="AH67" s="126"/>
      <c r="AI67" s="126"/>
      <c r="AJ67" s="126"/>
      <c r="AK67" s="126"/>
      <c r="AL67" s="126"/>
      <c r="AM67" s="111" t="s">
        <v>680</v>
      </c>
    </row>
    <row r="68" spans="2:39" ht="15.5">
      <c r="B68" s="123" t="s">
        <v>751</v>
      </c>
      <c r="C68" s="122">
        <v>4017807</v>
      </c>
      <c r="D68" s="127" t="s">
        <v>800</v>
      </c>
      <c r="E68" s="107" t="s">
        <v>801</v>
      </c>
      <c r="F68" s="124">
        <v>679</v>
      </c>
      <c r="G68" s="124">
        <v>149</v>
      </c>
      <c r="H68" s="125">
        <v>679</v>
      </c>
      <c r="I68" s="125">
        <v>679</v>
      </c>
      <c r="J68" s="109">
        <v>629</v>
      </c>
      <c r="K68" s="109">
        <v>629</v>
      </c>
      <c r="L68" s="109">
        <v>629</v>
      </c>
      <c r="M68" s="125">
        <v>629</v>
      </c>
      <c r="N68" s="125">
        <v>629</v>
      </c>
      <c r="O68" s="109">
        <v>579</v>
      </c>
      <c r="P68" s="109">
        <v>579</v>
      </c>
      <c r="Q68" s="109">
        <v>149</v>
      </c>
      <c r="R68" s="125">
        <v>579</v>
      </c>
      <c r="S68" s="125">
        <v>579</v>
      </c>
      <c r="T68" s="125">
        <v>149</v>
      </c>
      <c r="U68" s="125">
        <v>149</v>
      </c>
      <c r="V68" s="125">
        <v>149</v>
      </c>
      <c r="W68" s="125">
        <v>149</v>
      </c>
      <c r="X68" s="125">
        <v>149</v>
      </c>
      <c r="Y68" s="128">
        <v>149</v>
      </c>
      <c r="Z68" s="128">
        <v>149</v>
      </c>
      <c r="AA68" s="125">
        <v>149</v>
      </c>
      <c r="AB68" s="125"/>
      <c r="AC68" s="125"/>
      <c r="AD68" s="125"/>
      <c r="AE68" s="125"/>
      <c r="AF68" s="125"/>
      <c r="AG68" s="125"/>
      <c r="AH68" s="125"/>
      <c r="AI68" s="125"/>
      <c r="AJ68" s="125"/>
      <c r="AK68" s="125"/>
      <c r="AL68" s="125"/>
      <c r="AM68" s="111" t="s">
        <v>680</v>
      </c>
    </row>
    <row r="69" spans="2:39" ht="15.5">
      <c r="B69" s="121" t="s">
        <v>684</v>
      </c>
      <c r="C69" s="122">
        <v>4016014</v>
      </c>
      <c r="D69" s="123" t="s">
        <v>802</v>
      </c>
      <c r="E69" s="107" t="s">
        <v>803</v>
      </c>
      <c r="F69" s="124">
        <v>399</v>
      </c>
      <c r="G69" s="124">
        <v>399</v>
      </c>
      <c r="H69" s="125">
        <v>399</v>
      </c>
      <c r="I69" s="125">
        <v>399</v>
      </c>
      <c r="J69" s="109">
        <v>349</v>
      </c>
      <c r="K69" s="109">
        <v>349</v>
      </c>
      <c r="L69" s="109">
        <v>349</v>
      </c>
      <c r="M69" s="126">
        <v>349</v>
      </c>
      <c r="N69" s="126">
        <v>349</v>
      </c>
      <c r="O69" s="109">
        <v>299</v>
      </c>
      <c r="P69" s="109">
        <v>299</v>
      </c>
      <c r="Q69" s="109">
        <v>249</v>
      </c>
      <c r="R69" s="126">
        <v>299</v>
      </c>
      <c r="S69" s="126">
        <v>249</v>
      </c>
      <c r="T69" s="126">
        <v>249</v>
      </c>
      <c r="U69" s="126">
        <v>249</v>
      </c>
      <c r="V69" s="126">
        <v>249</v>
      </c>
      <c r="W69" s="126">
        <v>249</v>
      </c>
      <c r="X69" s="126">
        <v>249</v>
      </c>
      <c r="Y69" s="126">
        <v>249</v>
      </c>
      <c r="Z69" s="126">
        <v>249</v>
      </c>
      <c r="AA69" s="126">
        <v>249</v>
      </c>
      <c r="AB69" s="126"/>
      <c r="AC69" s="126"/>
      <c r="AD69" s="126"/>
      <c r="AE69" s="126"/>
      <c r="AF69" s="126"/>
      <c r="AG69" s="126"/>
      <c r="AH69" s="126"/>
      <c r="AI69" s="126"/>
      <c r="AJ69" s="126"/>
      <c r="AK69" s="126"/>
      <c r="AL69" s="126"/>
      <c r="AM69" s="111" t="s">
        <v>680</v>
      </c>
    </row>
    <row r="70" spans="2:39" ht="15.5">
      <c r="B70" s="123" t="s">
        <v>751</v>
      </c>
      <c r="C70" s="122">
        <v>4017808</v>
      </c>
      <c r="D70" s="127" t="s">
        <v>804</v>
      </c>
      <c r="E70" s="107" t="s">
        <v>805</v>
      </c>
      <c r="F70" s="124">
        <v>899</v>
      </c>
      <c r="G70" s="124">
        <v>249</v>
      </c>
      <c r="H70" s="125">
        <v>899</v>
      </c>
      <c r="I70" s="125">
        <v>899</v>
      </c>
      <c r="J70" s="125">
        <v>849</v>
      </c>
      <c r="K70" s="125">
        <v>849</v>
      </c>
      <c r="L70" s="125">
        <v>849</v>
      </c>
      <c r="M70" s="125">
        <v>849</v>
      </c>
      <c r="N70" s="125">
        <v>849</v>
      </c>
      <c r="O70" s="125">
        <v>799</v>
      </c>
      <c r="P70" s="125">
        <v>799</v>
      </c>
      <c r="Q70" s="125">
        <v>249</v>
      </c>
      <c r="R70" s="125">
        <v>799</v>
      </c>
      <c r="S70" s="125">
        <v>799</v>
      </c>
      <c r="T70" s="125">
        <v>249</v>
      </c>
      <c r="U70" s="125">
        <v>249</v>
      </c>
      <c r="V70" s="125">
        <v>249</v>
      </c>
      <c r="W70" s="125">
        <v>249</v>
      </c>
      <c r="X70" s="125">
        <v>249</v>
      </c>
      <c r="Y70" s="128">
        <v>249</v>
      </c>
      <c r="Z70" s="128">
        <v>249</v>
      </c>
      <c r="AA70" s="125">
        <v>249</v>
      </c>
      <c r="AB70" s="125"/>
      <c r="AC70" s="125"/>
      <c r="AD70" s="125"/>
      <c r="AE70" s="125"/>
      <c r="AF70" s="125"/>
      <c r="AG70" s="125"/>
      <c r="AH70" s="125"/>
      <c r="AI70" s="125"/>
      <c r="AJ70" s="125"/>
      <c r="AK70" s="125"/>
      <c r="AL70" s="125"/>
      <c r="AM70" s="111" t="s">
        <v>680</v>
      </c>
    </row>
    <row r="71" spans="2:39" ht="15.5">
      <c r="B71" s="121" t="s">
        <v>681</v>
      </c>
      <c r="C71" s="122">
        <v>4016400</v>
      </c>
      <c r="D71" s="145" t="s">
        <v>806</v>
      </c>
      <c r="E71" s="107" t="s">
        <v>807</v>
      </c>
      <c r="F71" s="124">
        <v>299</v>
      </c>
      <c r="G71" s="124">
        <v>299</v>
      </c>
      <c r="H71" s="125">
        <v>299</v>
      </c>
      <c r="I71" s="125">
        <v>299</v>
      </c>
      <c r="J71" s="109">
        <v>249</v>
      </c>
      <c r="K71" s="109">
        <v>249</v>
      </c>
      <c r="L71" s="109">
        <v>249</v>
      </c>
      <c r="M71" s="114">
        <v>249</v>
      </c>
      <c r="N71" s="114">
        <v>249</v>
      </c>
      <c r="O71" s="109">
        <v>199</v>
      </c>
      <c r="P71" s="109">
        <v>199</v>
      </c>
      <c r="Q71" s="109">
        <v>199</v>
      </c>
      <c r="R71" s="114">
        <v>199</v>
      </c>
      <c r="S71" s="114">
        <v>199</v>
      </c>
      <c r="T71" s="114">
        <v>199</v>
      </c>
      <c r="U71" s="114">
        <v>199</v>
      </c>
      <c r="V71" s="114">
        <v>199</v>
      </c>
      <c r="W71" s="114">
        <v>199</v>
      </c>
      <c r="X71" s="114">
        <v>199</v>
      </c>
      <c r="Y71" s="114">
        <v>199</v>
      </c>
      <c r="Z71" s="114">
        <v>199</v>
      </c>
      <c r="AA71" s="114">
        <v>199</v>
      </c>
      <c r="AB71" s="114"/>
      <c r="AC71" s="114"/>
      <c r="AD71" s="114"/>
      <c r="AE71" s="114"/>
      <c r="AF71" s="114"/>
      <c r="AG71" s="114"/>
      <c r="AH71" s="114"/>
      <c r="AI71" s="114"/>
      <c r="AJ71" s="114"/>
      <c r="AK71" s="114"/>
      <c r="AL71" s="114"/>
      <c r="AM71" s="111" t="s">
        <v>680</v>
      </c>
    </row>
    <row r="72" spans="2:39" ht="15.5">
      <c r="B72" s="123" t="s">
        <v>681</v>
      </c>
      <c r="C72" s="122">
        <v>4016502</v>
      </c>
      <c r="D72" s="129" t="s">
        <v>808</v>
      </c>
      <c r="E72" s="107" t="s">
        <v>809</v>
      </c>
      <c r="F72" s="124">
        <v>599</v>
      </c>
      <c r="G72" s="124">
        <v>599</v>
      </c>
      <c r="H72" s="125">
        <v>599</v>
      </c>
      <c r="I72" s="125">
        <v>599</v>
      </c>
      <c r="J72" s="109">
        <v>549</v>
      </c>
      <c r="K72" s="109">
        <v>549</v>
      </c>
      <c r="L72" s="109">
        <v>549</v>
      </c>
      <c r="M72" s="109">
        <v>549</v>
      </c>
      <c r="N72" s="109">
        <v>549</v>
      </c>
      <c r="O72" s="109">
        <v>499</v>
      </c>
      <c r="P72" s="109">
        <v>399</v>
      </c>
      <c r="Q72" s="109">
        <v>349</v>
      </c>
      <c r="R72" s="109">
        <v>499</v>
      </c>
      <c r="S72" s="109">
        <v>399</v>
      </c>
      <c r="T72" s="109">
        <v>349</v>
      </c>
      <c r="U72" s="109">
        <v>349</v>
      </c>
      <c r="V72" s="109">
        <v>349</v>
      </c>
      <c r="W72" s="109">
        <v>349</v>
      </c>
      <c r="X72" s="109">
        <v>349</v>
      </c>
      <c r="Y72" s="110">
        <v>349</v>
      </c>
      <c r="Z72" s="110">
        <v>349</v>
      </c>
      <c r="AA72" s="109">
        <v>349</v>
      </c>
      <c r="AB72" s="109"/>
      <c r="AC72" s="109"/>
      <c r="AD72" s="109"/>
      <c r="AE72" s="109"/>
      <c r="AF72" s="109"/>
      <c r="AG72" s="109"/>
      <c r="AH72" s="109"/>
      <c r="AI72" s="109"/>
      <c r="AJ72" s="109"/>
      <c r="AK72" s="109"/>
      <c r="AL72" s="109"/>
      <c r="AM72" s="111" t="s">
        <v>680</v>
      </c>
    </row>
    <row r="73" spans="2:39" ht="15.5">
      <c r="B73" s="121" t="s">
        <v>810</v>
      </c>
      <c r="C73" s="134">
        <v>4015538</v>
      </c>
      <c r="D73" s="123" t="s">
        <v>811</v>
      </c>
      <c r="E73" s="107" t="s">
        <v>812</v>
      </c>
      <c r="F73" s="124">
        <v>699</v>
      </c>
      <c r="G73" s="124">
        <v>699</v>
      </c>
      <c r="H73" s="125">
        <v>699</v>
      </c>
      <c r="I73" s="125">
        <v>699</v>
      </c>
      <c r="J73" s="109">
        <v>649</v>
      </c>
      <c r="K73" s="109">
        <v>649</v>
      </c>
      <c r="L73" s="109">
        <v>649</v>
      </c>
      <c r="M73" s="126">
        <v>649</v>
      </c>
      <c r="N73" s="126">
        <v>649</v>
      </c>
      <c r="O73" s="109">
        <v>599</v>
      </c>
      <c r="P73" s="109">
        <v>599</v>
      </c>
      <c r="Q73" s="109">
        <v>399</v>
      </c>
      <c r="R73" s="126">
        <v>599</v>
      </c>
      <c r="S73" s="126">
        <v>499</v>
      </c>
      <c r="T73" s="126">
        <v>399</v>
      </c>
      <c r="U73" s="126">
        <v>399</v>
      </c>
      <c r="V73" s="126">
        <v>399</v>
      </c>
      <c r="W73" s="126">
        <v>399</v>
      </c>
      <c r="X73" s="126">
        <v>399</v>
      </c>
      <c r="Y73" s="126">
        <v>399</v>
      </c>
      <c r="Z73" s="126">
        <v>399</v>
      </c>
      <c r="AA73" s="126">
        <v>399</v>
      </c>
      <c r="AB73" s="126"/>
      <c r="AC73" s="126"/>
      <c r="AD73" s="126"/>
      <c r="AE73" s="126"/>
      <c r="AF73" s="126"/>
      <c r="AG73" s="126"/>
      <c r="AH73" s="126"/>
      <c r="AI73" s="126"/>
      <c r="AJ73" s="126"/>
      <c r="AK73" s="126"/>
      <c r="AL73" s="126"/>
      <c r="AM73" s="111" t="s">
        <v>680</v>
      </c>
    </row>
    <row r="74" spans="2:39" ht="15.5">
      <c r="B74" s="121" t="s">
        <v>810</v>
      </c>
      <c r="C74" s="122">
        <v>4016434</v>
      </c>
      <c r="D74" s="129" t="s">
        <v>813</v>
      </c>
      <c r="E74" s="107" t="s">
        <v>814</v>
      </c>
      <c r="F74" s="124">
        <v>699</v>
      </c>
      <c r="G74" s="124">
        <v>699</v>
      </c>
      <c r="H74" s="125">
        <v>699</v>
      </c>
      <c r="I74" s="125">
        <v>699</v>
      </c>
      <c r="J74" s="109">
        <v>649</v>
      </c>
      <c r="K74" s="109">
        <v>649</v>
      </c>
      <c r="L74" s="109">
        <v>649</v>
      </c>
      <c r="M74" s="126">
        <v>649</v>
      </c>
      <c r="N74" s="126">
        <v>649</v>
      </c>
      <c r="O74" s="109">
        <v>599</v>
      </c>
      <c r="P74" s="109">
        <v>599</v>
      </c>
      <c r="Q74" s="109">
        <v>399</v>
      </c>
      <c r="R74" s="126">
        <v>599</v>
      </c>
      <c r="S74" s="126">
        <v>499</v>
      </c>
      <c r="T74" s="126">
        <v>399</v>
      </c>
      <c r="U74" s="126">
        <v>399</v>
      </c>
      <c r="V74" s="126">
        <v>399</v>
      </c>
      <c r="W74" s="126">
        <v>399</v>
      </c>
      <c r="X74" s="126">
        <v>399</v>
      </c>
      <c r="Y74" s="126">
        <v>399</v>
      </c>
      <c r="Z74" s="126">
        <v>399</v>
      </c>
      <c r="AA74" s="126">
        <v>399</v>
      </c>
      <c r="AB74" s="126"/>
      <c r="AC74" s="126"/>
      <c r="AD74" s="126"/>
      <c r="AE74" s="126"/>
      <c r="AF74" s="126"/>
      <c r="AG74" s="126"/>
      <c r="AH74" s="126"/>
      <c r="AI74" s="126"/>
      <c r="AJ74" s="126"/>
      <c r="AK74" s="126"/>
      <c r="AL74" s="126"/>
      <c r="AM74" s="111" t="s">
        <v>680</v>
      </c>
    </row>
    <row r="75" spans="2:39" ht="15.5">
      <c r="B75" s="121" t="s">
        <v>677</v>
      </c>
      <c r="C75" s="134">
        <v>4014960</v>
      </c>
      <c r="D75" s="123" t="s">
        <v>815</v>
      </c>
      <c r="E75" s="107" t="s">
        <v>816</v>
      </c>
      <c r="F75" s="124">
        <v>299</v>
      </c>
      <c r="G75" s="124">
        <v>299</v>
      </c>
      <c r="H75" s="125"/>
      <c r="I75" s="125"/>
      <c r="J75" s="109"/>
      <c r="K75" s="109"/>
      <c r="L75" s="109"/>
      <c r="M75" s="126"/>
      <c r="N75" s="126"/>
      <c r="O75" s="109"/>
      <c r="P75" s="109"/>
      <c r="Q75" s="109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>
        <v>289</v>
      </c>
      <c r="AC75" s="126">
        <v>289</v>
      </c>
      <c r="AD75" s="126">
        <v>289</v>
      </c>
      <c r="AE75" s="126">
        <v>289</v>
      </c>
      <c r="AF75" s="126">
        <v>289</v>
      </c>
      <c r="AG75" s="126">
        <v>289</v>
      </c>
      <c r="AH75" s="126">
        <v>289</v>
      </c>
      <c r="AI75" s="126">
        <v>289</v>
      </c>
      <c r="AJ75" s="126">
        <v>289</v>
      </c>
      <c r="AK75" s="126">
        <v>289</v>
      </c>
      <c r="AL75" s="126">
        <v>289</v>
      </c>
      <c r="AM75" s="111" t="s">
        <v>680</v>
      </c>
    </row>
    <row r="76" spans="2:39" ht="15.5">
      <c r="B76" s="123" t="s">
        <v>681</v>
      </c>
      <c r="C76" s="122">
        <v>4015580</v>
      </c>
      <c r="D76" s="129" t="s">
        <v>817</v>
      </c>
      <c r="E76" s="107" t="s">
        <v>818</v>
      </c>
      <c r="F76" s="124">
        <v>2499</v>
      </c>
      <c r="G76" s="124">
        <v>2499</v>
      </c>
      <c r="H76" s="125">
        <v>2499</v>
      </c>
      <c r="I76" s="125">
        <v>2499</v>
      </c>
      <c r="J76" s="109">
        <v>2449</v>
      </c>
      <c r="K76" s="109">
        <v>2449</v>
      </c>
      <c r="L76" s="109">
        <v>2449</v>
      </c>
      <c r="M76" s="125">
        <v>2449</v>
      </c>
      <c r="N76" s="125">
        <v>2449</v>
      </c>
      <c r="O76" s="109">
        <v>2399</v>
      </c>
      <c r="P76" s="109">
        <v>2399</v>
      </c>
      <c r="Q76" s="109">
        <v>2099</v>
      </c>
      <c r="R76" s="125">
        <v>2399</v>
      </c>
      <c r="S76" s="125">
        <v>2299</v>
      </c>
      <c r="T76" s="125">
        <v>2099</v>
      </c>
      <c r="U76" s="125">
        <v>2099</v>
      </c>
      <c r="V76" s="125">
        <v>2099</v>
      </c>
      <c r="W76" s="125">
        <v>2099</v>
      </c>
      <c r="X76" s="125">
        <v>1999</v>
      </c>
      <c r="Y76" s="128">
        <v>1699</v>
      </c>
      <c r="Z76" s="128">
        <v>1699</v>
      </c>
      <c r="AA76" s="125">
        <v>1649</v>
      </c>
      <c r="AB76" s="125"/>
      <c r="AC76" s="125"/>
      <c r="AD76" s="125"/>
      <c r="AE76" s="125"/>
      <c r="AF76" s="125"/>
      <c r="AG76" s="125"/>
      <c r="AH76" s="125"/>
      <c r="AI76" s="125"/>
      <c r="AJ76" s="125"/>
      <c r="AK76" s="125"/>
      <c r="AL76" s="125"/>
      <c r="AM76" s="111" t="s">
        <v>680</v>
      </c>
    </row>
    <row r="77" spans="2:39" ht="15.5">
      <c r="B77" s="121" t="s">
        <v>744</v>
      </c>
      <c r="C77" s="122">
        <v>4016307</v>
      </c>
      <c r="D77" s="129" t="s">
        <v>819</v>
      </c>
      <c r="E77" s="107" t="s">
        <v>820</v>
      </c>
      <c r="F77" s="124">
        <v>699</v>
      </c>
      <c r="G77" s="124">
        <v>699</v>
      </c>
      <c r="H77" s="124">
        <v>699</v>
      </c>
      <c r="I77" s="124">
        <v>699</v>
      </c>
      <c r="J77" s="109">
        <v>649</v>
      </c>
      <c r="K77" s="109">
        <v>649</v>
      </c>
      <c r="L77" s="109">
        <v>649</v>
      </c>
      <c r="M77" s="125">
        <v>649</v>
      </c>
      <c r="N77" s="125">
        <v>649</v>
      </c>
      <c r="O77" s="109">
        <v>599</v>
      </c>
      <c r="P77" s="109">
        <v>599</v>
      </c>
      <c r="Q77" s="109">
        <v>399</v>
      </c>
      <c r="R77" s="126">
        <v>599</v>
      </c>
      <c r="S77" s="126">
        <v>499</v>
      </c>
      <c r="T77" s="126">
        <v>399</v>
      </c>
      <c r="U77" s="126">
        <v>399</v>
      </c>
      <c r="V77" s="126">
        <v>399</v>
      </c>
      <c r="W77" s="126">
        <v>399</v>
      </c>
      <c r="X77" s="126">
        <v>399</v>
      </c>
      <c r="Y77" s="126">
        <v>399</v>
      </c>
      <c r="Z77" s="126">
        <v>399</v>
      </c>
      <c r="AA77" s="126">
        <v>399</v>
      </c>
      <c r="AB77" s="128"/>
      <c r="AC77" s="128"/>
      <c r="AD77" s="128"/>
      <c r="AE77" s="128"/>
      <c r="AF77" s="128"/>
      <c r="AG77" s="128"/>
      <c r="AH77" s="128"/>
      <c r="AI77" s="128"/>
      <c r="AJ77" s="128"/>
      <c r="AK77" s="128"/>
      <c r="AL77" s="128"/>
      <c r="AM77" s="111" t="s">
        <v>680</v>
      </c>
    </row>
    <row r="78" spans="2:39" ht="15.5">
      <c r="B78" s="121" t="s">
        <v>744</v>
      </c>
      <c r="C78" s="134">
        <v>4016308</v>
      </c>
      <c r="D78" s="123" t="s">
        <v>819</v>
      </c>
      <c r="E78" s="107" t="s">
        <v>821</v>
      </c>
      <c r="F78" s="124">
        <v>699</v>
      </c>
      <c r="G78" s="124">
        <v>699</v>
      </c>
      <c r="H78" s="125">
        <v>699</v>
      </c>
      <c r="I78" s="125">
        <v>699</v>
      </c>
      <c r="J78" s="109">
        <v>649</v>
      </c>
      <c r="K78" s="109">
        <v>649</v>
      </c>
      <c r="L78" s="109">
        <v>649</v>
      </c>
      <c r="M78" s="126">
        <v>649</v>
      </c>
      <c r="N78" s="126">
        <v>649</v>
      </c>
      <c r="O78" s="109">
        <v>599</v>
      </c>
      <c r="P78" s="109">
        <v>599</v>
      </c>
      <c r="Q78" s="109">
        <v>399</v>
      </c>
      <c r="R78" s="126">
        <v>599</v>
      </c>
      <c r="S78" s="126">
        <v>499</v>
      </c>
      <c r="T78" s="126">
        <v>399</v>
      </c>
      <c r="U78" s="126">
        <v>399</v>
      </c>
      <c r="V78" s="126">
        <v>399</v>
      </c>
      <c r="W78" s="126">
        <v>399</v>
      </c>
      <c r="X78" s="126">
        <v>399</v>
      </c>
      <c r="Y78" s="126">
        <v>399</v>
      </c>
      <c r="Z78" s="126">
        <v>399</v>
      </c>
      <c r="AA78" s="126">
        <v>399</v>
      </c>
      <c r="AB78" s="126"/>
      <c r="AC78" s="126"/>
      <c r="AD78" s="126"/>
      <c r="AE78" s="126"/>
      <c r="AF78" s="126"/>
      <c r="AG78" s="126"/>
      <c r="AH78" s="126"/>
      <c r="AI78" s="126"/>
      <c r="AJ78" s="126"/>
      <c r="AK78" s="126"/>
      <c r="AL78" s="126"/>
      <c r="AM78" s="111" t="s">
        <v>680</v>
      </c>
    </row>
    <row r="79" spans="2:39" ht="15.5">
      <c r="B79" s="121" t="s">
        <v>697</v>
      </c>
      <c r="C79" s="122">
        <v>4016180</v>
      </c>
      <c r="D79" s="123" t="s">
        <v>822</v>
      </c>
      <c r="E79" s="107" t="s">
        <v>823</v>
      </c>
      <c r="F79" s="124">
        <v>1199</v>
      </c>
      <c r="G79" s="124">
        <v>1199</v>
      </c>
      <c r="H79" s="125">
        <v>1199</v>
      </c>
      <c r="I79" s="125">
        <v>1199</v>
      </c>
      <c r="J79" s="125">
        <v>1149</v>
      </c>
      <c r="K79" s="125">
        <v>1149</v>
      </c>
      <c r="L79" s="125">
        <v>1149</v>
      </c>
      <c r="M79" s="126">
        <v>1149</v>
      </c>
      <c r="N79" s="126">
        <v>1149</v>
      </c>
      <c r="O79" s="125">
        <v>1099</v>
      </c>
      <c r="P79" s="125">
        <v>999</v>
      </c>
      <c r="Q79" s="109">
        <v>799</v>
      </c>
      <c r="R79" s="126">
        <v>1099</v>
      </c>
      <c r="S79" s="126">
        <v>999</v>
      </c>
      <c r="T79" s="125">
        <v>799</v>
      </c>
      <c r="U79" s="126">
        <v>799</v>
      </c>
      <c r="V79" s="126">
        <v>799</v>
      </c>
      <c r="W79" s="126">
        <v>799</v>
      </c>
      <c r="X79" s="126">
        <v>699</v>
      </c>
      <c r="Y79" s="126">
        <v>649</v>
      </c>
      <c r="Z79" s="126">
        <v>649</v>
      </c>
      <c r="AA79" s="126">
        <v>649</v>
      </c>
      <c r="AB79" s="126"/>
      <c r="AC79" s="126"/>
      <c r="AD79" s="126"/>
      <c r="AE79" s="126"/>
      <c r="AF79" s="126"/>
      <c r="AG79" s="126"/>
      <c r="AH79" s="126"/>
      <c r="AI79" s="126"/>
      <c r="AJ79" s="126"/>
      <c r="AK79" s="126"/>
      <c r="AL79" s="126"/>
      <c r="AM79" s="111" t="s">
        <v>680</v>
      </c>
    </row>
    <row r="80" spans="2:39" ht="15.5">
      <c r="B80" s="123" t="s">
        <v>732</v>
      </c>
      <c r="C80" s="122">
        <v>4017353</v>
      </c>
      <c r="D80" s="143" t="s">
        <v>824</v>
      </c>
      <c r="E80" s="107" t="s">
        <v>825</v>
      </c>
      <c r="F80" s="132">
        <v>4599</v>
      </c>
      <c r="G80" s="132">
        <v>3599</v>
      </c>
      <c r="H80" s="132">
        <v>4599</v>
      </c>
      <c r="I80" s="132">
        <v>4599</v>
      </c>
      <c r="J80" s="132">
        <v>4549</v>
      </c>
      <c r="K80" s="132">
        <v>4549</v>
      </c>
      <c r="L80" s="132">
        <v>4549</v>
      </c>
      <c r="M80" s="132">
        <v>4549</v>
      </c>
      <c r="N80" s="132">
        <v>4549</v>
      </c>
      <c r="O80" s="132">
        <v>4499</v>
      </c>
      <c r="P80" s="132">
        <v>4399</v>
      </c>
      <c r="Q80" s="133">
        <v>4199</v>
      </c>
      <c r="R80" s="132">
        <v>4499</v>
      </c>
      <c r="S80" s="132">
        <v>4399</v>
      </c>
      <c r="T80" s="132">
        <v>4199</v>
      </c>
      <c r="U80" s="132">
        <v>4199</v>
      </c>
      <c r="V80" s="132">
        <v>4199</v>
      </c>
      <c r="W80" s="132">
        <v>4199</v>
      </c>
      <c r="X80" s="132">
        <v>4099</v>
      </c>
      <c r="Y80" s="146">
        <v>3599</v>
      </c>
      <c r="Z80" s="146">
        <v>3599</v>
      </c>
      <c r="AA80" s="146">
        <v>3599</v>
      </c>
      <c r="AB80" s="132">
        <v>4549</v>
      </c>
      <c r="AC80" s="132">
        <v>4549</v>
      </c>
      <c r="AD80" s="132">
        <v>4549</v>
      </c>
      <c r="AE80" s="132">
        <v>4499</v>
      </c>
      <c r="AF80" s="132">
        <v>4499</v>
      </c>
      <c r="AG80" s="132">
        <v>4499</v>
      </c>
      <c r="AH80" s="132">
        <v>4499</v>
      </c>
      <c r="AI80" s="132">
        <v>4199</v>
      </c>
      <c r="AJ80" s="132">
        <v>4199</v>
      </c>
      <c r="AK80" s="132">
        <v>4199</v>
      </c>
      <c r="AL80" s="146">
        <v>3599</v>
      </c>
      <c r="AM80" s="111" t="s">
        <v>680</v>
      </c>
    </row>
    <row r="81" spans="2:40" ht="15.5">
      <c r="B81" s="123" t="s">
        <v>681</v>
      </c>
      <c r="C81" s="122">
        <v>4016511</v>
      </c>
      <c r="D81" s="143" t="s">
        <v>826</v>
      </c>
      <c r="E81" s="107" t="s">
        <v>827</v>
      </c>
      <c r="F81" s="132">
        <v>4599</v>
      </c>
      <c r="G81" s="132">
        <v>3599</v>
      </c>
      <c r="H81" s="132">
        <v>4599</v>
      </c>
      <c r="I81" s="132">
        <v>4599</v>
      </c>
      <c r="J81" s="132">
        <v>4549</v>
      </c>
      <c r="K81" s="132">
        <v>4549</v>
      </c>
      <c r="L81" s="132">
        <v>4549</v>
      </c>
      <c r="M81" s="132">
        <v>4549</v>
      </c>
      <c r="N81" s="132">
        <v>4549</v>
      </c>
      <c r="O81" s="132">
        <v>4499</v>
      </c>
      <c r="P81" s="132">
        <v>4399</v>
      </c>
      <c r="Q81" s="132">
        <v>4199</v>
      </c>
      <c r="R81" s="132">
        <v>4499</v>
      </c>
      <c r="S81" s="132">
        <v>4399</v>
      </c>
      <c r="T81" s="132">
        <v>4199</v>
      </c>
      <c r="U81" s="132">
        <v>4199</v>
      </c>
      <c r="V81" s="132">
        <v>4199</v>
      </c>
      <c r="W81" s="132">
        <v>4199</v>
      </c>
      <c r="X81" s="132">
        <v>4099</v>
      </c>
      <c r="Y81" s="146">
        <v>3599</v>
      </c>
      <c r="Z81" s="146">
        <v>3599</v>
      </c>
      <c r="AA81" s="146">
        <v>3599</v>
      </c>
      <c r="AB81" s="132">
        <v>4549</v>
      </c>
      <c r="AC81" s="132">
        <v>4549</v>
      </c>
      <c r="AD81" s="132">
        <v>4549</v>
      </c>
      <c r="AE81" s="132">
        <v>4499</v>
      </c>
      <c r="AF81" s="132">
        <v>4499</v>
      </c>
      <c r="AG81" s="132">
        <v>4499</v>
      </c>
      <c r="AH81" s="132">
        <v>4499</v>
      </c>
      <c r="AI81" s="132">
        <v>4199</v>
      </c>
      <c r="AJ81" s="132">
        <v>4199</v>
      </c>
      <c r="AK81" s="132">
        <v>4199</v>
      </c>
      <c r="AL81" s="146">
        <v>3599</v>
      </c>
      <c r="AM81" s="111" t="s">
        <v>680</v>
      </c>
    </row>
    <row r="82" spans="2:40" ht="15.5">
      <c r="B82" s="123" t="s">
        <v>681</v>
      </c>
      <c r="C82" s="122">
        <v>4016960</v>
      </c>
      <c r="D82" s="143" t="s">
        <v>828</v>
      </c>
      <c r="E82" s="107" t="s">
        <v>829</v>
      </c>
      <c r="F82" s="132">
        <v>4599</v>
      </c>
      <c r="G82" s="132">
        <v>3599</v>
      </c>
      <c r="H82" s="132">
        <v>4599</v>
      </c>
      <c r="I82" s="132">
        <v>4599</v>
      </c>
      <c r="J82" s="132">
        <v>4549</v>
      </c>
      <c r="K82" s="132">
        <v>4549</v>
      </c>
      <c r="L82" s="132">
        <v>4549</v>
      </c>
      <c r="M82" s="132">
        <v>4549</v>
      </c>
      <c r="N82" s="132">
        <v>4549</v>
      </c>
      <c r="O82" s="132">
        <v>4499</v>
      </c>
      <c r="P82" s="132">
        <v>4399</v>
      </c>
      <c r="Q82" s="132">
        <v>4199</v>
      </c>
      <c r="R82" s="132">
        <v>4499</v>
      </c>
      <c r="S82" s="132">
        <v>4399</v>
      </c>
      <c r="T82" s="132">
        <v>4199</v>
      </c>
      <c r="U82" s="132">
        <v>4199</v>
      </c>
      <c r="V82" s="132">
        <v>4199</v>
      </c>
      <c r="W82" s="132">
        <v>4199</v>
      </c>
      <c r="X82" s="132">
        <v>4099</v>
      </c>
      <c r="Y82" s="146">
        <v>3599</v>
      </c>
      <c r="Z82" s="146">
        <v>3599</v>
      </c>
      <c r="AA82" s="146">
        <v>3599</v>
      </c>
      <c r="AB82" s="132">
        <v>4549</v>
      </c>
      <c r="AC82" s="132">
        <v>4549</v>
      </c>
      <c r="AD82" s="132">
        <v>4549</v>
      </c>
      <c r="AE82" s="132">
        <v>4499</v>
      </c>
      <c r="AF82" s="132">
        <v>4499</v>
      </c>
      <c r="AG82" s="132">
        <v>4499</v>
      </c>
      <c r="AH82" s="132">
        <v>4499</v>
      </c>
      <c r="AI82" s="132">
        <v>4199</v>
      </c>
      <c r="AJ82" s="132">
        <v>4199</v>
      </c>
      <c r="AK82" s="132">
        <v>4199</v>
      </c>
      <c r="AL82" s="146">
        <v>3599</v>
      </c>
      <c r="AM82" s="111" t="s">
        <v>680</v>
      </c>
    </row>
    <row r="83" spans="2:40" ht="15.5">
      <c r="B83" s="123" t="s">
        <v>681</v>
      </c>
      <c r="C83" s="122">
        <v>4017129</v>
      </c>
      <c r="D83" s="143" t="s">
        <v>830</v>
      </c>
      <c r="E83" s="107" t="s">
        <v>831</v>
      </c>
      <c r="F83" s="132">
        <v>4599</v>
      </c>
      <c r="G83" s="132">
        <v>3599</v>
      </c>
      <c r="H83" s="132">
        <v>4599</v>
      </c>
      <c r="I83" s="132">
        <v>4599</v>
      </c>
      <c r="J83" s="132">
        <v>4549</v>
      </c>
      <c r="K83" s="132">
        <v>4549</v>
      </c>
      <c r="L83" s="132">
        <v>4549</v>
      </c>
      <c r="M83" s="132">
        <v>4549</v>
      </c>
      <c r="N83" s="132">
        <v>4549</v>
      </c>
      <c r="O83" s="132">
        <v>4499</v>
      </c>
      <c r="P83" s="132">
        <v>4399</v>
      </c>
      <c r="Q83" s="132">
        <v>4199</v>
      </c>
      <c r="R83" s="132">
        <v>4499</v>
      </c>
      <c r="S83" s="132">
        <v>4399</v>
      </c>
      <c r="T83" s="132">
        <v>4199</v>
      </c>
      <c r="U83" s="132">
        <v>4199</v>
      </c>
      <c r="V83" s="132">
        <v>4199</v>
      </c>
      <c r="W83" s="132">
        <v>4199</v>
      </c>
      <c r="X83" s="132">
        <v>4099</v>
      </c>
      <c r="Y83" s="146">
        <v>3599</v>
      </c>
      <c r="Z83" s="146">
        <v>3599</v>
      </c>
      <c r="AA83" s="146">
        <v>3599</v>
      </c>
      <c r="AB83" s="132">
        <v>4549</v>
      </c>
      <c r="AC83" s="132">
        <v>4549</v>
      </c>
      <c r="AD83" s="132">
        <v>4549</v>
      </c>
      <c r="AE83" s="132">
        <v>4499</v>
      </c>
      <c r="AF83" s="132">
        <v>4499</v>
      </c>
      <c r="AG83" s="132">
        <v>4499</v>
      </c>
      <c r="AH83" s="132">
        <v>4499</v>
      </c>
      <c r="AI83" s="132">
        <v>4199</v>
      </c>
      <c r="AJ83" s="132">
        <v>4199</v>
      </c>
      <c r="AK83" s="132">
        <v>4199</v>
      </c>
      <c r="AL83" s="146">
        <v>3599</v>
      </c>
      <c r="AM83" s="111" t="s">
        <v>680</v>
      </c>
    </row>
    <row r="84" spans="2:40" ht="15.5">
      <c r="B84" s="123" t="s">
        <v>681</v>
      </c>
      <c r="C84" s="122">
        <v>4016309</v>
      </c>
      <c r="D84" s="143" t="s">
        <v>832</v>
      </c>
      <c r="E84" s="107" t="s">
        <v>833</v>
      </c>
      <c r="F84" s="132">
        <v>5099</v>
      </c>
      <c r="G84" s="146">
        <v>3999</v>
      </c>
      <c r="H84" s="132">
        <v>5099</v>
      </c>
      <c r="I84" s="132">
        <v>5099</v>
      </c>
      <c r="J84" s="133">
        <v>5049</v>
      </c>
      <c r="K84" s="133">
        <v>5049</v>
      </c>
      <c r="L84" s="133">
        <v>5049</v>
      </c>
      <c r="M84" s="132">
        <v>5049</v>
      </c>
      <c r="N84" s="132">
        <v>5049</v>
      </c>
      <c r="O84" s="133">
        <v>4999</v>
      </c>
      <c r="P84" s="133">
        <v>4899</v>
      </c>
      <c r="Q84" s="133">
        <v>4699</v>
      </c>
      <c r="R84" s="132">
        <v>4999</v>
      </c>
      <c r="S84" s="132">
        <v>4899</v>
      </c>
      <c r="T84" s="132">
        <v>4699</v>
      </c>
      <c r="U84" s="132">
        <v>4699</v>
      </c>
      <c r="V84" s="132">
        <v>4699</v>
      </c>
      <c r="W84" s="132">
        <v>4699</v>
      </c>
      <c r="X84" s="132">
        <v>4599</v>
      </c>
      <c r="Y84" s="146">
        <v>3999</v>
      </c>
      <c r="Z84" s="146">
        <v>3999</v>
      </c>
      <c r="AA84" s="146">
        <v>3999</v>
      </c>
      <c r="AB84" s="132">
        <v>5049</v>
      </c>
      <c r="AC84" s="132">
        <v>5049</v>
      </c>
      <c r="AD84" s="132">
        <v>5049</v>
      </c>
      <c r="AE84" s="132">
        <v>4999</v>
      </c>
      <c r="AF84" s="132">
        <v>4999</v>
      </c>
      <c r="AG84" s="132">
        <v>4999</v>
      </c>
      <c r="AH84" s="132">
        <v>4999</v>
      </c>
      <c r="AI84" s="132">
        <v>4699</v>
      </c>
      <c r="AJ84" s="132">
        <v>4699</v>
      </c>
      <c r="AK84" s="132">
        <v>4699</v>
      </c>
      <c r="AL84" s="146">
        <v>3999</v>
      </c>
      <c r="AM84" s="111" t="s">
        <v>680</v>
      </c>
    </row>
    <row r="85" spans="2:40" ht="15.5">
      <c r="B85" s="123" t="s">
        <v>732</v>
      </c>
      <c r="C85" s="122">
        <v>4016958</v>
      </c>
      <c r="D85" s="143" t="s">
        <v>834</v>
      </c>
      <c r="E85" s="107" t="s">
        <v>835</v>
      </c>
      <c r="F85" s="132">
        <v>5099</v>
      </c>
      <c r="G85" s="146">
        <v>3999</v>
      </c>
      <c r="H85" s="132">
        <v>5099</v>
      </c>
      <c r="I85" s="132">
        <v>5099</v>
      </c>
      <c r="J85" s="133">
        <v>5049</v>
      </c>
      <c r="K85" s="133">
        <v>5049</v>
      </c>
      <c r="L85" s="133">
        <v>5049</v>
      </c>
      <c r="M85" s="132">
        <v>5049</v>
      </c>
      <c r="N85" s="132">
        <v>5049</v>
      </c>
      <c r="O85" s="133">
        <v>4999</v>
      </c>
      <c r="P85" s="133">
        <v>4899</v>
      </c>
      <c r="Q85" s="133">
        <v>4699</v>
      </c>
      <c r="R85" s="132">
        <v>4999</v>
      </c>
      <c r="S85" s="132">
        <v>4899</v>
      </c>
      <c r="T85" s="132">
        <v>4699</v>
      </c>
      <c r="U85" s="132">
        <v>4699</v>
      </c>
      <c r="V85" s="132">
        <v>4699</v>
      </c>
      <c r="W85" s="132">
        <v>4699</v>
      </c>
      <c r="X85" s="132">
        <v>4599</v>
      </c>
      <c r="Y85" s="146">
        <v>3999</v>
      </c>
      <c r="Z85" s="146">
        <v>3999</v>
      </c>
      <c r="AA85" s="146">
        <v>3999</v>
      </c>
      <c r="AB85" s="132">
        <v>5049</v>
      </c>
      <c r="AC85" s="132">
        <v>5049</v>
      </c>
      <c r="AD85" s="132">
        <v>5049</v>
      </c>
      <c r="AE85" s="132">
        <v>4999</v>
      </c>
      <c r="AF85" s="132">
        <v>4999</v>
      </c>
      <c r="AG85" s="132">
        <v>4999</v>
      </c>
      <c r="AH85" s="132">
        <v>4999</v>
      </c>
      <c r="AI85" s="132">
        <v>4699</v>
      </c>
      <c r="AJ85" s="132">
        <v>4699</v>
      </c>
      <c r="AK85" s="132">
        <v>4699</v>
      </c>
      <c r="AL85" s="146">
        <v>3999</v>
      </c>
      <c r="AM85" s="111" t="s">
        <v>680</v>
      </c>
    </row>
    <row r="86" spans="2:40" ht="15.5">
      <c r="B86" s="123" t="s">
        <v>681</v>
      </c>
      <c r="C86" s="122">
        <v>4017128</v>
      </c>
      <c r="D86" s="143" t="s">
        <v>836</v>
      </c>
      <c r="E86" s="107" t="s">
        <v>837</v>
      </c>
      <c r="F86" s="132">
        <v>5099</v>
      </c>
      <c r="G86" s="146">
        <v>3999</v>
      </c>
      <c r="H86" s="132">
        <v>5099</v>
      </c>
      <c r="I86" s="132">
        <v>5099</v>
      </c>
      <c r="J86" s="133">
        <v>5049</v>
      </c>
      <c r="K86" s="133">
        <v>5049</v>
      </c>
      <c r="L86" s="133">
        <v>5049</v>
      </c>
      <c r="M86" s="132">
        <v>5049</v>
      </c>
      <c r="N86" s="132">
        <v>5049</v>
      </c>
      <c r="O86" s="133">
        <v>4999</v>
      </c>
      <c r="P86" s="133">
        <v>4899</v>
      </c>
      <c r="Q86" s="133">
        <v>4699</v>
      </c>
      <c r="R86" s="132">
        <v>4999</v>
      </c>
      <c r="S86" s="132">
        <v>4899</v>
      </c>
      <c r="T86" s="132">
        <v>4699</v>
      </c>
      <c r="U86" s="132">
        <v>4699</v>
      </c>
      <c r="V86" s="132">
        <v>4699</v>
      </c>
      <c r="W86" s="132">
        <v>4699</v>
      </c>
      <c r="X86" s="132">
        <v>4599</v>
      </c>
      <c r="Y86" s="146">
        <v>3999</v>
      </c>
      <c r="Z86" s="146">
        <v>3999</v>
      </c>
      <c r="AA86" s="146">
        <v>3999</v>
      </c>
      <c r="AB86" s="132">
        <v>5049</v>
      </c>
      <c r="AC86" s="132">
        <v>5049</v>
      </c>
      <c r="AD86" s="132">
        <v>5049</v>
      </c>
      <c r="AE86" s="132">
        <v>4999</v>
      </c>
      <c r="AF86" s="132">
        <v>4999</v>
      </c>
      <c r="AG86" s="132">
        <v>4999</v>
      </c>
      <c r="AH86" s="132">
        <v>4999</v>
      </c>
      <c r="AI86" s="132">
        <v>4699</v>
      </c>
      <c r="AJ86" s="132">
        <v>4699</v>
      </c>
      <c r="AK86" s="132">
        <v>4699</v>
      </c>
      <c r="AL86" s="146">
        <v>3999</v>
      </c>
      <c r="AM86" s="111" t="s">
        <v>680</v>
      </c>
      <c r="AN86" s="147"/>
    </row>
    <row r="87" spans="2:40" ht="15.5">
      <c r="B87" s="123" t="s">
        <v>732</v>
      </c>
      <c r="C87" s="122">
        <v>4017326</v>
      </c>
      <c r="D87" s="143" t="s">
        <v>838</v>
      </c>
      <c r="E87" s="107" t="s">
        <v>839</v>
      </c>
      <c r="F87" s="132">
        <v>5099</v>
      </c>
      <c r="G87" s="146">
        <v>3999</v>
      </c>
      <c r="H87" s="132">
        <v>5099</v>
      </c>
      <c r="I87" s="132">
        <v>5099</v>
      </c>
      <c r="J87" s="133">
        <v>5049</v>
      </c>
      <c r="K87" s="133">
        <v>5049</v>
      </c>
      <c r="L87" s="133">
        <v>5049</v>
      </c>
      <c r="M87" s="132">
        <v>5049</v>
      </c>
      <c r="N87" s="132">
        <v>5049</v>
      </c>
      <c r="O87" s="133">
        <v>4999</v>
      </c>
      <c r="P87" s="133">
        <v>4899</v>
      </c>
      <c r="Q87" s="133">
        <v>4699</v>
      </c>
      <c r="R87" s="132">
        <v>4999</v>
      </c>
      <c r="S87" s="132">
        <v>4899</v>
      </c>
      <c r="T87" s="132">
        <v>4699</v>
      </c>
      <c r="U87" s="132">
        <v>4699</v>
      </c>
      <c r="V87" s="132">
        <v>4699</v>
      </c>
      <c r="W87" s="132">
        <v>4699</v>
      </c>
      <c r="X87" s="132">
        <v>4599</v>
      </c>
      <c r="Y87" s="146">
        <v>3999</v>
      </c>
      <c r="Z87" s="146">
        <v>3999</v>
      </c>
      <c r="AA87" s="146">
        <v>3999</v>
      </c>
      <c r="AB87" s="132">
        <v>5049</v>
      </c>
      <c r="AC87" s="132">
        <v>5049</v>
      </c>
      <c r="AD87" s="132">
        <v>5049</v>
      </c>
      <c r="AE87" s="132">
        <v>4999</v>
      </c>
      <c r="AF87" s="132">
        <v>4999</v>
      </c>
      <c r="AG87" s="132">
        <v>4999</v>
      </c>
      <c r="AH87" s="132">
        <v>4999</v>
      </c>
      <c r="AI87" s="132">
        <v>4699</v>
      </c>
      <c r="AJ87" s="132">
        <v>4699</v>
      </c>
      <c r="AK87" s="132">
        <v>4699</v>
      </c>
      <c r="AL87" s="146">
        <v>3999</v>
      </c>
      <c r="AM87" s="111" t="s">
        <v>680</v>
      </c>
      <c r="AN87" s="147"/>
    </row>
    <row r="88" spans="2:40" ht="15.5">
      <c r="B88" s="121" t="s">
        <v>677</v>
      </c>
      <c r="C88" s="122">
        <v>4016298</v>
      </c>
      <c r="D88" s="123" t="s">
        <v>840</v>
      </c>
      <c r="E88" s="107" t="s">
        <v>840</v>
      </c>
      <c r="F88" s="124">
        <v>649</v>
      </c>
      <c r="G88" s="124">
        <v>649</v>
      </c>
      <c r="H88" s="125">
        <v>649</v>
      </c>
      <c r="I88" s="125">
        <v>649</v>
      </c>
      <c r="J88" s="109">
        <v>599</v>
      </c>
      <c r="K88" s="109">
        <v>599</v>
      </c>
      <c r="L88" s="109">
        <v>599</v>
      </c>
      <c r="M88" s="126">
        <v>599</v>
      </c>
      <c r="N88" s="126">
        <v>599</v>
      </c>
      <c r="O88" s="109">
        <v>549</v>
      </c>
      <c r="P88" s="109">
        <v>449</v>
      </c>
      <c r="Q88" s="109">
        <v>349</v>
      </c>
      <c r="R88" s="126">
        <v>549</v>
      </c>
      <c r="S88" s="126">
        <v>449</v>
      </c>
      <c r="T88" s="126">
        <v>349</v>
      </c>
      <c r="U88" s="126">
        <v>349</v>
      </c>
      <c r="V88" s="126">
        <v>349</v>
      </c>
      <c r="W88" s="126">
        <v>349</v>
      </c>
      <c r="X88" s="126">
        <v>349</v>
      </c>
      <c r="Y88" s="126">
        <v>349</v>
      </c>
      <c r="Z88" s="126">
        <v>349</v>
      </c>
      <c r="AA88" s="126">
        <v>349</v>
      </c>
      <c r="AB88" s="126"/>
      <c r="AC88" s="126"/>
      <c r="AD88" s="126"/>
      <c r="AE88" s="126"/>
      <c r="AF88" s="126"/>
      <c r="AG88" s="126"/>
      <c r="AH88" s="126"/>
      <c r="AI88" s="126"/>
      <c r="AJ88" s="126"/>
      <c r="AK88" s="126"/>
      <c r="AL88" s="126"/>
      <c r="AM88" s="111" t="s">
        <v>680</v>
      </c>
      <c r="AN88" s="147"/>
    </row>
    <row r="89" spans="2:40" ht="15.5">
      <c r="B89" s="121" t="s">
        <v>744</v>
      </c>
      <c r="C89" s="122">
        <v>4015924</v>
      </c>
      <c r="D89" s="123" t="s">
        <v>841</v>
      </c>
      <c r="E89" s="107" t="s">
        <v>842</v>
      </c>
      <c r="F89" s="124">
        <v>299</v>
      </c>
      <c r="G89" s="124">
        <v>399</v>
      </c>
      <c r="H89" s="125">
        <v>299</v>
      </c>
      <c r="I89" s="125">
        <v>299</v>
      </c>
      <c r="J89" s="109">
        <v>249</v>
      </c>
      <c r="K89" s="109">
        <v>249</v>
      </c>
      <c r="L89" s="109">
        <v>249</v>
      </c>
      <c r="M89" s="126">
        <v>249</v>
      </c>
      <c r="N89" s="126">
        <v>249</v>
      </c>
      <c r="O89" s="109">
        <v>199</v>
      </c>
      <c r="P89" s="109">
        <v>199</v>
      </c>
      <c r="Q89" s="109">
        <v>199</v>
      </c>
      <c r="R89" s="126">
        <v>199</v>
      </c>
      <c r="S89" s="126">
        <v>199</v>
      </c>
      <c r="T89" s="126">
        <v>199</v>
      </c>
      <c r="U89" s="126">
        <v>199</v>
      </c>
      <c r="V89" s="126">
        <v>199</v>
      </c>
      <c r="W89" s="126">
        <v>199</v>
      </c>
      <c r="X89" s="126">
        <v>199</v>
      </c>
      <c r="Y89" s="126">
        <v>199</v>
      </c>
      <c r="Z89" s="126">
        <v>199</v>
      </c>
      <c r="AA89" s="126">
        <v>199</v>
      </c>
      <c r="AB89" s="126">
        <v>249</v>
      </c>
      <c r="AC89" s="126">
        <v>249</v>
      </c>
      <c r="AD89" s="126">
        <v>249</v>
      </c>
      <c r="AE89" s="126">
        <v>199</v>
      </c>
      <c r="AF89" s="126">
        <v>199</v>
      </c>
      <c r="AG89" s="126">
        <v>199</v>
      </c>
      <c r="AH89" s="126">
        <v>199</v>
      </c>
      <c r="AI89" s="126">
        <v>199</v>
      </c>
      <c r="AJ89" s="126">
        <v>199</v>
      </c>
      <c r="AK89" s="126">
        <v>199</v>
      </c>
      <c r="AL89" s="126">
        <v>199</v>
      </c>
      <c r="AM89" s="111" t="s">
        <v>680</v>
      </c>
      <c r="AN89" s="147"/>
    </row>
    <row r="90" spans="2:40" ht="15.5">
      <c r="B90" s="121" t="s">
        <v>744</v>
      </c>
      <c r="C90" s="122">
        <v>4015922</v>
      </c>
      <c r="D90" s="123" t="s">
        <v>841</v>
      </c>
      <c r="E90" s="107" t="s">
        <v>843</v>
      </c>
      <c r="F90" s="124">
        <v>299</v>
      </c>
      <c r="G90" s="124">
        <v>399</v>
      </c>
      <c r="H90" s="125">
        <v>299</v>
      </c>
      <c r="I90" s="125">
        <v>299</v>
      </c>
      <c r="J90" s="109">
        <v>249</v>
      </c>
      <c r="K90" s="109">
        <v>249</v>
      </c>
      <c r="L90" s="109">
        <v>249</v>
      </c>
      <c r="M90" s="114">
        <v>249</v>
      </c>
      <c r="N90" s="114">
        <v>249</v>
      </c>
      <c r="O90" s="109">
        <v>199</v>
      </c>
      <c r="P90" s="109">
        <v>199</v>
      </c>
      <c r="Q90" s="109">
        <v>199</v>
      </c>
      <c r="R90" s="126">
        <v>199</v>
      </c>
      <c r="S90" s="126">
        <v>199</v>
      </c>
      <c r="T90" s="126">
        <v>199</v>
      </c>
      <c r="U90" s="126">
        <v>199</v>
      </c>
      <c r="V90" s="126">
        <v>199</v>
      </c>
      <c r="W90" s="126">
        <v>199</v>
      </c>
      <c r="X90" s="126">
        <v>199</v>
      </c>
      <c r="Y90" s="126">
        <v>199</v>
      </c>
      <c r="Z90" s="126">
        <v>199</v>
      </c>
      <c r="AA90" s="126">
        <v>199</v>
      </c>
      <c r="AB90" s="126">
        <v>249</v>
      </c>
      <c r="AC90" s="126">
        <v>249</v>
      </c>
      <c r="AD90" s="126">
        <v>249</v>
      </c>
      <c r="AE90" s="126">
        <v>199</v>
      </c>
      <c r="AF90" s="126">
        <v>199</v>
      </c>
      <c r="AG90" s="126">
        <v>199</v>
      </c>
      <c r="AH90" s="126">
        <v>199</v>
      </c>
      <c r="AI90" s="126">
        <v>199</v>
      </c>
      <c r="AJ90" s="126">
        <v>199</v>
      </c>
      <c r="AK90" s="126">
        <v>199</v>
      </c>
      <c r="AL90" s="126">
        <v>199</v>
      </c>
      <c r="AM90" s="111" t="s">
        <v>680</v>
      </c>
      <c r="AN90" s="147"/>
    </row>
    <row r="91" spans="2:40" ht="15.5">
      <c r="B91" s="121" t="s">
        <v>744</v>
      </c>
      <c r="C91" s="122">
        <v>4017419</v>
      </c>
      <c r="D91" s="123" t="s">
        <v>844</v>
      </c>
      <c r="E91" s="107" t="s">
        <v>845</v>
      </c>
      <c r="F91" s="124">
        <v>299</v>
      </c>
      <c r="G91" s="124">
        <v>399</v>
      </c>
      <c r="H91" s="125">
        <v>299</v>
      </c>
      <c r="I91" s="125">
        <v>299</v>
      </c>
      <c r="J91" s="109">
        <v>249</v>
      </c>
      <c r="K91" s="109">
        <v>249</v>
      </c>
      <c r="L91" s="109">
        <v>249</v>
      </c>
      <c r="M91" s="126">
        <v>249</v>
      </c>
      <c r="N91" s="126">
        <v>249</v>
      </c>
      <c r="O91" s="109">
        <v>199</v>
      </c>
      <c r="P91" s="109">
        <v>199</v>
      </c>
      <c r="Q91" s="109">
        <v>199</v>
      </c>
      <c r="R91" s="126">
        <v>199</v>
      </c>
      <c r="S91" s="126">
        <v>199</v>
      </c>
      <c r="T91" s="126">
        <v>199</v>
      </c>
      <c r="U91" s="126">
        <v>199</v>
      </c>
      <c r="V91" s="126">
        <v>199</v>
      </c>
      <c r="W91" s="126">
        <v>199</v>
      </c>
      <c r="X91" s="126">
        <v>199</v>
      </c>
      <c r="Y91" s="126">
        <v>199</v>
      </c>
      <c r="Z91" s="126">
        <v>199</v>
      </c>
      <c r="AA91" s="126">
        <v>199</v>
      </c>
      <c r="AB91" s="126">
        <v>249</v>
      </c>
      <c r="AC91" s="126">
        <v>249</v>
      </c>
      <c r="AD91" s="126">
        <v>249</v>
      </c>
      <c r="AE91" s="126">
        <v>199</v>
      </c>
      <c r="AF91" s="126">
        <v>199</v>
      </c>
      <c r="AG91" s="126">
        <v>199</v>
      </c>
      <c r="AH91" s="126">
        <v>199</v>
      </c>
      <c r="AI91" s="126">
        <v>199</v>
      </c>
      <c r="AJ91" s="126">
        <v>199</v>
      </c>
      <c r="AK91" s="126">
        <v>199</v>
      </c>
      <c r="AL91" s="126">
        <v>199</v>
      </c>
      <c r="AM91" s="111" t="s">
        <v>680</v>
      </c>
    </row>
    <row r="92" spans="2:40" ht="15.5">
      <c r="B92" s="121" t="s">
        <v>744</v>
      </c>
      <c r="C92" s="122">
        <v>4017414</v>
      </c>
      <c r="D92" s="123" t="s">
        <v>844</v>
      </c>
      <c r="E92" s="107" t="s">
        <v>846</v>
      </c>
      <c r="F92" s="124">
        <v>299</v>
      </c>
      <c r="G92" s="124">
        <v>399</v>
      </c>
      <c r="H92" s="125">
        <v>299</v>
      </c>
      <c r="I92" s="125">
        <v>299</v>
      </c>
      <c r="J92" s="109">
        <v>249</v>
      </c>
      <c r="K92" s="109">
        <v>249</v>
      </c>
      <c r="L92" s="109">
        <v>249</v>
      </c>
      <c r="M92" s="126">
        <v>249</v>
      </c>
      <c r="N92" s="126">
        <v>249</v>
      </c>
      <c r="O92" s="109">
        <v>199</v>
      </c>
      <c r="P92" s="109">
        <v>199</v>
      </c>
      <c r="Q92" s="109">
        <v>199</v>
      </c>
      <c r="R92" s="126">
        <v>199</v>
      </c>
      <c r="S92" s="126">
        <v>199</v>
      </c>
      <c r="T92" s="126">
        <v>199</v>
      </c>
      <c r="U92" s="126">
        <v>199</v>
      </c>
      <c r="V92" s="126">
        <v>199</v>
      </c>
      <c r="W92" s="126">
        <v>199</v>
      </c>
      <c r="X92" s="126">
        <v>199</v>
      </c>
      <c r="Y92" s="126">
        <v>199</v>
      </c>
      <c r="Z92" s="126">
        <v>199</v>
      </c>
      <c r="AA92" s="126">
        <v>199</v>
      </c>
      <c r="AB92" s="126">
        <v>249</v>
      </c>
      <c r="AC92" s="126">
        <v>249</v>
      </c>
      <c r="AD92" s="126">
        <v>249</v>
      </c>
      <c r="AE92" s="126">
        <v>199</v>
      </c>
      <c r="AF92" s="126">
        <v>199</v>
      </c>
      <c r="AG92" s="126">
        <v>199</v>
      </c>
      <c r="AH92" s="126">
        <v>199</v>
      </c>
      <c r="AI92" s="126">
        <v>199</v>
      </c>
      <c r="AJ92" s="126">
        <v>199</v>
      </c>
      <c r="AK92" s="126">
        <v>199</v>
      </c>
      <c r="AL92" s="126">
        <v>199</v>
      </c>
      <c r="AM92" s="111" t="s">
        <v>680</v>
      </c>
    </row>
    <row r="93" spans="2:40" ht="15.5">
      <c r="B93" s="121" t="s">
        <v>744</v>
      </c>
      <c r="C93" s="134">
        <v>4015728</v>
      </c>
      <c r="D93" s="123" t="s">
        <v>847</v>
      </c>
      <c r="E93" s="107" t="s">
        <v>848</v>
      </c>
      <c r="F93" s="124">
        <v>199</v>
      </c>
      <c r="G93" s="124">
        <v>199</v>
      </c>
      <c r="H93" s="125"/>
      <c r="I93" s="125"/>
      <c r="J93" s="109"/>
      <c r="K93" s="109"/>
      <c r="L93" s="109"/>
      <c r="M93" s="126"/>
      <c r="N93" s="126"/>
      <c r="O93" s="114"/>
      <c r="P93" s="109"/>
      <c r="Q93" s="109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  <c r="AD93" s="126"/>
      <c r="AE93" s="126"/>
      <c r="AF93" s="126"/>
      <c r="AG93" s="126"/>
      <c r="AH93" s="126"/>
      <c r="AI93" s="126"/>
      <c r="AJ93" s="126"/>
      <c r="AK93" s="126"/>
      <c r="AL93" s="126"/>
      <c r="AM93" s="111" t="s">
        <v>680</v>
      </c>
    </row>
    <row r="94" spans="2:40" ht="15.5">
      <c r="B94" s="121" t="s">
        <v>744</v>
      </c>
      <c r="C94" s="134">
        <v>4015883</v>
      </c>
      <c r="D94" s="123" t="s">
        <v>847</v>
      </c>
      <c r="E94" s="107" t="s">
        <v>849</v>
      </c>
      <c r="F94" s="124">
        <v>199</v>
      </c>
      <c r="G94" s="124">
        <v>199</v>
      </c>
      <c r="H94" s="125"/>
      <c r="I94" s="125"/>
      <c r="J94" s="109"/>
      <c r="K94" s="109"/>
      <c r="L94" s="109"/>
      <c r="M94" s="126"/>
      <c r="N94" s="126"/>
      <c r="O94" s="114"/>
      <c r="P94" s="109"/>
      <c r="Q94" s="109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  <c r="AD94" s="126"/>
      <c r="AE94" s="126"/>
      <c r="AF94" s="126"/>
      <c r="AG94" s="126"/>
      <c r="AH94" s="126"/>
      <c r="AI94" s="126"/>
      <c r="AJ94" s="126"/>
      <c r="AK94" s="126"/>
      <c r="AL94" s="126"/>
      <c r="AM94" s="111" t="s">
        <v>680</v>
      </c>
    </row>
    <row r="95" spans="2:40" ht="15.5">
      <c r="B95" s="123" t="s">
        <v>744</v>
      </c>
      <c r="C95" s="122">
        <v>4015882</v>
      </c>
      <c r="D95" s="129" t="s">
        <v>847</v>
      </c>
      <c r="E95" s="107" t="s">
        <v>850</v>
      </c>
      <c r="F95" s="124">
        <v>199</v>
      </c>
      <c r="G95" s="124">
        <v>199</v>
      </c>
      <c r="H95" s="125"/>
      <c r="I95" s="125"/>
      <c r="J95" s="109"/>
      <c r="K95" s="109"/>
      <c r="L95" s="109"/>
      <c r="M95" s="125"/>
      <c r="N95" s="125"/>
      <c r="O95" s="109"/>
      <c r="P95" s="109"/>
      <c r="Q95" s="109"/>
      <c r="R95" s="125"/>
      <c r="S95" s="125"/>
      <c r="T95" s="125"/>
      <c r="U95" s="125"/>
      <c r="V95" s="125"/>
      <c r="W95" s="125"/>
      <c r="X95" s="125"/>
      <c r="Y95" s="128"/>
      <c r="Z95" s="128"/>
      <c r="AA95" s="125"/>
      <c r="AB95" s="125"/>
      <c r="AC95" s="125"/>
      <c r="AD95" s="125"/>
      <c r="AE95" s="125"/>
      <c r="AF95" s="125"/>
      <c r="AG95" s="125"/>
      <c r="AH95" s="125"/>
      <c r="AI95" s="125"/>
      <c r="AJ95" s="125"/>
      <c r="AK95" s="125"/>
      <c r="AL95" s="125"/>
      <c r="AM95" s="111" t="s">
        <v>680</v>
      </c>
    </row>
    <row r="96" spans="2:40" ht="15.5">
      <c r="B96" s="123" t="s">
        <v>744</v>
      </c>
      <c r="C96" s="122">
        <v>4016401</v>
      </c>
      <c r="D96" s="129" t="s">
        <v>851</v>
      </c>
      <c r="E96" s="107" t="s">
        <v>852</v>
      </c>
      <c r="F96" s="124">
        <v>999</v>
      </c>
      <c r="G96" s="124">
        <v>999</v>
      </c>
      <c r="H96" s="124">
        <v>999</v>
      </c>
      <c r="I96" s="125">
        <v>999</v>
      </c>
      <c r="J96" s="125">
        <v>949</v>
      </c>
      <c r="K96" s="125">
        <v>949</v>
      </c>
      <c r="L96" s="125">
        <v>949</v>
      </c>
      <c r="M96" s="125">
        <v>949</v>
      </c>
      <c r="N96" s="125">
        <v>949</v>
      </c>
      <c r="O96" s="125">
        <v>899</v>
      </c>
      <c r="P96" s="109">
        <v>799</v>
      </c>
      <c r="Q96" s="109">
        <v>599</v>
      </c>
      <c r="R96" s="125">
        <v>899</v>
      </c>
      <c r="S96" s="125">
        <v>799</v>
      </c>
      <c r="T96" s="125">
        <v>599</v>
      </c>
      <c r="U96" s="125">
        <v>599</v>
      </c>
      <c r="V96" s="125">
        <v>599</v>
      </c>
      <c r="W96" s="125">
        <v>599</v>
      </c>
      <c r="X96" s="125">
        <v>549</v>
      </c>
      <c r="Y96" s="125">
        <v>549</v>
      </c>
      <c r="Z96" s="125">
        <v>549</v>
      </c>
      <c r="AA96" s="125">
        <v>549</v>
      </c>
      <c r="AB96" s="125"/>
      <c r="AC96" s="125"/>
      <c r="AD96" s="125"/>
      <c r="AE96" s="125"/>
      <c r="AF96" s="125"/>
      <c r="AG96" s="125"/>
      <c r="AH96" s="125"/>
      <c r="AI96" s="125"/>
      <c r="AJ96" s="125"/>
      <c r="AK96" s="125"/>
      <c r="AL96" s="125"/>
      <c r="AM96" s="111" t="s">
        <v>680</v>
      </c>
    </row>
    <row r="97" spans="2:39" ht="15.5">
      <c r="B97" s="123" t="s">
        <v>744</v>
      </c>
      <c r="C97" s="122">
        <v>4016405</v>
      </c>
      <c r="D97" s="129" t="s">
        <v>851</v>
      </c>
      <c r="E97" s="107" t="s">
        <v>853</v>
      </c>
      <c r="F97" s="124">
        <v>999</v>
      </c>
      <c r="G97" s="124">
        <v>999</v>
      </c>
      <c r="H97" s="124">
        <v>999</v>
      </c>
      <c r="I97" s="125">
        <v>999</v>
      </c>
      <c r="J97" s="109">
        <v>949</v>
      </c>
      <c r="K97" s="109">
        <v>949</v>
      </c>
      <c r="L97" s="109">
        <v>949</v>
      </c>
      <c r="M97" s="125">
        <v>949</v>
      </c>
      <c r="N97" s="125">
        <v>949</v>
      </c>
      <c r="O97" s="109">
        <v>899</v>
      </c>
      <c r="P97" s="109">
        <v>799</v>
      </c>
      <c r="Q97" s="109">
        <v>599</v>
      </c>
      <c r="R97" s="125">
        <v>899</v>
      </c>
      <c r="S97" s="125">
        <v>799</v>
      </c>
      <c r="T97" s="125">
        <v>599</v>
      </c>
      <c r="U97" s="125">
        <v>599</v>
      </c>
      <c r="V97" s="125">
        <v>599</v>
      </c>
      <c r="W97" s="125">
        <v>599</v>
      </c>
      <c r="X97" s="125">
        <v>549</v>
      </c>
      <c r="Y97" s="125">
        <v>549</v>
      </c>
      <c r="Z97" s="125">
        <v>549</v>
      </c>
      <c r="AA97" s="125">
        <v>549</v>
      </c>
      <c r="AB97" s="125"/>
      <c r="AC97" s="125"/>
      <c r="AD97" s="125"/>
      <c r="AE97" s="125"/>
      <c r="AF97" s="125"/>
      <c r="AG97" s="125"/>
      <c r="AH97" s="125"/>
      <c r="AI97" s="125"/>
      <c r="AJ97" s="125"/>
      <c r="AK97" s="125"/>
      <c r="AL97" s="125"/>
      <c r="AM97" s="111" t="s">
        <v>680</v>
      </c>
    </row>
    <row r="98" spans="2:39" ht="15.5">
      <c r="B98" s="123" t="s">
        <v>744</v>
      </c>
      <c r="C98" s="122">
        <v>4016413</v>
      </c>
      <c r="D98" s="129" t="s">
        <v>854</v>
      </c>
      <c r="E98" s="129" t="s">
        <v>855</v>
      </c>
      <c r="F98" s="124">
        <v>999</v>
      </c>
      <c r="G98" s="124">
        <v>999</v>
      </c>
      <c r="H98" s="124">
        <v>999</v>
      </c>
      <c r="I98" s="124">
        <v>999</v>
      </c>
      <c r="J98" s="109">
        <v>949</v>
      </c>
      <c r="K98" s="109">
        <v>949</v>
      </c>
      <c r="L98" s="109">
        <v>949</v>
      </c>
      <c r="M98" s="125">
        <v>949</v>
      </c>
      <c r="N98" s="125">
        <v>949</v>
      </c>
      <c r="O98" s="109">
        <v>899</v>
      </c>
      <c r="P98" s="109">
        <v>799</v>
      </c>
      <c r="Q98" s="109">
        <v>599</v>
      </c>
      <c r="R98" s="125">
        <v>899</v>
      </c>
      <c r="S98" s="125">
        <v>799</v>
      </c>
      <c r="T98" s="125">
        <v>599</v>
      </c>
      <c r="U98" s="125">
        <v>599</v>
      </c>
      <c r="V98" s="125">
        <v>599</v>
      </c>
      <c r="W98" s="125">
        <v>599</v>
      </c>
      <c r="X98" s="125">
        <v>549</v>
      </c>
      <c r="Y98" s="125">
        <v>549</v>
      </c>
      <c r="Z98" s="125">
        <v>549</v>
      </c>
      <c r="AA98" s="125">
        <v>549</v>
      </c>
      <c r="AB98" s="125"/>
      <c r="AC98" s="125"/>
      <c r="AD98" s="125"/>
      <c r="AE98" s="125"/>
      <c r="AF98" s="125"/>
      <c r="AG98" s="125"/>
      <c r="AH98" s="125"/>
      <c r="AI98" s="125"/>
      <c r="AJ98" s="125"/>
      <c r="AK98" s="125"/>
      <c r="AL98" s="125"/>
      <c r="AM98" s="111" t="s">
        <v>680</v>
      </c>
    </row>
    <row r="99" spans="2:39" ht="15.5">
      <c r="B99" s="123" t="s">
        <v>744</v>
      </c>
      <c r="C99" s="122">
        <v>4016414</v>
      </c>
      <c r="D99" s="129" t="s">
        <v>854</v>
      </c>
      <c r="E99" s="107" t="s">
        <v>856</v>
      </c>
      <c r="F99" s="124">
        <v>999</v>
      </c>
      <c r="G99" s="124">
        <v>999</v>
      </c>
      <c r="H99" s="124">
        <v>999</v>
      </c>
      <c r="I99" s="124">
        <v>999</v>
      </c>
      <c r="J99" s="109">
        <v>949</v>
      </c>
      <c r="K99" s="109">
        <v>949</v>
      </c>
      <c r="L99" s="109">
        <v>949</v>
      </c>
      <c r="M99" s="125">
        <v>949</v>
      </c>
      <c r="N99" s="125">
        <v>949</v>
      </c>
      <c r="O99" s="109">
        <v>899</v>
      </c>
      <c r="P99" s="109">
        <v>799</v>
      </c>
      <c r="Q99" s="109">
        <v>599</v>
      </c>
      <c r="R99" s="125">
        <v>899</v>
      </c>
      <c r="S99" s="125">
        <v>799</v>
      </c>
      <c r="T99" s="125">
        <v>599</v>
      </c>
      <c r="U99" s="125">
        <v>599</v>
      </c>
      <c r="V99" s="125">
        <v>599</v>
      </c>
      <c r="W99" s="125">
        <v>599</v>
      </c>
      <c r="X99" s="125">
        <v>549</v>
      </c>
      <c r="Y99" s="125">
        <v>549</v>
      </c>
      <c r="Z99" s="125">
        <v>549</v>
      </c>
      <c r="AA99" s="125">
        <v>549</v>
      </c>
      <c r="AB99" s="125"/>
      <c r="AC99" s="125"/>
      <c r="AD99" s="125"/>
      <c r="AE99" s="125"/>
      <c r="AF99" s="125"/>
      <c r="AG99" s="125"/>
      <c r="AH99" s="125"/>
      <c r="AI99" s="125"/>
      <c r="AJ99" s="125"/>
      <c r="AK99" s="125"/>
      <c r="AL99" s="125"/>
      <c r="AM99" s="111" t="s">
        <v>680</v>
      </c>
    </row>
    <row r="100" spans="2:39" ht="15.5">
      <c r="B100" s="123" t="s">
        <v>744</v>
      </c>
      <c r="C100" s="122">
        <v>4017227</v>
      </c>
      <c r="D100" s="129" t="s">
        <v>857</v>
      </c>
      <c r="E100" s="107" t="s">
        <v>858</v>
      </c>
      <c r="F100" s="124">
        <v>1699</v>
      </c>
      <c r="G100" s="124">
        <v>899</v>
      </c>
      <c r="H100" s="124">
        <v>1699</v>
      </c>
      <c r="I100" s="124">
        <v>1699</v>
      </c>
      <c r="J100" s="109">
        <v>1649</v>
      </c>
      <c r="K100" s="109">
        <v>1649</v>
      </c>
      <c r="L100" s="109">
        <v>1649</v>
      </c>
      <c r="M100" s="125">
        <v>1649</v>
      </c>
      <c r="N100" s="125">
        <v>1649</v>
      </c>
      <c r="O100" s="109">
        <v>1599</v>
      </c>
      <c r="P100" s="109">
        <v>1499</v>
      </c>
      <c r="Q100" s="109">
        <v>999</v>
      </c>
      <c r="R100" s="125">
        <v>1599</v>
      </c>
      <c r="S100" s="125">
        <v>1499</v>
      </c>
      <c r="T100" s="125">
        <v>999</v>
      </c>
      <c r="U100" s="125">
        <v>999</v>
      </c>
      <c r="V100" s="125">
        <v>1299</v>
      </c>
      <c r="W100" s="125">
        <v>1299</v>
      </c>
      <c r="X100" s="125">
        <v>1199</v>
      </c>
      <c r="Y100" s="125">
        <v>899</v>
      </c>
      <c r="Z100" s="125">
        <v>899</v>
      </c>
      <c r="AA100" s="125">
        <v>849</v>
      </c>
      <c r="AB100" s="125"/>
      <c r="AC100" s="125"/>
      <c r="AD100" s="125"/>
      <c r="AE100" s="125"/>
      <c r="AF100" s="125"/>
      <c r="AG100" s="125"/>
      <c r="AH100" s="125"/>
      <c r="AI100" s="125"/>
      <c r="AJ100" s="125"/>
      <c r="AK100" s="125"/>
      <c r="AL100" s="125"/>
      <c r="AM100" s="111" t="s">
        <v>680</v>
      </c>
    </row>
    <row r="101" spans="2:39" ht="15.5">
      <c r="B101" s="123" t="s">
        <v>744</v>
      </c>
      <c r="C101" s="122">
        <v>4017223</v>
      </c>
      <c r="D101" s="129" t="s">
        <v>859</v>
      </c>
      <c r="E101" s="107" t="s">
        <v>860</v>
      </c>
      <c r="F101" s="124">
        <v>1999</v>
      </c>
      <c r="G101" s="124">
        <v>1199</v>
      </c>
      <c r="H101" s="124">
        <v>1999</v>
      </c>
      <c r="I101" s="124">
        <v>1999</v>
      </c>
      <c r="J101" s="109">
        <v>1949</v>
      </c>
      <c r="K101" s="109">
        <v>1949</v>
      </c>
      <c r="L101" s="109">
        <v>1949</v>
      </c>
      <c r="M101" s="125">
        <v>1949</v>
      </c>
      <c r="N101" s="125">
        <v>1949</v>
      </c>
      <c r="O101" s="109">
        <v>1899</v>
      </c>
      <c r="P101" s="109">
        <v>1799</v>
      </c>
      <c r="Q101" s="109">
        <v>1299</v>
      </c>
      <c r="R101" s="125">
        <v>1899</v>
      </c>
      <c r="S101" s="125">
        <v>1799</v>
      </c>
      <c r="T101" s="125">
        <v>1299</v>
      </c>
      <c r="U101" s="125">
        <v>1299</v>
      </c>
      <c r="V101" s="125">
        <v>1599</v>
      </c>
      <c r="W101" s="125">
        <v>1599</v>
      </c>
      <c r="X101" s="125">
        <v>1499</v>
      </c>
      <c r="Y101" s="125">
        <v>1199</v>
      </c>
      <c r="Z101" s="125">
        <v>1199</v>
      </c>
      <c r="AA101" s="125">
        <v>1149</v>
      </c>
      <c r="AB101" s="125"/>
      <c r="AC101" s="125"/>
      <c r="AD101" s="125"/>
      <c r="AE101" s="125"/>
      <c r="AF101" s="125"/>
      <c r="AG101" s="125"/>
      <c r="AH101" s="125"/>
      <c r="AI101" s="125"/>
      <c r="AJ101" s="125"/>
      <c r="AK101" s="125"/>
      <c r="AL101" s="125"/>
      <c r="AM101" s="111" t="s">
        <v>680</v>
      </c>
    </row>
    <row r="102" spans="2:39" ht="15.5">
      <c r="B102" s="121" t="s">
        <v>677</v>
      </c>
      <c r="C102" s="122">
        <v>4014008</v>
      </c>
      <c r="D102" s="123" t="s">
        <v>861</v>
      </c>
      <c r="E102" s="107" t="s">
        <v>862</v>
      </c>
      <c r="F102" s="124">
        <v>49</v>
      </c>
      <c r="G102" s="124">
        <v>49</v>
      </c>
      <c r="H102" s="125"/>
      <c r="I102" s="125"/>
      <c r="J102" s="109"/>
      <c r="K102" s="109"/>
      <c r="L102" s="109"/>
      <c r="M102" s="126"/>
      <c r="N102" s="126"/>
      <c r="O102" s="114"/>
      <c r="P102" s="109"/>
      <c r="Q102" s="109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>
        <v>39</v>
      </c>
      <c r="AC102" s="126">
        <v>39</v>
      </c>
      <c r="AD102" s="126">
        <v>39</v>
      </c>
      <c r="AE102" s="126">
        <v>39</v>
      </c>
      <c r="AF102" s="126">
        <v>39</v>
      </c>
      <c r="AG102" s="126">
        <v>39</v>
      </c>
      <c r="AH102" s="126">
        <v>39</v>
      </c>
      <c r="AI102" s="126">
        <v>39</v>
      </c>
      <c r="AJ102" s="126">
        <v>39</v>
      </c>
      <c r="AK102" s="126">
        <v>39</v>
      </c>
      <c r="AL102" s="126">
        <v>39</v>
      </c>
      <c r="AM102" s="111" t="s">
        <v>680</v>
      </c>
    </row>
    <row r="103" spans="2:39" ht="15.5">
      <c r="B103" s="121" t="s">
        <v>677</v>
      </c>
      <c r="C103" s="134">
        <v>4013980</v>
      </c>
      <c r="D103" s="123" t="s">
        <v>863</v>
      </c>
      <c r="E103" s="107" t="s">
        <v>864</v>
      </c>
      <c r="F103" s="124">
        <v>299</v>
      </c>
      <c r="G103" s="124">
        <v>299</v>
      </c>
      <c r="H103" s="125"/>
      <c r="I103" s="125"/>
      <c r="J103" s="109"/>
      <c r="K103" s="109"/>
      <c r="L103" s="109"/>
      <c r="M103" s="126"/>
      <c r="N103" s="126"/>
      <c r="O103" s="109"/>
      <c r="P103" s="109"/>
      <c r="Q103" s="109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>
        <v>289</v>
      </c>
      <c r="AC103" s="126">
        <v>289</v>
      </c>
      <c r="AD103" s="126">
        <v>289</v>
      </c>
      <c r="AE103" s="126">
        <v>289</v>
      </c>
      <c r="AF103" s="126">
        <v>289</v>
      </c>
      <c r="AG103" s="126">
        <v>289</v>
      </c>
      <c r="AH103" s="126">
        <v>289</v>
      </c>
      <c r="AI103" s="126">
        <v>289</v>
      </c>
      <c r="AJ103" s="126">
        <v>289</v>
      </c>
      <c r="AK103" s="126">
        <v>289</v>
      </c>
      <c r="AL103" s="126">
        <v>289</v>
      </c>
      <c r="AM103" s="111" t="s">
        <v>680</v>
      </c>
    </row>
    <row r="104" spans="2:39" ht="15.5">
      <c r="B104" s="123" t="s">
        <v>681</v>
      </c>
      <c r="C104" s="122">
        <v>4016356</v>
      </c>
      <c r="D104" s="129" t="s">
        <v>865</v>
      </c>
      <c r="E104" s="107" t="s">
        <v>866</v>
      </c>
      <c r="F104" s="124">
        <v>149</v>
      </c>
      <c r="G104" s="124">
        <v>149</v>
      </c>
      <c r="H104" s="125"/>
      <c r="I104" s="125"/>
      <c r="J104" s="109"/>
      <c r="K104" s="109"/>
      <c r="L104" s="109"/>
      <c r="M104" s="125"/>
      <c r="N104" s="125"/>
      <c r="O104" s="109"/>
      <c r="P104" s="109"/>
      <c r="Q104" s="109"/>
      <c r="R104" s="125"/>
      <c r="S104" s="125"/>
      <c r="T104" s="125"/>
      <c r="U104" s="125"/>
      <c r="V104" s="125"/>
      <c r="W104" s="125"/>
      <c r="X104" s="125"/>
      <c r="Y104" s="128"/>
      <c r="Z104" s="128"/>
      <c r="AA104" s="125"/>
      <c r="AB104" s="125"/>
      <c r="AC104" s="125"/>
      <c r="AD104" s="125"/>
      <c r="AE104" s="125"/>
      <c r="AF104" s="125"/>
      <c r="AG104" s="125"/>
      <c r="AH104" s="125"/>
      <c r="AI104" s="125"/>
      <c r="AJ104" s="125"/>
      <c r="AK104" s="125"/>
      <c r="AL104" s="125"/>
      <c r="AM104" s="111" t="s">
        <v>680</v>
      </c>
    </row>
    <row r="105" spans="2:39" ht="15.5">
      <c r="B105" s="123" t="s">
        <v>744</v>
      </c>
      <c r="C105" s="122">
        <v>4017692</v>
      </c>
      <c r="D105" s="129" t="s">
        <v>867</v>
      </c>
      <c r="E105" s="107" t="s">
        <v>868</v>
      </c>
      <c r="F105" s="124">
        <v>2499</v>
      </c>
      <c r="G105" s="124">
        <v>1999</v>
      </c>
      <c r="H105" s="125">
        <v>2499</v>
      </c>
      <c r="I105" s="125">
        <v>2499</v>
      </c>
      <c r="J105" s="109">
        <v>2449</v>
      </c>
      <c r="K105" s="109">
        <v>2449</v>
      </c>
      <c r="L105" s="109">
        <v>2449</v>
      </c>
      <c r="M105" s="125">
        <v>2449</v>
      </c>
      <c r="N105" s="125">
        <v>2449</v>
      </c>
      <c r="O105" s="109">
        <v>2399</v>
      </c>
      <c r="P105" s="109">
        <v>2399</v>
      </c>
      <c r="Q105" s="109">
        <v>1799</v>
      </c>
      <c r="R105" s="125">
        <v>2399</v>
      </c>
      <c r="S105" s="125">
        <v>2299</v>
      </c>
      <c r="T105" s="125">
        <v>1799</v>
      </c>
      <c r="U105" s="125">
        <v>1999</v>
      </c>
      <c r="V105" s="125">
        <v>2099</v>
      </c>
      <c r="W105" s="125">
        <v>2099</v>
      </c>
      <c r="X105" s="125">
        <v>1999</v>
      </c>
      <c r="Y105" s="128">
        <v>1299</v>
      </c>
      <c r="Z105" s="128">
        <v>1299</v>
      </c>
      <c r="AA105" s="125">
        <v>1249</v>
      </c>
      <c r="AB105" s="125">
        <v>2449</v>
      </c>
      <c r="AC105" s="125">
        <v>2449</v>
      </c>
      <c r="AD105" s="125">
        <v>2449</v>
      </c>
      <c r="AE105" s="125">
        <v>2399</v>
      </c>
      <c r="AF105" s="125">
        <v>2399</v>
      </c>
      <c r="AG105" s="125">
        <v>2399</v>
      </c>
      <c r="AH105" s="125">
        <v>2399</v>
      </c>
      <c r="AI105" s="125">
        <v>1999</v>
      </c>
      <c r="AJ105" s="125">
        <v>1999</v>
      </c>
      <c r="AK105" s="125">
        <v>1999</v>
      </c>
      <c r="AL105" s="125">
        <v>1249</v>
      </c>
      <c r="AM105" s="111" t="s">
        <v>680</v>
      </c>
    </row>
    <row r="106" spans="2:39" ht="15.5">
      <c r="B106" s="123" t="s">
        <v>744</v>
      </c>
      <c r="C106" s="123">
        <v>4017240</v>
      </c>
      <c r="D106" s="123" t="s">
        <v>869</v>
      </c>
      <c r="E106" s="105" t="s">
        <v>870</v>
      </c>
      <c r="F106" s="124">
        <v>2699</v>
      </c>
      <c r="G106" s="124">
        <v>1999</v>
      </c>
      <c r="H106" s="125">
        <v>2699</v>
      </c>
      <c r="I106" s="125">
        <v>2699</v>
      </c>
      <c r="J106" s="109">
        <v>2649</v>
      </c>
      <c r="K106" s="109">
        <v>2649</v>
      </c>
      <c r="L106" s="109">
        <v>2649</v>
      </c>
      <c r="M106" s="125">
        <v>2649</v>
      </c>
      <c r="N106" s="125">
        <v>2649</v>
      </c>
      <c r="O106" s="109">
        <v>2599</v>
      </c>
      <c r="P106" s="109">
        <v>2499</v>
      </c>
      <c r="Q106" s="109">
        <v>1999</v>
      </c>
      <c r="R106" s="125">
        <v>2599</v>
      </c>
      <c r="S106" s="125">
        <v>2499</v>
      </c>
      <c r="T106" s="125">
        <v>1999</v>
      </c>
      <c r="U106" s="125">
        <v>1999</v>
      </c>
      <c r="V106" s="125">
        <v>2299</v>
      </c>
      <c r="W106" s="125">
        <v>2299</v>
      </c>
      <c r="X106" s="125">
        <v>2199</v>
      </c>
      <c r="Y106" s="128">
        <v>1499</v>
      </c>
      <c r="Z106" s="128">
        <v>1499</v>
      </c>
      <c r="AA106" s="125">
        <v>1449</v>
      </c>
      <c r="AB106" s="125">
        <v>2649</v>
      </c>
      <c r="AC106" s="125">
        <v>2649</v>
      </c>
      <c r="AD106" s="125">
        <v>2649</v>
      </c>
      <c r="AE106" s="125">
        <v>2499</v>
      </c>
      <c r="AF106" s="125">
        <v>2499</v>
      </c>
      <c r="AG106" s="125">
        <v>2499</v>
      </c>
      <c r="AH106" s="125">
        <v>2499</v>
      </c>
      <c r="AI106" s="125">
        <v>1999</v>
      </c>
      <c r="AJ106" s="125">
        <v>1999</v>
      </c>
      <c r="AK106" s="125">
        <v>1999</v>
      </c>
      <c r="AL106" s="125">
        <v>1449</v>
      </c>
      <c r="AM106" s="111" t="s">
        <v>680</v>
      </c>
    </row>
    <row r="270" spans="4:4">
      <c r="D270" s="11"/>
    </row>
    <row r="271" spans="4:4">
      <c r="D271" s="11"/>
    </row>
    <row r="272" spans="4:4">
      <c r="D272" s="11"/>
    </row>
    <row r="273" spans="4:4">
      <c r="D273" s="11"/>
    </row>
    <row r="274" spans="4:4">
      <c r="D274" s="11"/>
    </row>
    <row r="275" spans="4:4">
      <c r="D275" s="11"/>
    </row>
    <row r="276" spans="4:4">
      <c r="D276" s="11"/>
    </row>
    <row r="277" spans="4:4">
      <c r="D277" s="11"/>
    </row>
    <row r="278" spans="4:4">
      <c r="D278" s="11"/>
    </row>
    <row r="279" spans="4:4">
      <c r="D279" s="11"/>
    </row>
    <row r="280" spans="4:4">
      <c r="D280" s="11"/>
    </row>
    <row r="281" spans="4:4">
      <c r="D281" s="11"/>
    </row>
    <row r="282" spans="4:4">
      <c r="D282" s="11"/>
    </row>
    <row r="283" spans="4:4">
      <c r="D283" s="11"/>
    </row>
    <row r="284" spans="4:4">
      <c r="D284" s="11"/>
    </row>
    <row r="285" spans="4:4">
      <c r="D285" s="11"/>
    </row>
    <row r="286" spans="4:4">
      <c r="D286" s="11"/>
    </row>
    <row r="506" spans="13:24">
      <c r="M506">
        <v>1249</v>
      </c>
      <c r="N506">
        <v>1049</v>
      </c>
      <c r="R506">
        <v>949</v>
      </c>
      <c r="S506">
        <v>849</v>
      </c>
      <c r="T506">
        <v>749</v>
      </c>
      <c r="U506">
        <v>749</v>
      </c>
      <c r="V506">
        <v>699</v>
      </c>
      <c r="W506">
        <v>649</v>
      </c>
      <c r="X506">
        <v>599</v>
      </c>
    </row>
    <row r="507" spans="13:24">
      <c r="M507">
        <v>1249</v>
      </c>
      <c r="N507">
        <v>1049</v>
      </c>
      <c r="R507">
        <v>949</v>
      </c>
      <c r="S507">
        <v>849</v>
      </c>
      <c r="T507">
        <v>749</v>
      </c>
      <c r="U507">
        <v>749</v>
      </c>
      <c r="V507">
        <v>699</v>
      </c>
      <c r="W507">
        <v>649</v>
      </c>
      <c r="X507">
        <v>599</v>
      </c>
    </row>
    <row r="508" spans="13:24">
      <c r="M508">
        <v>1249</v>
      </c>
      <c r="N508">
        <v>1049</v>
      </c>
      <c r="R508">
        <v>949</v>
      </c>
      <c r="S508">
        <v>849</v>
      </c>
      <c r="T508">
        <v>749</v>
      </c>
      <c r="U508">
        <v>749</v>
      </c>
      <c r="V508">
        <v>699</v>
      </c>
      <c r="W508">
        <v>649</v>
      </c>
      <c r="X508">
        <v>599</v>
      </c>
    </row>
    <row r="509" spans="13:24">
      <c r="M509">
        <v>1249</v>
      </c>
      <c r="N509">
        <v>1049</v>
      </c>
      <c r="R509">
        <v>949</v>
      </c>
      <c r="S509">
        <v>849</v>
      </c>
      <c r="T509">
        <v>749</v>
      </c>
      <c r="U509">
        <v>749</v>
      </c>
      <c r="V509">
        <v>699</v>
      </c>
      <c r="W509">
        <v>649</v>
      </c>
      <c r="X509">
        <v>599</v>
      </c>
    </row>
    <row r="510" spans="13:24">
      <c r="M510">
        <v>1249</v>
      </c>
      <c r="N510">
        <v>1049</v>
      </c>
      <c r="R510">
        <v>949</v>
      </c>
      <c r="S510">
        <v>849</v>
      </c>
      <c r="T510">
        <v>749</v>
      </c>
      <c r="U510">
        <v>749</v>
      </c>
      <c r="V510">
        <v>699</v>
      </c>
      <c r="W510">
        <v>649</v>
      </c>
      <c r="X510">
        <v>599</v>
      </c>
    </row>
    <row r="511" spans="13:24">
      <c r="M511">
        <v>1249</v>
      </c>
      <c r="N511">
        <v>1049</v>
      </c>
      <c r="R511">
        <v>949</v>
      </c>
      <c r="S511">
        <v>849</v>
      </c>
      <c r="T511">
        <v>749</v>
      </c>
      <c r="U511">
        <v>749</v>
      </c>
      <c r="V511">
        <v>699</v>
      </c>
      <c r="W511">
        <v>649</v>
      </c>
      <c r="X511">
        <v>599</v>
      </c>
    </row>
    <row r="512" spans="13:24">
      <c r="M512">
        <v>1249</v>
      </c>
      <c r="N512">
        <v>1049</v>
      </c>
      <c r="R512">
        <v>949</v>
      </c>
      <c r="S512">
        <v>849</v>
      </c>
      <c r="T512">
        <v>749</v>
      </c>
      <c r="U512">
        <v>749</v>
      </c>
      <c r="V512">
        <v>699</v>
      </c>
      <c r="W512">
        <v>649</v>
      </c>
      <c r="X512">
        <v>599</v>
      </c>
    </row>
    <row r="513" spans="13:24">
      <c r="M513">
        <v>1249</v>
      </c>
      <c r="N513">
        <v>1049</v>
      </c>
      <c r="R513">
        <v>949</v>
      </c>
      <c r="S513">
        <v>849</v>
      </c>
      <c r="T513">
        <v>749</v>
      </c>
      <c r="U513">
        <v>749</v>
      </c>
      <c r="V513">
        <v>699</v>
      </c>
      <c r="W513">
        <v>649</v>
      </c>
      <c r="X513">
        <v>599</v>
      </c>
    </row>
    <row r="531" spans="13:24">
      <c r="M531">
        <v>1349</v>
      </c>
      <c r="N531">
        <v>1249</v>
      </c>
      <c r="R531">
        <v>1149</v>
      </c>
      <c r="S531">
        <v>999</v>
      </c>
      <c r="T531">
        <v>799</v>
      </c>
      <c r="U531">
        <v>799</v>
      </c>
      <c r="V531">
        <v>749</v>
      </c>
      <c r="W531">
        <v>699</v>
      </c>
      <c r="X531">
        <v>649</v>
      </c>
    </row>
    <row r="532" spans="13:24">
      <c r="M532">
        <v>1349</v>
      </c>
      <c r="N532">
        <v>1249</v>
      </c>
      <c r="R532">
        <v>1149</v>
      </c>
      <c r="S532">
        <v>999</v>
      </c>
      <c r="T532">
        <v>799</v>
      </c>
      <c r="U532">
        <v>799</v>
      </c>
      <c r="V532">
        <v>749</v>
      </c>
      <c r="W532">
        <v>699</v>
      </c>
      <c r="X532">
        <v>649</v>
      </c>
    </row>
    <row r="533" spans="13:24">
      <c r="M533">
        <v>1349</v>
      </c>
      <c r="N533">
        <v>1249</v>
      </c>
      <c r="R533">
        <v>1149</v>
      </c>
      <c r="S533">
        <v>999</v>
      </c>
      <c r="T533">
        <v>799</v>
      </c>
      <c r="U533">
        <v>799</v>
      </c>
      <c r="V533">
        <v>749</v>
      </c>
      <c r="W533">
        <v>699</v>
      </c>
      <c r="X533">
        <v>649</v>
      </c>
    </row>
    <row r="534" spans="13:24">
      <c r="M534">
        <v>1349</v>
      </c>
      <c r="N534">
        <v>1249</v>
      </c>
      <c r="R534">
        <v>1149</v>
      </c>
      <c r="S534">
        <v>999</v>
      </c>
      <c r="T534">
        <v>799</v>
      </c>
      <c r="U534">
        <v>799</v>
      </c>
      <c r="V534">
        <v>749</v>
      </c>
      <c r="W534">
        <v>699</v>
      </c>
      <c r="X534">
        <v>649</v>
      </c>
    </row>
    <row r="535" spans="13:24">
      <c r="M535">
        <v>1349</v>
      </c>
      <c r="N535">
        <v>1249</v>
      </c>
      <c r="R535">
        <v>1149</v>
      </c>
      <c r="S535">
        <v>999</v>
      </c>
      <c r="T535">
        <v>799</v>
      </c>
      <c r="U535">
        <v>799</v>
      </c>
      <c r="V535">
        <v>749</v>
      </c>
      <c r="W535">
        <v>699</v>
      </c>
      <c r="X535">
        <v>649</v>
      </c>
    </row>
    <row r="536" spans="13:24">
      <c r="M536">
        <v>1349</v>
      </c>
      <c r="N536">
        <v>1249</v>
      </c>
      <c r="R536">
        <v>1149</v>
      </c>
      <c r="S536">
        <v>999</v>
      </c>
      <c r="T536">
        <v>799</v>
      </c>
      <c r="U536">
        <v>799</v>
      </c>
      <c r="V536">
        <v>749</v>
      </c>
      <c r="W536">
        <v>699</v>
      </c>
      <c r="X536">
        <v>649</v>
      </c>
    </row>
    <row r="607" spans="13:24">
      <c r="M607">
        <v>2799</v>
      </c>
      <c r="N607">
        <v>2699</v>
      </c>
      <c r="R607">
        <v>2599</v>
      </c>
      <c r="S607">
        <v>2449</v>
      </c>
      <c r="T607">
        <v>2199</v>
      </c>
      <c r="U607">
        <v>2199</v>
      </c>
      <c r="V607">
        <v>2099</v>
      </c>
      <c r="W607">
        <v>1899</v>
      </c>
      <c r="X607">
        <v>1849</v>
      </c>
    </row>
    <row r="608" spans="13:24">
      <c r="M608">
        <v>2799</v>
      </c>
      <c r="N608">
        <v>2699</v>
      </c>
      <c r="R608">
        <v>2599</v>
      </c>
      <c r="S608">
        <v>2449</v>
      </c>
      <c r="T608">
        <v>2199</v>
      </c>
      <c r="U608">
        <v>2199</v>
      </c>
      <c r="V608">
        <v>2099</v>
      </c>
      <c r="W608">
        <v>1899</v>
      </c>
      <c r="X608">
        <v>1849</v>
      </c>
    </row>
    <row r="609" spans="13:24">
      <c r="M609">
        <v>2799</v>
      </c>
      <c r="N609">
        <v>2699</v>
      </c>
      <c r="R609">
        <v>2599</v>
      </c>
      <c r="S609">
        <v>2449</v>
      </c>
      <c r="T609">
        <v>2199</v>
      </c>
      <c r="U609">
        <v>2199</v>
      </c>
      <c r="V609">
        <v>2099</v>
      </c>
      <c r="W609">
        <v>1899</v>
      </c>
      <c r="X609">
        <v>1849</v>
      </c>
    </row>
    <row r="610" spans="13:24">
      <c r="M610">
        <v>2799</v>
      </c>
      <c r="N610">
        <v>2699</v>
      </c>
      <c r="R610">
        <v>2599</v>
      </c>
      <c r="S610">
        <v>2449</v>
      </c>
      <c r="T610">
        <v>2199</v>
      </c>
      <c r="U610">
        <v>2199</v>
      </c>
      <c r="V610">
        <v>2099</v>
      </c>
      <c r="W610">
        <v>1899</v>
      </c>
      <c r="X610">
        <v>1849</v>
      </c>
    </row>
  </sheetData>
  <autoFilter ref="B7:AN106" xr:uid="{1DA38FE9-F477-4AC7-8EB0-1C9DA41FAC08}"/>
  <mergeCells count="1">
    <mergeCell ref="AB6:AL6"/>
  </mergeCells>
  <pageMargins left="0.7" right="0.7" top="0.75" bottom="0.75" header="0.3" footer="0.3"/>
  <pageSetup orientation="portrait" r:id="rId1"/>
  <headerFooter>
    <oddFooter>&amp;C_x000D_&amp;1#&amp;"Aptos"&amp;8&amp;K737373 Classificado como Uso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B9782-79A1-4F3B-9AB3-5BCAA0C945D4}">
  <dimension ref="A1:AX479"/>
  <sheetViews>
    <sheetView showGridLines="0" zoomScale="75" zoomScaleNormal="75" workbookViewId="0">
      <pane xSplit="5" ySplit="12" topLeftCell="F421" activePane="bottomRight" state="frozen"/>
      <selection activeCell="D146" sqref="D146"/>
      <selection pane="topRight" activeCell="D146" sqref="D146"/>
      <selection pane="bottomLeft" activeCell="D146" sqref="D146"/>
      <selection pane="bottomRight" activeCell="D146" sqref="D146"/>
    </sheetView>
  </sheetViews>
  <sheetFormatPr defaultColWidth="9.1796875" defaultRowHeight="14.5"/>
  <cols>
    <col min="1" max="1" width="16.1796875" customWidth="1"/>
    <col min="2" max="2" width="20.453125" bestFit="1" customWidth="1"/>
    <col min="3" max="3" width="11.81640625" customWidth="1"/>
    <col min="4" max="4" width="53.6328125" bestFit="1" customWidth="1"/>
    <col min="5" max="5" width="60.1796875" bestFit="1" customWidth="1"/>
    <col min="6" max="6" width="11.7265625" customWidth="1"/>
    <col min="7" max="7" width="17.81640625" hidden="1" customWidth="1"/>
    <col min="8" max="8" width="22.7265625" hidden="1" customWidth="1"/>
    <col min="9" max="9" width="24.54296875" hidden="1" customWidth="1"/>
    <col min="10" max="14" width="17.81640625" customWidth="1"/>
    <col min="15" max="21" width="13.7265625" customWidth="1"/>
    <col min="22" max="38" width="16.1796875" customWidth="1"/>
    <col min="39" max="40" width="17.54296875" customWidth="1"/>
    <col min="41" max="44" width="16.26953125" customWidth="1"/>
    <col min="45" max="47" width="17.453125" customWidth="1"/>
    <col min="48" max="48" width="3.1796875" customWidth="1"/>
    <col min="49" max="49" width="16.7265625" customWidth="1"/>
    <col min="50" max="50" width="15.36328125" customWidth="1"/>
  </cols>
  <sheetData>
    <row r="1" spans="1:50" ht="18.5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50">
      <c r="G2" s="3"/>
      <c r="H2" s="3"/>
      <c r="I2" s="3"/>
      <c r="J2" s="3"/>
      <c r="K2" s="3"/>
      <c r="L2" s="3"/>
      <c r="M2" s="3"/>
      <c r="N2" s="3"/>
    </row>
    <row r="3" spans="1:50">
      <c r="F3" s="4"/>
      <c r="G3" s="3"/>
      <c r="H3" s="5"/>
      <c r="I3" s="3"/>
      <c r="J3" s="3"/>
      <c r="K3" s="3"/>
      <c r="L3" s="3"/>
      <c r="M3" s="3"/>
      <c r="N3" s="3"/>
    </row>
    <row r="4" spans="1:50" ht="15.5">
      <c r="A4" s="6"/>
      <c r="B4" s="7" t="s">
        <v>1</v>
      </c>
      <c r="C4" s="7"/>
      <c r="F4" s="4"/>
      <c r="G4" s="3"/>
      <c r="H4" s="3"/>
      <c r="I4" s="3"/>
      <c r="J4" s="3"/>
      <c r="K4" s="3"/>
      <c r="L4" s="3"/>
      <c r="M4" s="3"/>
      <c r="N4" s="3"/>
    </row>
    <row r="5" spans="1:50">
      <c r="A5" s="8"/>
      <c r="B5" s="7" t="s">
        <v>2</v>
      </c>
      <c r="C5" s="7"/>
      <c r="F5" s="9"/>
      <c r="G5" s="3"/>
      <c r="H5" s="3"/>
      <c r="I5" s="3"/>
      <c r="J5" s="3"/>
      <c r="K5" s="3"/>
      <c r="L5" s="3"/>
      <c r="M5" s="3"/>
      <c r="N5" s="3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 spans="1:50">
      <c r="B6" s="11"/>
      <c r="C6" s="7"/>
      <c r="F6" s="3"/>
      <c r="G6" s="3"/>
      <c r="H6" s="3"/>
      <c r="I6" s="3"/>
      <c r="J6" s="3"/>
      <c r="K6" s="3"/>
      <c r="L6" s="3"/>
      <c r="M6" s="3"/>
      <c r="N6" s="3"/>
      <c r="O6" s="4"/>
      <c r="P6" s="4"/>
      <c r="Q6" s="4"/>
      <c r="R6" s="4"/>
      <c r="S6" s="4"/>
      <c r="T6" s="4"/>
      <c r="U6" s="4"/>
    </row>
    <row r="7" spans="1:50">
      <c r="A7" s="12" t="s">
        <v>3</v>
      </c>
      <c r="F7" s="3"/>
      <c r="G7" s="3"/>
      <c r="H7" s="13"/>
      <c r="I7" s="13"/>
      <c r="J7" s="3"/>
      <c r="K7" s="3"/>
      <c r="L7" s="3"/>
      <c r="M7" s="3"/>
      <c r="N7" s="3"/>
    </row>
    <row r="8" spans="1:50">
      <c r="A8" s="14" t="s">
        <v>4</v>
      </c>
      <c r="F8" s="3"/>
      <c r="G8" s="15"/>
      <c r="H8" s="3"/>
      <c r="I8" s="3"/>
      <c r="J8" s="3"/>
      <c r="K8" s="3"/>
      <c r="L8" s="3"/>
      <c r="M8" s="3"/>
      <c r="N8" s="3"/>
      <c r="W8" s="4"/>
    </row>
    <row r="9" spans="1:50">
      <c r="A9" t="s">
        <v>5</v>
      </c>
      <c r="B9" t="s">
        <v>6</v>
      </c>
      <c r="F9" s="3"/>
      <c r="G9" s="3"/>
      <c r="H9" s="15"/>
      <c r="I9" s="3"/>
      <c r="J9" s="3"/>
      <c r="K9" s="3"/>
      <c r="L9" s="3"/>
      <c r="M9" s="3"/>
      <c r="N9" s="3"/>
    </row>
    <row r="10" spans="1:50" ht="18.5">
      <c r="B10" s="16"/>
      <c r="C10" s="17"/>
      <c r="D10" s="18"/>
      <c r="E10" s="17"/>
      <c r="F10" s="3"/>
      <c r="G10" s="3"/>
      <c r="H10" s="5"/>
      <c r="I10" s="3"/>
      <c r="J10" s="3"/>
      <c r="K10" s="3"/>
      <c r="L10" s="3"/>
      <c r="M10" s="3"/>
      <c r="N10" s="3"/>
      <c r="O10" s="19"/>
      <c r="P10" s="19"/>
      <c r="Q10" s="19"/>
      <c r="R10" s="19"/>
      <c r="S10" s="19"/>
      <c r="T10" s="20"/>
      <c r="U10" s="20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</row>
    <row r="11" spans="1:50" ht="16" thickBot="1">
      <c r="C11" t="s">
        <v>7</v>
      </c>
      <c r="D11" s="21">
        <f>REV!D11</f>
        <v>46246</v>
      </c>
      <c r="H11" s="203"/>
      <c r="I11" s="203"/>
      <c r="J11" s="204" t="s">
        <v>8</v>
      </c>
      <c r="K11" s="205"/>
      <c r="L11" s="205"/>
      <c r="M11" s="205"/>
      <c r="N11" s="205"/>
      <c r="O11" s="205"/>
      <c r="P11" s="205"/>
      <c r="Q11" s="205"/>
      <c r="R11" s="205"/>
      <c r="S11" s="205"/>
      <c r="T11" s="205"/>
      <c r="U11" s="205"/>
      <c r="V11" s="205"/>
      <c r="W11" s="205"/>
      <c r="X11" s="205"/>
      <c r="Y11" s="205"/>
      <c r="Z11" s="205"/>
      <c r="AA11" s="206"/>
      <c r="AB11" s="207"/>
      <c r="AC11" s="207"/>
      <c r="AD11" s="207"/>
      <c r="AE11" s="207"/>
      <c r="AF11" s="207"/>
      <c r="AG11" s="207"/>
      <c r="AH11" s="207"/>
      <c r="AI11" s="207"/>
      <c r="AJ11" s="207"/>
      <c r="AK11" s="207"/>
      <c r="AL11" s="207"/>
      <c r="AM11" s="208" t="s">
        <v>9</v>
      </c>
      <c r="AN11" s="209"/>
      <c r="AO11" s="209"/>
      <c r="AP11" s="210" t="s">
        <v>10</v>
      </c>
      <c r="AQ11" s="211"/>
      <c r="AR11" s="211"/>
      <c r="AS11" s="211"/>
      <c r="AT11" s="211"/>
      <c r="AU11" s="212"/>
      <c r="AV11" s="22"/>
    </row>
    <row r="12" spans="1:50" ht="62.5" thickBot="1">
      <c r="A12" s="24" t="s">
        <v>11</v>
      </c>
      <c r="B12" s="24" t="s">
        <v>12</v>
      </c>
      <c r="C12" s="24" t="s">
        <v>13</v>
      </c>
      <c r="D12" s="24" t="s">
        <v>14</v>
      </c>
      <c r="E12" s="25" t="s">
        <v>15</v>
      </c>
      <c r="F12" s="26" t="s">
        <v>871</v>
      </c>
      <c r="G12" s="27" t="s">
        <v>17</v>
      </c>
      <c r="H12" s="28" t="s">
        <v>18</v>
      </c>
      <c r="I12" s="29" t="s">
        <v>19</v>
      </c>
      <c r="J12" s="30" t="s">
        <v>20</v>
      </c>
      <c r="K12" s="30" t="s">
        <v>21</v>
      </c>
      <c r="L12" s="30" t="s">
        <v>22</v>
      </c>
      <c r="M12" s="30" t="s">
        <v>23</v>
      </c>
      <c r="N12" s="30" t="s">
        <v>24</v>
      </c>
      <c r="O12" s="31" t="s">
        <v>25</v>
      </c>
      <c r="P12" s="31" t="s">
        <v>26</v>
      </c>
      <c r="Q12" s="31" t="s">
        <v>27</v>
      </c>
      <c r="R12" s="31" t="s">
        <v>28</v>
      </c>
      <c r="S12" s="31" t="s">
        <v>29</v>
      </c>
      <c r="T12" s="31" t="s">
        <v>30</v>
      </c>
      <c r="U12" s="31" t="s">
        <v>31</v>
      </c>
      <c r="V12" s="32" t="s">
        <v>32</v>
      </c>
      <c r="W12" s="32" t="s">
        <v>33</v>
      </c>
      <c r="X12" s="32" t="s">
        <v>34</v>
      </c>
      <c r="Y12" s="32" t="s">
        <v>35</v>
      </c>
      <c r="Z12" s="32" t="s">
        <v>36</v>
      </c>
      <c r="AA12" s="32" t="s">
        <v>37</v>
      </c>
      <c r="AB12" s="33" t="s">
        <v>38</v>
      </c>
      <c r="AC12" s="33" t="s">
        <v>39</v>
      </c>
      <c r="AD12" s="33" t="s">
        <v>40</v>
      </c>
      <c r="AE12" s="33" t="s">
        <v>41</v>
      </c>
      <c r="AF12" s="33" t="s">
        <v>42</v>
      </c>
      <c r="AG12" s="33" t="s">
        <v>43</v>
      </c>
      <c r="AH12" s="33" t="s">
        <v>44</v>
      </c>
      <c r="AI12" s="33" t="s">
        <v>45</v>
      </c>
      <c r="AJ12" s="33" t="s">
        <v>46</v>
      </c>
      <c r="AK12" s="33" t="s">
        <v>47</v>
      </c>
      <c r="AL12" s="33" t="s">
        <v>48</v>
      </c>
      <c r="AM12" s="34" t="s">
        <v>49</v>
      </c>
      <c r="AN12" s="34" t="s">
        <v>50</v>
      </c>
      <c r="AO12" s="35" t="s">
        <v>51</v>
      </c>
      <c r="AP12" s="36" t="s">
        <v>52</v>
      </c>
      <c r="AQ12" s="36" t="s">
        <v>53</v>
      </c>
      <c r="AR12" s="36" t="s">
        <v>54</v>
      </c>
      <c r="AS12" s="36" t="s">
        <v>55</v>
      </c>
      <c r="AT12" s="36" t="s">
        <v>56</v>
      </c>
      <c r="AU12" s="36" t="s">
        <v>57</v>
      </c>
      <c r="AV12" s="37"/>
      <c r="AW12" s="148" t="s">
        <v>58</v>
      </c>
      <c r="AX12" s="148" t="s">
        <v>59</v>
      </c>
    </row>
    <row r="13" spans="1:50" ht="22.5" customHeight="1">
      <c r="A13" s="41" t="s">
        <v>63</v>
      </c>
      <c r="B13" s="42" t="s">
        <v>64</v>
      </c>
      <c r="C13" s="43">
        <v>4014380</v>
      </c>
      <c r="D13" s="44" t="s">
        <v>65</v>
      </c>
      <c r="E13" s="44" t="s">
        <v>66</v>
      </c>
      <c r="F13" s="45">
        <v>100</v>
      </c>
      <c r="G13" s="45"/>
      <c r="H13" s="46"/>
      <c r="I13" s="46"/>
      <c r="J13" s="46">
        <f>IF(VLOOKUP($C13,REV!$C:$AA,8,0)-'TRADE IN'!$F13=0,"",(VLOOKUP($C13,REV!$C:$AA,8,0)-'TRADE IN'!$F13))</f>
        <v>899</v>
      </c>
      <c r="K13" s="46">
        <f>IF(VLOOKUP($C13,REV!$C:$AA,9,0)-'TRADE IN'!$F13=0,"",(VLOOKUP($C13,REV!$C:$AA,9,0)-'TRADE IN'!$F13))</f>
        <v>899</v>
      </c>
      <c r="L13" s="46">
        <f>IF(VLOOKUP($C13,REV!$C:$AA,10,0)-'TRADE IN'!$F13=0,"",(VLOOKUP($C13,REV!$C:$AA,10,0)-'TRADE IN'!$F13))</f>
        <v>899</v>
      </c>
      <c r="M13" s="46">
        <f>IF(VLOOKUP($C13,REV!$C:$AA,11,0)-'TRADE IN'!$F13=0,"",(VLOOKUP($C13,REV!$C:$AA,11,0)-'TRADE IN'!$F13))</f>
        <v>899</v>
      </c>
      <c r="N13" s="46">
        <f>IF(VLOOKUP($C13,REV!$C:$AA,12,0)-'TRADE IN'!$F13=0,"",(VLOOKUP($C13,REV!$C:$AA,12,0)-'TRADE IN'!$F13))</f>
        <v>899</v>
      </c>
      <c r="O13" s="46">
        <f>IF(VLOOKUP($C13,REV!$C:$AA,13,0)-'TRADE IN'!$F13=0,"",(VLOOKUP($C13,REV!$C:$AA,13,0)-'TRADE IN'!$F13))</f>
        <v>899</v>
      </c>
      <c r="P13" s="46">
        <f>IF(VLOOKUP($C13,REV!$C:$AA,14,0)-'TRADE IN'!$F13=0,"",(VLOOKUP($C13,REV!$C:$AA,14,0)-'TRADE IN'!$F13))</f>
        <v>899</v>
      </c>
      <c r="Q13" s="46">
        <f>IF(VLOOKUP($C13,REV!$C:$AA,15,0)-'TRADE IN'!$F13=0,"",(VLOOKUP($C13,REV!$C:$AA,15,0)-'TRADE IN'!$F13))</f>
        <v>899</v>
      </c>
      <c r="R13" s="46">
        <f>IF(VLOOKUP($C13,REV!$C:$AA,16,0)-'TRADE IN'!$F13=0,"",(VLOOKUP($C13,REV!$C:$AA,16,0)-'TRADE IN'!$F13))</f>
        <v>899</v>
      </c>
      <c r="S13" s="46">
        <f>IF(VLOOKUP($C13,REV!$C:$AA,17,0)-'TRADE IN'!$F13=0,"",(VLOOKUP($C13,REV!$C:$AA,17,0)-'TRADE IN'!$F13))</f>
        <v>899</v>
      </c>
      <c r="T13" s="46">
        <f>IF(VLOOKUP($C13,REV!$C:$AA,18,0)-'TRADE IN'!$F13=0,"",(VLOOKUP($C13,REV!$C:$AA,18,0)-'TRADE IN'!$F13))</f>
        <v>899</v>
      </c>
      <c r="U13" s="46">
        <f>IF(VLOOKUP($C13,REV!$C:$AA,19,0)-'TRADE IN'!$F13=0,"",(VLOOKUP($C13,REV!$C:$AA,19,0)-'TRADE IN'!$F13))</f>
        <v>899</v>
      </c>
      <c r="V13" s="46">
        <f>IF(VLOOKUP($C13,REV!$C:$AA,20,0)-'TRADE IN'!$F13=0,"",(VLOOKUP($C13,REV!$C:$AA,20,0)-'TRADE IN'!$F13))</f>
        <v>899</v>
      </c>
      <c r="W13" s="46">
        <f>IF(VLOOKUP($C13,REV!$C:$AA,21,0)-'TRADE IN'!$F13=0,"",(VLOOKUP($C13,REV!$C:$AA,21,0)-'TRADE IN'!$F13))</f>
        <v>899</v>
      </c>
      <c r="X13" s="46">
        <f>IF(VLOOKUP($C13,REV!$C:$AA,22,0)-'TRADE IN'!$F13=0,"",(VLOOKUP($C13,REV!$C:$AA,22,0)-'TRADE IN'!$F13))</f>
        <v>899</v>
      </c>
      <c r="Y13" s="46">
        <f>IF(VLOOKUP($C13,REV!$C:$AA,23,0)-'TRADE IN'!$F13=0,"",(VLOOKUP($C13,REV!$C:$AA,23,0)-'TRADE IN'!$F13))</f>
        <v>899</v>
      </c>
      <c r="Z13" s="46">
        <f>IF(VLOOKUP($C13,REV!$C:$AA,24,0)-'TRADE IN'!$F13=0,"",(VLOOKUP($C13,REV!$C:$AA,24,0)-'TRADE IN'!$F13))</f>
        <v>899</v>
      </c>
      <c r="AA13" s="46">
        <f>IF(VLOOKUP($C13,REV!$C:$AA,25,0)-'TRADE IN'!$F13=0,"",(VLOOKUP($C13,REV!$C:$AA,25,0)-'TRADE IN'!$F13))</f>
        <v>899</v>
      </c>
      <c r="AB13" s="45"/>
      <c r="AC13" s="45"/>
      <c r="AD13" s="45"/>
      <c r="AE13" s="45"/>
      <c r="AF13" s="45"/>
      <c r="AG13" s="45"/>
      <c r="AH13" s="45"/>
      <c r="AI13" s="45"/>
      <c r="AJ13" s="45"/>
      <c r="AK13" s="45"/>
      <c r="AL13" s="45"/>
      <c r="AM13" s="45"/>
      <c r="AN13" s="45"/>
      <c r="AO13" s="45"/>
      <c r="AP13" s="45"/>
      <c r="AQ13" s="45"/>
      <c r="AR13" s="45"/>
      <c r="AS13" s="45"/>
      <c r="AT13" s="45"/>
      <c r="AU13" s="45"/>
      <c r="AV13" s="47"/>
      <c r="AW13" s="48" t="str">
        <f>REV!AW13</f>
        <v>13.08.2026</v>
      </c>
      <c r="AX13" s="149" t="s">
        <v>68</v>
      </c>
    </row>
    <row r="14" spans="1:50" ht="22.5" customHeight="1">
      <c r="A14" s="41" t="s">
        <v>63</v>
      </c>
      <c r="B14" s="42" t="s">
        <v>64</v>
      </c>
      <c r="C14" s="43">
        <v>4014382</v>
      </c>
      <c r="D14" s="44" t="s">
        <v>65</v>
      </c>
      <c r="E14" s="44" t="s">
        <v>69</v>
      </c>
      <c r="F14" s="45">
        <v>100</v>
      </c>
      <c r="G14" s="45"/>
      <c r="H14" s="46"/>
      <c r="I14" s="46"/>
      <c r="J14" s="46">
        <f>IF(VLOOKUP($C14,REV!$C:$AA,8,0)-'TRADE IN'!$F14=0,"",(VLOOKUP($C14,REV!$C:$AA,8,0)-'TRADE IN'!$F14))</f>
        <v>899</v>
      </c>
      <c r="K14" s="46">
        <f>IF(VLOOKUP($C14,REV!$C:$AA,9,0)-'TRADE IN'!$F14=0,"",(VLOOKUP($C14,REV!$C:$AA,9,0)-'TRADE IN'!$F14))</f>
        <v>899</v>
      </c>
      <c r="L14" s="46">
        <f>IF(VLOOKUP($C14,REV!$C:$AA,10,0)-'TRADE IN'!$F14=0,"",(VLOOKUP($C14,REV!$C:$AA,10,0)-'TRADE IN'!$F14))</f>
        <v>899</v>
      </c>
      <c r="M14" s="46">
        <f>IF(VLOOKUP($C14,REV!$C:$AA,11,0)-'TRADE IN'!$F14=0,"",(VLOOKUP($C14,REV!$C:$AA,11,0)-'TRADE IN'!$F14))</f>
        <v>899</v>
      </c>
      <c r="N14" s="46">
        <f>IF(VLOOKUP($C14,REV!$C:$AA,12,0)-'TRADE IN'!$F14=0,"",(VLOOKUP($C14,REV!$C:$AA,12,0)-'TRADE IN'!$F14))</f>
        <v>899</v>
      </c>
      <c r="O14" s="46">
        <f>IF(VLOOKUP($C14,REV!$C:$AA,13,0)-'TRADE IN'!$F14=0,"",(VLOOKUP($C14,REV!$C:$AA,13,0)-'TRADE IN'!$F14))</f>
        <v>899</v>
      </c>
      <c r="P14" s="46">
        <f>IF(VLOOKUP($C14,REV!$C:$AA,14,0)-'TRADE IN'!$F14=0,"",(VLOOKUP($C14,REV!$C:$AA,14,0)-'TRADE IN'!$F14))</f>
        <v>899</v>
      </c>
      <c r="Q14" s="46">
        <f>IF(VLOOKUP($C14,REV!$C:$AA,15,0)-'TRADE IN'!$F14=0,"",(VLOOKUP($C14,REV!$C:$AA,15,0)-'TRADE IN'!$F14))</f>
        <v>899</v>
      </c>
      <c r="R14" s="46">
        <f>IF(VLOOKUP($C14,REV!$C:$AA,16,0)-'TRADE IN'!$F14=0,"",(VLOOKUP($C14,REV!$C:$AA,16,0)-'TRADE IN'!$F14))</f>
        <v>899</v>
      </c>
      <c r="S14" s="46">
        <f>IF(VLOOKUP($C14,REV!$C:$AA,17,0)-'TRADE IN'!$F14=0,"",(VLOOKUP($C14,REV!$C:$AA,17,0)-'TRADE IN'!$F14))</f>
        <v>899</v>
      </c>
      <c r="T14" s="46">
        <f>IF(VLOOKUP($C14,REV!$C:$AA,18,0)-'TRADE IN'!$F14=0,"",(VLOOKUP($C14,REV!$C:$AA,18,0)-'TRADE IN'!$F14))</f>
        <v>899</v>
      </c>
      <c r="U14" s="46">
        <f>IF(VLOOKUP($C14,REV!$C:$AA,19,0)-'TRADE IN'!$F14=0,"",(VLOOKUP($C14,REV!$C:$AA,19,0)-'TRADE IN'!$F14))</f>
        <v>899</v>
      </c>
      <c r="V14" s="46">
        <f>IF(VLOOKUP($C14,REV!$C:$AA,20,0)-'TRADE IN'!$F14=0,"",(VLOOKUP($C14,REV!$C:$AA,20,0)-'TRADE IN'!$F14))</f>
        <v>899</v>
      </c>
      <c r="W14" s="46">
        <f>IF(VLOOKUP($C14,REV!$C:$AA,21,0)-'TRADE IN'!$F14=0,"",(VLOOKUP($C14,REV!$C:$AA,21,0)-'TRADE IN'!$F14))</f>
        <v>899</v>
      </c>
      <c r="X14" s="46">
        <f>IF(VLOOKUP($C14,REV!$C:$AA,22,0)-'TRADE IN'!$F14=0,"",(VLOOKUP($C14,REV!$C:$AA,22,0)-'TRADE IN'!$F14))</f>
        <v>899</v>
      </c>
      <c r="Y14" s="46">
        <f>IF(VLOOKUP($C14,REV!$C:$AA,23,0)-'TRADE IN'!$F14=0,"",(VLOOKUP($C14,REV!$C:$AA,23,0)-'TRADE IN'!$F14))</f>
        <v>899</v>
      </c>
      <c r="Z14" s="46">
        <f>IF(VLOOKUP($C14,REV!$C:$AA,24,0)-'TRADE IN'!$F14=0,"",(VLOOKUP($C14,REV!$C:$AA,24,0)-'TRADE IN'!$F14))</f>
        <v>899</v>
      </c>
      <c r="AA14" s="46">
        <f>IF(VLOOKUP($C14,REV!$C:$AA,25,0)-'TRADE IN'!$F14=0,"",(VLOOKUP($C14,REV!$C:$AA,25,0)-'TRADE IN'!$F14))</f>
        <v>899</v>
      </c>
      <c r="AB14" s="45"/>
      <c r="AC14" s="45"/>
      <c r="AD14" s="45"/>
      <c r="AE14" s="45"/>
      <c r="AF14" s="45"/>
      <c r="AG14" s="45"/>
      <c r="AH14" s="45"/>
      <c r="AI14" s="45"/>
      <c r="AJ14" s="45"/>
      <c r="AK14" s="45"/>
      <c r="AL14" s="45"/>
      <c r="AM14" s="45"/>
      <c r="AN14" s="45"/>
      <c r="AO14" s="45"/>
      <c r="AP14" s="45"/>
      <c r="AQ14" s="45"/>
      <c r="AR14" s="45"/>
      <c r="AS14" s="45"/>
      <c r="AT14" s="45"/>
      <c r="AU14" s="45"/>
      <c r="AV14" s="47"/>
      <c r="AW14" s="48" t="str">
        <f>REV!AW14</f>
        <v>13.08.2026</v>
      </c>
      <c r="AX14" s="149" t="s">
        <v>68</v>
      </c>
    </row>
    <row r="15" spans="1:50" ht="22.5" customHeight="1">
      <c r="A15" s="41" t="s">
        <v>63</v>
      </c>
      <c r="B15" s="42" t="s">
        <v>64</v>
      </c>
      <c r="C15" s="43">
        <v>4014391</v>
      </c>
      <c r="D15" s="44" t="s">
        <v>70</v>
      </c>
      <c r="E15" s="44" t="s">
        <v>71</v>
      </c>
      <c r="F15" s="45">
        <v>100</v>
      </c>
      <c r="G15" s="45"/>
      <c r="H15" s="46"/>
      <c r="I15" s="46"/>
      <c r="J15" s="46">
        <f>IF(VLOOKUP($C15,REV!$C:$AA,8,0)-'TRADE IN'!$F15=0,"",(VLOOKUP($C15,REV!$C:$AA,8,0)-'TRADE IN'!$F15))</f>
        <v>899</v>
      </c>
      <c r="K15" s="46">
        <f>IF(VLOOKUP($C15,REV!$C:$AA,9,0)-'TRADE IN'!$F15=0,"",(VLOOKUP($C15,REV!$C:$AA,9,0)-'TRADE IN'!$F15))</f>
        <v>899</v>
      </c>
      <c r="L15" s="46">
        <f>IF(VLOOKUP($C15,REV!$C:$AA,10,0)-'TRADE IN'!$F15=0,"",(VLOOKUP($C15,REV!$C:$AA,10,0)-'TRADE IN'!$F15))</f>
        <v>899</v>
      </c>
      <c r="M15" s="46">
        <f>IF(VLOOKUP($C15,REV!$C:$AA,11,0)-'TRADE IN'!$F15=0,"",(VLOOKUP($C15,REV!$C:$AA,11,0)-'TRADE IN'!$F15))</f>
        <v>899</v>
      </c>
      <c r="N15" s="46">
        <f>IF(VLOOKUP($C15,REV!$C:$AA,12,0)-'TRADE IN'!$F15=0,"",(VLOOKUP($C15,REV!$C:$AA,12,0)-'TRADE IN'!$F15))</f>
        <v>899</v>
      </c>
      <c r="O15" s="46">
        <f>IF(VLOOKUP($C15,REV!$C:$AA,13,0)-'TRADE IN'!$F15=0,"",(VLOOKUP($C15,REV!$C:$AA,13,0)-'TRADE IN'!$F15))</f>
        <v>899</v>
      </c>
      <c r="P15" s="46">
        <f>IF(VLOOKUP($C15,REV!$C:$AA,14,0)-'TRADE IN'!$F15=0,"",(VLOOKUP($C15,REV!$C:$AA,14,0)-'TRADE IN'!$F15))</f>
        <v>899</v>
      </c>
      <c r="Q15" s="46">
        <f>IF(VLOOKUP($C15,REV!$C:$AA,15,0)-'TRADE IN'!$F15=0,"",(VLOOKUP($C15,REV!$C:$AA,15,0)-'TRADE IN'!$F15))</f>
        <v>899</v>
      </c>
      <c r="R15" s="46">
        <f>IF(VLOOKUP($C15,REV!$C:$AA,16,0)-'TRADE IN'!$F15=0,"",(VLOOKUP($C15,REV!$C:$AA,16,0)-'TRADE IN'!$F15))</f>
        <v>899</v>
      </c>
      <c r="S15" s="46">
        <f>IF(VLOOKUP($C15,REV!$C:$AA,17,0)-'TRADE IN'!$F15=0,"",(VLOOKUP($C15,REV!$C:$AA,17,0)-'TRADE IN'!$F15))</f>
        <v>899</v>
      </c>
      <c r="T15" s="46">
        <f>IF(VLOOKUP($C15,REV!$C:$AA,18,0)-'TRADE IN'!$F15=0,"",(VLOOKUP($C15,REV!$C:$AA,18,0)-'TRADE IN'!$F15))</f>
        <v>899</v>
      </c>
      <c r="U15" s="46">
        <f>IF(VLOOKUP($C15,REV!$C:$AA,19,0)-'TRADE IN'!$F15=0,"",(VLOOKUP($C15,REV!$C:$AA,19,0)-'TRADE IN'!$F15))</f>
        <v>899</v>
      </c>
      <c r="V15" s="46">
        <f>IF(VLOOKUP($C15,REV!$C:$AA,20,0)-'TRADE IN'!$F15=0,"",(VLOOKUP($C15,REV!$C:$AA,20,0)-'TRADE IN'!$F15))</f>
        <v>899</v>
      </c>
      <c r="W15" s="46">
        <f>IF(VLOOKUP($C15,REV!$C:$AA,21,0)-'TRADE IN'!$F15=0,"",(VLOOKUP($C15,REV!$C:$AA,21,0)-'TRADE IN'!$F15))</f>
        <v>899</v>
      </c>
      <c r="X15" s="46">
        <f>IF(VLOOKUP($C15,REV!$C:$AA,22,0)-'TRADE IN'!$F15=0,"",(VLOOKUP($C15,REV!$C:$AA,22,0)-'TRADE IN'!$F15))</f>
        <v>899</v>
      </c>
      <c r="Y15" s="46">
        <f>IF(VLOOKUP($C15,REV!$C:$AA,23,0)-'TRADE IN'!$F15=0,"",(VLOOKUP($C15,REV!$C:$AA,23,0)-'TRADE IN'!$F15))</f>
        <v>899</v>
      </c>
      <c r="Z15" s="46">
        <f>IF(VLOOKUP($C15,REV!$C:$AA,24,0)-'TRADE IN'!$F15=0,"",(VLOOKUP($C15,REV!$C:$AA,24,0)-'TRADE IN'!$F15))</f>
        <v>899</v>
      </c>
      <c r="AA15" s="46">
        <f>IF(VLOOKUP($C15,REV!$C:$AA,25,0)-'TRADE IN'!$F15=0,"",(VLOOKUP($C15,REV!$C:$AA,25,0)-'TRADE IN'!$F15))</f>
        <v>899</v>
      </c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  <c r="AM15" s="45"/>
      <c r="AN15" s="45"/>
      <c r="AO15" s="45"/>
      <c r="AP15" s="45"/>
      <c r="AQ15" s="45"/>
      <c r="AR15" s="45"/>
      <c r="AS15" s="45"/>
      <c r="AT15" s="45"/>
      <c r="AU15" s="45"/>
      <c r="AV15" s="47"/>
      <c r="AW15" s="48" t="str">
        <f>REV!AW15</f>
        <v>13.08.2026</v>
      </c>
      <c r="AX15" s="149" t="s">
        <v>68</v>
      </c>
    </row>
    <row r="16" spans="1:50" ht="22.5" customHeight="1">
      <c r="A16" s="41" t="s">
        <v>63</v>
      </c>
      <c r="B16" s="42" t="s">
        <v>64</v>
      </c>
      <c r="C16" s="43">
        <v>4014723</v>
      </c>
      <c r="D16" s="44" t="s">
        <v>72</v>
      </c>
      <c r="E16" s="44" t="s">
        <v>73</v>
      </c>
      <c r="F16" s="45">
        <v>100</v>
      </c>
      <c r="G16" s="45"/>
      <c r="H16" s="46"/>
      <c r="I16" s="46"/>
      <c r="J16" s="46">
        <f>IF(VLOOKUP($C16,REV!$C:$AA,8,0)-'TRADE IN'!$F16=0,"",(VLOOKUP($C16,REV!$C:$AA,8,0)-'TRADE IN'!$F16))</f>
        <v>3499</v>
      </c>
      <c r="K16" s="46">
        <f>IF(VLOOKUP($C16,REV!$C:$AA,9,0)-'TRADE IN'!$F16=0,"",(VLOOKUP($C16,REV!$C:$AA,9,0)-'TRADE IN'!$F16))</f>
        <v>3399</v>
      </c>
      <c r="L16" s="46">
        <f>IF(VLOOKUP($C16,REV!$C:$AA,10,0)-'TRADE IN'!$F16=0,"",(VLOOKUP($C16,REV!$C:$AA,10,0)-'TRADE IN'!$F16))</f>
        <v>3399</v>
      </c>
      <c r="M16" s="46">
        <f>IF(VLOOKUP($C16,REV!$C:$AA,11,0)-'TRADE IN'!$F16=0,"",(VLOOKUP($C16,REV!$C:$AA,11,0)-'TRADE IN'!$F16))</f>
        <v>3499</v>
      </c>
      <c r="N16" s="46">
        <f>IF(VLOOKUP($C16,REV!$C:$AA,12,0)-'TRADE IN'!$F16=0,"",(VLOOKUP($C16,REV!$C:$AA,12,0)-'TRADE IN'!$F16))</f>
        <v>3399</v>
      </c>
      <c r="O16" s="46">
        <f>IF(VLOOKUP($C16,REV!$C:$AA,13,0)-'TRADE IN'!$F16=0,"",(VLOOKUP($C16,REV!$C:$AA,13,0)-'TRADE IN'!$F16))</f>
        <v>2999</v>
      </c>
      <c r="P16" s="46">
        <f>IF(VLOOKUP($C16,REV!$C:$AA,14,0)-'TRADE IN'!$F16=0,"",(VLOOKUP($C16,REV!$C:$AA,14,0)-'TRADE IN'!$F16))</f>
        <v>2899</v>
      </c>
      <c r="Q16" s="46">
        <f>IF(VLOOKUP($C16,REV!$C:$AA,15,0)-'TRADE IN'!$F16=0,"",(VLOOKUP($C16,REV!$C:$AA,15,0)-'TRADE IN'!$F16))</f>
        <v>2399</v>
      </c>
      <c r="R16" s="46">
        <f>IF(VLOOKUP($C16,REV!$C:$AA,16,0)-'TRADE IN'!$F16=0,"",(VLOOKUP($C16,REV!$C:$AA,16,0)-'TRADE IN'!$F16))</f>
        <v>2999</v>
      </c>
      <c r="S16" s="46">
        <f>IF(VLOOKUP($C16,REV!$C:$AA,17,0)-'TRADE IN'!$F16=0,"",(VLOOKUP($C16,REV!$C:$AA,17,0)-'TRADE IN'!$F16))</f>
        <v>2899</v>
      </c>
      <c r="T16" s="46">
        <f>IF(VLOOKUP($C16,REV!$C:$AA,18,0)-'TRADE IN'!$F16=0,"",(VLOOKUP($C16,REV!$C:$AA,18,0)-'TRADE IN'!$F16))</f>
        <v>2399</v>
      </c>
      <c r="U16" s="46">
        <f>IF(VLOOKUP($C16,REV!$C:$AA,19,0)-'TRADE IN'!$F16=0,"",(VLOOKUP($C16,REV!$C:$AA,19,0)-'TRADE IN'!$F16))</f>
        <v>2399</v>
      </c>
      <c r="V16" s="46">
        <f>IF(VLOOKUP($C16,REV!$C:$AA,20,0)-'TRADE IN'!$F16=0,"",(VLOOKUP($C16,REV!$C:$AA,20,0)-'TRADE IN'!$F16))</f>
        <v>2399</v>
      </c>
      <c r="W16" s="46">
        <f>IF(VLOOKUP($C16,REV!$C:$AA,21,0)-'TRADE IN'!$F16=0,"",(VLOOKUP($C16,REV!$C:$AA,21,0)-'TRADE IN'!$F16))</f>
        <v>2399</v>
      </c>
      <c r="X16" s="46">
        <f>IF(VLOOKUP($C16,REV!$C:$AA,22,0)-'TRADE IN'!$F16=0,"",(VLOOKUP($C16,REV!$C:$AA,22,0)-'TRADE IN'!$F16))</f>
        <v>2199</v>
      </c>
      <c r="Y16" s="46">
        <f>IF(VLOOKUP($C16,REV!$C:$AA,23,0)-'TRADE IN'!$F16=0,"",(VLOOKUP($C16,REV!$C:$AA,23,0)-'TRADE IN'!$F16))</f>
        <v>1899</v>
      </c>
      <c r="Z16" s="46">
        <f>IF(VLOOKUP($C16,REV!$C:$AA,24,0)-'TRADE IN'!$F16=0,"",(VLOOKUP($C16,REV!$C:$AA,24,0)-'TRADE IN'!$F16))</f>
        <v>1899</v>
      </c>
      <c r="AA16" s="46">
        <f>IF(VLOOKUP($C16,REV!$C:$AA,25,0)-'TRADE IN'!$F16=0,"",(VLOOKUP($C16,REV!$C:$AA,25,0)-'TRADE IN'!$F16))</f>
        <v>1899</v>
      </c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  <c r="AN16" s="45"/>
      <c r="AO16" s="45"/>
      <c r="AP16" s="45"/>
      <c r="AQ16" s="45"/>
      <c r="AR16" s="45"/>
      <c r="AS16" s="45"/>
      <c r="AT16" s="45"/>
      <c r="AU16" s="45"/>
      <c r="AV16" s="47"/>
      <c r="AW16" s="48" t="str">
        <f>REV!AW16</f>
        <v>13.08.2026</v>
      </c>
      <c r="AX16" s="149" t="s">
        <v>68</v>
      </c>
    </row>
    <row r="17" spans="1:50" ht="22.5" customHeight="1">
      <c r="A17" s="41" t="s">
        <v>63</v>
      </c>
      <c r="B17" s="42" t="s">
        <v>64</v>
      </c>
      <c r="C17" s="43">
        <v>4014594</v>
      </c>
      <c r="D17" s="44" t="s">
        <v>74</v>
      </c>
      <c r="E17" s="44" t="s">
        <v>75</v>
      </c>
      <c r="F17" s="45">
        <v>100</v>
      </c>
      <c r="G17" s="45"/>
      <c r="H17" s="46"/>
      <c r="I17" s="46"/>
      <c r="J17" s="46">
        <f>IF(VLOOKUP($C17,REV!$C:$AA,8,0)-'TRADE IN'!$F17=0,"",(VLOOKUP($C17,REV!$C:$AA,8,0)-'TRADE IN'!$F17))</f>
        <v>3699</v>
      </c>
      <c r="K17" s="46">
        <f>IF(VLOOKUP($C17,REV!$C:$AA,9,0)-'TRADE IN'!$F17=0,"",(VLOOKUP($C17,REV!$C:$AA,9,0)-'TRADE IN'!$F17))</f>
        <v>3699</v>
      </c>
      <c r="L17" s="46">
        <f>IF(VLOOKUP($C17,REV!$C:$AA,10,0)-'TRADE IN'!$F17=0,"",(VLOOKUP($C17,REV!$C:$AA,10,0)-'TRADE IN'!$F17))</f>
        <v>3699</v>
      </c>
      <c r="M17" s="46">
        <f>IF(VLOOKUP($C17,REV!$C:$AA,11,0)-'TRADE IN'!$F17=0,"",(VLOOKUP($C17,REV!$C:$AA,11,0)-'TRADE IN'!$F17))</f>
        <v>3699</v>
      </c>
      <c r="N17" s="46">
        <f>IF(VLOOKUP($C17,REV!$C:$AA,12,0)-'TRADE IN'!$F17=0,"",(VLOOKUP($C17,REV!$C:$AA,12,0)-'TRADE IN'!$F17))</f>
        <v>3699</v>
      </c>
      <c r="O17" s="46">
        <f>IF(VLOOKUP($C17,REV!$C:$AA,13,0)-'TRADE IN'!$F17=0,"",(VLOOKUP($C17,REV!$C:$AA,13,0)-'TRADE IN'!$F17))</f>
        <v>3499</v>
      </c>
      <c r="P17" s="46">
        <f>IF(VLOOKUP($C17,REV!$C:$AA,14,0)-'TRADE IN'!$F17=0,"",(VLOOKUP($C17,REV!$C:$AA,14,0)-'TRADE IN'!$F17))</f>
        <v>3399</v>
      </c>
      <c r="Q17" s="46">
        <f>IF(VLOOKUP($C17,REV!$C:$AA,15,0)-'TRADE IN'!$F17=0,"",(VLOOKUP($C17,REV!$C:$AA,15,0)-'TRADE IN'!$F17))</f>
        <v>2899</v>
      </c>
      <c r="R17" s="46">
        <f>IF(VLOOKUP($C17,REV!$C:$AA,16,0)-'TRADE IN'!$F17=0,"",(VLOOKUP($C17,REV!$C:$AA,16,0)-'TRADE IN'!$F17))</f>
        <v>3499</v>
      </c>
      <c r="S17" s="46">
        <f>IF(VLOOKUP($C17,REV!$C:$AA,17,0)-'TRADE IN'!$F17=0,"",(VLOOKUP($C17,REV!$C:$AA,17,0)-'TRADE IN'!$F17))</f>
        <v>3399</v>
      </c>
      <c r="T17" s="46">
        <f>IF(VLOOKUP($C17,REV!$C:$AA,18,0)-'TRADE IN'!$F17=0,"",(VLOOKUP($C17,REV!$C:$AA,18,0)-'TRADE IN'!$F17))</f>
        <v>2899</v>
      </c>
      <c r="U17" s="46">
        <f>IF(VLOOKUP($C17,REV!$C:$AA,19,0)-'TRADE IN'!$F17=0,"",(VLOOKUP($C17,REV!$C:$AA,19,0)-'TRADE IN'!$F17))</f>
        <v>2899</v>
      </c>
      <c r="V17" s="46">
        <f>IF(VLOOKUP($C17,REV!$C:$AA,20,0)-'TRADE IN'!$F17=0,"",(VLOOKUP($C17,REV!$C:$AA,20,0)-'TRADE IN'!$F17))</f>
        <v>2899</v>
      </c>
      <c r="W17" s="46">
        <f>IF(VLOOKUP($C17,REV!$C:$AA,21,0)-'TRADE IN'!$F17=0,"",(VLOOKUP($C17,REV!$C:$AA,21,0)-'TRADE IN'!$F17))</f>
        <v>2899</v>
      </c>
      <c r="X17" s="46">
        <f>IF(VLOOKUP($C17,REV!$C:$AA,22,0)-'TRADE IN'!$F17=0,"",(VLOOKUP($C17,REV!$C:$AA,22,0)-'TRADE IN'!$F17))</f>
        <v>2699</v>
      </c>
      <c r="Y17" s="46">
        <f>IF(VLOOKUP($C17,REV!$C:$AA,23,0)-'TRADE IN'!$F17=0,"",(VLOOKUP($C17,REV!$C:$AA,23,0)-'TRADE IN'!$F17))</f>
        <v>2399</v>
      </c>
      <c r="Z17" s="46">
        <f>IF(VLOOKUP($C17,REV!$C:$AA,24,0)-'TRADE IN'!$F17=0,"",(VLOOKUP($C17,REV!$C:$AA,24,0)-'TRADE IN'!$F17))</f>
        <v>2399</v>
      </c>
      <c r="AA17" s="46">
        <f>IF(VLOOKUP($C17,REV!$C:$AA,25,0)-'TRADE IN'!$F17=0,"",(VLOOKUP($C17,REV!$C:$AA,25,0)-'TRADE IN'!$F17))</f>
        <v>2399</v>
      </c>
      <c r="AB17" s="45"/>
      <c r="AC17" s="45"/>
      <c r="AD17" s="45"/>
      <c r="AE17" s="45"/>
      <c r="AF17" s="45"/>
      <c r="AG17" s="45"/>
      <c r="AH17" s="45"/>
      <c r="AI17" s="45"/>
      <c r="AJ17" s="45"/>
      <c r="AK17" s="45"/>
      <c r="AL17" s="45"/>
      <c r="AM17" s="45"/>
      <c r="AN17" s="45"/>
      <c r="AO17" s="45"/>
      <c r="AP17" s="45"/>
      <c r="AQ17" s="45"/>
      <c r="AR17" s="45"/>
      <c r="AS17" s="45"/>
      <c r="AT17" s="45"/>
      <c r="AU17" s="45"/>
      <c r="AV17" s="47"/>
      <c r="AW17" s="48" t="str">
        <f>REV!AW17</f>
        <v>13.08.2026</v>
      </c>
      <c r="AX17" s="149" t="s">
        <v>68</v>
      </c>
    </row>
    <row r="18" spans="1:50" ht="22.5" customHeight="1">
      <c r="A18" s="41" t="s">
        <v>63</v>
      </c>
      <c r="B18" s="42" t="s">
        <v>64</v>
      </c>
      <c r="C18" s="43">
        <v>4014837</v>
      </c>
      <c r="D18" s="44" t="s">
        <v>74</v>
      </c>
      <c r="E18" s="44" t="s">
        <v>76</v>
      </c>
      <c r="F18" s="45">
        <v>100</v>
      </c>
      <c r="G18" s="45"/>
      <c r="H18" s="46"/>
      <c r="I18" s="46"/>
      <c r="J18" s="46">
        <f>IF(VLOOKUP($C18,REV!$C:$AA,8,0)-'TRADE IN'!$F18=0,"",(VLOOKUP($C18,REV!$C:$AA,8,0)-'TRADE IN'!$F18))</f>
        <v>3699</v>
      </c>
      <c r="K18" s="46">
        <f>IF(VLOOKUP($C18,REV!$C:$AA,9,0)-'TRADE IN'!$F18=0,"",(VLOOKUP($C18,REV!$C:$AA,9,0)-'TRADE IN'!$F18))</f>
        <v>3699</v>
      </c>
      <c r="L18" s="46">
        <f>IF(VLOOKUP($C18,REV!$C:$AA,10,0)-'TRADE IN'!$F18=0,"",(VLOOKUP($C18,REV!$C:$AA,10,0)-'TRADE IN'!$F18))</f>
        <v>3699</v>
      </c>
      <c r="M18" s="46">
        <f>IF(VLOOKUP($C18,REV!$C:$AA,11,0)-'TRADE IN'!$F18=0,"",(VLOOKUP($C18,REV!$C:$AA,11,0)-'TRADE IN'!$F18))</f>
        <v>3699</v>
      </c>
      <c r="N18" s="46">
        <f>IF(VLOOKUP($C18,REV!$C:$AA,12,0)-'TRADE IN'!$F18=0,"",(VLOOKUP($C18,REV!$C:$AA,12,0)-'TRADE IN'!$F18))</f>
        <v>3699</v>
      </c>
      <c r="O18" s="46">
        <f>IF(VLOOKUP($C18,REV!$C:$AA,13,0)-'TRADE IN'!$F18=0,"",(VLOOKUP($C18,REV!$C:$AA,13,0)-'TRADE IN'!$F18))</f>
        <v>3499</v>
      </c>
      <c r="P18" s="46">
        <f>IF(VLOOKUP($C18,REV!$C:$AA,14,0)-'TRADE IN'!$F18=0,"",(VLOOKUP($C18,REV!$C:$AA,14,0)-'TRADE IN'!$F18))</f>
        <v>3399</v>
      </c>
      <c r="Q18" s="46">
        <f>IF(VLOOKUP($C18,REV!$C:$AA,15,0)-'TRADE IN'!$F18=0,"",(VLOOKUP($C18,REV!$C:$AA,15,0)-'TRADE IN'!$F18))</f>
        <v>2899</v>
      </c>
      <c r="R18" s="46">
        <f>IF(VLOOKUP($C18,REV!$C:$AA,16,0)-'TRADE IN'!$F18=0,"",(VLOOKUP($C18,REV!$C:$AA,16,0)-'TRADE IN'!$F18))</f>
        <v>3499</v>
      </c>
      <c r="S18" s="46">
        <f>IF(VLOOKUP($C18,REV!$C:$AA,17,0)-'TRADE IN'!$F18=0,"",(VLOOKUP($C18,REV!$C:$AA,17,0)-'TRADE IN'!$F18))</f>
        <v>3399</v>
      </c>
      <c r="T18" s="46">
        <f>IF(VLOOKUP($C18,REV!$C:$AA,18,0)-'TRADE IN'!$F18=0,"",(VLOOKUP($C18,REV!$C:$AA,18,0)-'TRADE IN'!$F18))</f>
        <v>2899</v>
      </c>
      <c r="U18" s="46">
        <f>IF(VLOOKUP($C18,REV!$C:$AA,19,0)-'TRADE IN'!$F18=0,"",(VLOOKUP($C18,REV!$C:$AA,19,0)-'TRADE IN'!$F18))</f>
        <v>2899</v>
      </c>
      <c r="V18" s="46">
        <f>IF(VLOOKUP($C18,REV!$C:$AA,20,0)-'TRADE IN'!$F18=0,"",(VLOOKUP($C18,REV!$C:$AA,20,0)-'TRADE IN'!$F18))</f>
        <v>2899</v>
      </c>
      <c r="W18" s="46">
        <f>IF(VLOOKUP($C18,REV!$C:$AA,21,0)-'TRADE IN'!$F18=0,"",(VLOOKUP($C18,REV!$C:$AA,21,0)-'TRADE IN'!$F18))</f>
        <v>2899</v>
      </c>
      <c r="X18" s="46">
        <f>IF(VLOOKUP($C18,REV!$C:$AA,22,0)-'TRADE IN'!$F18=0,"",(VLOOKUP($C18,REV!$C:$AA,22,0)-'TRADE IN'!$F18))</f>
        <v>2699</v>
      </c>
      <c r="Y18" s="46">
        <f>IF(VLOOKUP($C18,REV!$C:$AA,23,0)-'TRADE IN'!$F18=0,"",(VLOOKUP($C18,REV!$C:$AA,23,0)-'TRADE IN'!$F18))</f>
        <v>2399</v>
      </c>
      <c r="Z18" s="46">
        <f>IF(VLOOKUP($C18,REV!$C:$AA,24,0)-'TRADE IN'!$F18=0,"",(VLOOKUP($C18,REV!$C:$AA,24,0)-'TRADE IN'!$F18))</f>
        <v>2399</v>
      </c>
      <c r="AA18" s="46">
        <f>IF(VLOOKUP($C18,REV!$C:$AA,25,0)-'TRADE IN'!$F18=0,"",(VLOOKUP($C18,REV!$C:$AA,25,0)-'TRADE IN'!$F18))</f>
        <v>2399</v>
      </c>
      <c r="AB18" s="45"/>
      <c r="AC18" s="45"/>
      <c r="AD18" s="45"/>
      <c r="AE18" s="45"/>
      <c r="AF18" s="45"/>
      <c r="AG18" s="45"/>
      <c r="AH18" s="45"/>
      <c r="AI18" s="45"/>
      <c r="AJ18" s="45"/>
      <c r="AK18" s="45"/>
      <c r="AL18" s="45"/>
      <c r="AM18" s="45"/>
      <c r="AN18" s="45"/>
      <c r="AO18" s="45"/>
      <c r="AP18" s="45"/>
      <c r="AQ18" s="45"/>
      <c r="AR18" s="45"/>
      <c r="AS18" s="45"/>
      <c r="AT18" s="45"/>
      <c r="AU18" s="45"/>
      <c r="AV18" s="47"/>
      <c r="AW18" s="48" t="str">
        <f>REV!AW18</f>
        <v>13.08.2026</v>
      </c>
      <c r="AX18" s="149" t="s">
        <v>68</v>
      </c>
    </row>
    <row r="19" spans="1:50" ht="22.5" customHeight="1">
      <c r="A19" s="41" t="s">
        <v>63</v>
      </c>
      <c r="B19" s="42" t="s">
        <v>64</v>
      </c>
      <c r="C19" s="43">
        <v>4014833</v>
      </c>
      <c r="D19" s="44" t="s">
        <v>74</v>
      </c>
      <c r="E19" s="44" t="s">
        <v>77</v>
      </c>
      <c r="F19" s="45">
        <v>100</v>
      </c>
      <c r="G19" s="45"/>
      <c r="H19" s="46"/>
      <c r="I19" s="46"/>
      <c r="J19" s="46">
        <f>IF(VLOOKUP($C19,REV!$C:$AA,8,0)-'TRADE IN'!$F19=0,"",(VLOOKUP($C19,REV!$C:$AA,8,0)-'TRADE IN'!$F19))</f>
        <v>3699</v>
      </c>
      <c r="K19" s="46">
        <f>IF(VLOOKUP($C19,REV!$C:$AA,9,0)-'TRADE IN'!$F19=0,"",(VLOOKUP($C19,REV!$C:$AA,9,0)-'TRADE IN'!$F19))</f>
        <v>3699</v>
      </c>
      <c r="L19" s="46">
        <f>IF(VLOOKUP($C19,REV!$C:$AA,10,0)-'TRADE IN'!$F19=0,"",(VLOOKUP($C19,REV!$C:$AA,10,0)-'TRADE IN'!$F19))</f>
        <v>3699</v>
      </c>
      <c r="M19" s="46">
        <f>IF(VLOOKUP($C19,REV!$C:$AA,11,0)-'TRADE IN'!$F19=0,"",(VLOOKUP($C19,REV!$C:$AA,11,0)-'TRADE IN'!$F19))</f>
        <v>3699</v>
      </c>
      <c r="N19" s="46">
        <f>IF(VLOOKUP($C19,REV!$C:$AA,12,0)-'TRADE IN'!$F19=0,"",(VLOOKUP($C19,REV!$C:$AA,12,0)-'TRADE IN'!$F19))</f>
        <v>3699</v>
      </c>
      <c r="O19" s="46">
        <f>IF(VLOOKUP($C19,REV!$C:$AA,13,0)-'TRADE IN'!$F19=0,"",(VLOOKUP($C19,REV!$C:$AA,13,0)-'TRADE IN'!$F19))</f>
        <v>3499</v>
      </c>
      <c r="P19" s="46">
        <f>IF(VLOOKUP($C19,REV!$C:$AA,14,0)-'TRADE IN'!$F19=0,"",(VLOOKUP($C19,REV!$C:$AA,14,0)-'TRADE IN'!$F19))</f>
        <v>3399</v>
      </c>
      <c r="Q19" s="46">
        <f>IF(VLOOKUP($C19,REV!$C:$AA,15,0)-'TRADE IN'!$F19=0,"",(VLOOKUP($C19,REV!$C:$AA,15,0)-'TRADE IN'!$F19))</f>
        <v>2899</v>
      </c>
      <c r="R19" s="46">
        <f>IF(VLOOKUP($C19,REV!$C:$AA,16,0)-'TRADE IN'!$F19=0,"",(VLOOKUP($C19,REV!$C:$AA,16,0)-'TRADE IN'!$F19))</f>
        <v>3499</v>
      </c>
      <c r="S19" s="46">
        <f>IF(VLOOKUP($C19,REV!$C:$AA,17,0)-'TRADE IN'!$F19=0,"",(VLOOKUP($C19,REV!$C:$AA,17,0)-'TRADE IN'!$F19))</f>
        <v>3399</v>
      </c>
      <c r="T19" s="46">
        <f>IF(VLOOKUP($C19,REV!$C:$AA,18,0)-'TRADE IN'!$F19=0,"",(VLOOKUP($C19,REV!$C:$AA,18,0)-'TRADE IN'!$F19))</f>
        <v>2899</v>
      </c>
      <c r="U19" s="46">
        <f>IF(VLOOKUP($C19,REV!$C:$AA,19,0)-'TRADE IN'!$F19=0,"",(VLOOKUP($C19,REV!$C:$AA,19,0)-'TRADE IN'!$F19))</f>
        <v>2899</v>
      </c>
      <c r="V19" s="46">
        <f>IF(VLOOKUP($C19,REV!$C:$AA,20,0)-'TRADE IN'!$F19=0,"",(VLOOKUP($C19,REV!$C:$AA,20,0)-'TRADE IN'!$F19))</f>
        <v>2899</v>
      </c>
      <c r="W19" s="46">
        <f>IF(VLOOKUP($C19,REV!$C:$AA,21,0)-'TRADE IN'!$F19=0,"",(VLOOKUP($C19,REV!$C:$AA,21,0)-'TRADE IN'!$F19))</f>
        <v>2899</v>
      </c>
      <c r="X19" s="46">
        <f>IF(VLOOKUP($C19,REV!$C:$AA,22,0)-'TRADE IN'!$F19=0,"",(VLOOKUP($C19,REV!$C:$AA,22,0)-'TRADE IN'!$F19))</f>
        <v>2699</v>
      </c>
      <c r="Y19" s="46">
        <f>IF(VLOOKUP($C19,REV!$C:$AA,23,0)-'TRADE IN'!$F19=0,"",(VLOOKUP($C19,REV!$C:$AA,23,0)-'TRADE IN'!$F19))</f>
        <v>2399</v>
      </c>
      <c r="Z19" s="46">
        <f>IF(VLOOKUP($C19,REV!$C:$AA,24,0)-'TRADE IN'!$F19=0,"",(VLOOKUP($C19,REV!$C:$AA,24,0)-'TRADE IN'!$F19))</f>
        <v>2399</v>
      </c>
      <c r="AA19" s="46">
        <f>IF(VLOOKUP($C19,REV!$C:$AA,25,0)-'TRADE IN'!$F19=0,"",(VLOOKUP($C19,REV!$C:$AA,25,0)-'TRADE IN'!$F19))</f>
        <v>2399</v>
      </c>
      <c r="AB19" s="45"/>
      <c r="AC19" s="45"/>
      <c r="AD19" s="45"/>
      <c r="AE19" s="45"/>
      <c r="AF19" s="45"/>
      <c r="AG19" s="45"/>
      <c r="AH19" s="45"/>
      <c r="AI19" s="45"/>
      <c r="AJ19" s="45"/>
      <c r="AK19" s="45"/>
      <c r="AL19" s="45"/>
      <c r="AM19" s="45"/>
      <c r="AN19" s="45"/>
      <c r="AO19" s="45"/>
      <c r="AP19" s="45"/>
      <c r="AQ19" s="45"/>
      <c r="AR19" s="45"/>
      <c r="AS19" s="45"/>
      <c r="AT19" s="45"/>
      <c r="AU19" s="45"/>
      <c r="AV19" s="47"/>
      <c r="AW19" s="48" t="str">
        <f>REV!AW19</f>
        <v>13.08.2026</v>
      </c>
      <c r="AX19" s="149" t="s">
        <v>68</v>
      </c>
    </row>
    <row r="20" spans="1:50" ht="22.5" customHeight="1">
      <c r="A20" s="41" t="s">
        <v>63</v>
      </c>
      <c r="B20" s="42" t="s">
        <v>64</v>
      </c>
      <c r="C20" s="43">
        <v>4014836</v>
      </c>
      <c r="D20" s="44" t="s">
        <v>74</v>
      </c>
      <c r="E20" s="44" t="s">
        <v>78</v>
      </c>
      <c r="F20" s="45">
        <v>100</v>
      </c>
      <c r="G20" s="45"/>
      <c r="H20" s="46"/>
      <c r="I20" s="46"/>
      <c r="J20" s="46">
        <f>IF(VLOOKUP($C20,REV!$C:$AA,8,0)-'TRADE IN'!$F20=0,"",(VLOOKUP($C20,REV!$C:$AA,8,0)-'TRADE IN'!$F20))</f>
        <v>3699</v>
      </c>
      <c r="K20" s="46">
        <f>IF(VLOOKUP($C20,REV!$C:$AA,9,0)-'TRADE IN'!$F20=0,"",(VLOOKUP($C20,REV!$C:$AA,9,0)-'TRADE IN'!$F20))</f>
        <v>3699</v>
      </c>
      <c r="L20" s="46">
        <f>IF(VLOOKUP($C20,REV!$C:$AA,10,0)-'TRADE IN'!$F20=0,"",(VLOOKUP($C20,REV!$C:$AA,10,0)-'TRADE IN'!$F20))</f>
        <v>3699</v>
      </c>
      <c r="M20" s="46">
        <f>IF(VLOOKUP($C20,REV!$C:$AA,11,0)-'TRADE IN'!$F20=0,"",(VLOOKUP($C20,REV!$C:$AA,11,0)-'TRADE IN'!$F20))</f>
        <v>3699</v>
      </c>
      <c r="N20" s="46">
        <f>IF(VLOOKUP($C20,REV!$C:$AA,12,0)-'TRADE IN'!$F20=0,"",(VLOOKUP($C20,REV!$C:$AA,12,0)-'TRADE IN'!$F20))</f>
        <v>3699</v>
      </c>
      <c r="O20" s="46">
        <f>IF(VLOOKUP($C20,REV!$C:$AA,13,0)-'TRADE IN'!$F20=0,"",(VLOOKUP($C20,REV!$C:$AA,13,0)-'TRADE IN'!$F20))</f>
        <v>3499</v>
      </c>
      <c r="P20" s="46">
        <f>IF(VLOOKUP($C20,REV!$C:$AA,14,0)-'TRADE IN'!$F20=0,"",(VLOOKUP($C20,REV!$C:$AA,14,0)-'TRADE IN'!$F20))</f>
        <v>3399</v>
      </c>
      <c r="Q20" s="46">
        <f>IF(VLOOKUP($C20,REV!$C:$AA,15,0)-'TRADE IN'!$F20=0,"",(VLOOKUP($C20,REV!$C:$AA,15,0)-'TRADE IN'!$F20))</f>
        <v>2899</v>
      </c>
      <c r="R20" s="46">
        <f>IF(VLOOKUP($C20,REV!$C:$AA,16,0)-'TRADE IN'!$F20=0,"",(VLOOKUP($C20,REV!$C:$AA,16,0)-'TRADE IN'!$F20))</f>
        <v>3499</v>
      </c>
      <c r="S20" s="46">
        <f>IF(VLOOKUP($C20,REV!$C:$AA,17,0)-'TRADE IN'!$F20=0,"",(VLOOKUP($C20,REV!$C:$AA,17,0)-'TRADE IN'!$F20))</f>
        <v>3399</v>
      </c>
      <c r="T20" s="46">
        <f>IF(VLOOKUP($C20,REV!$C:$AA,18,0)-'TRADE IN'!$F20=0,"",(VLOOKUP($C20,REV!$C:$AA,18,0)-'TRADE IN'!$F20))</f>
        <v>2899</v>
      </c>
      <c r="U20" s="46">
        <f>IF(VLOOKUP($C20,REV!$C:$AA,19,0)-'TRADE IN'!$F20=0,"",(VLOOKUP($C20,REV!$C:$AA,19,0)-'TRADE IN'!$F20))</f>
        <v>2899</v>
      </c>
      <c r="V20" s="46">
        <f>IF(VLOOKUP($C20,REV!$C:$AA,20,0)-'TRADE IN'!$F20=0,"",(VLOOKUP($C20,REV!$C:$AA,20,0)-'TRADE IN'!$F20))</f>
        <v>2899</v>
      </c>
      <c r="W20" s="46">
        <f>IF(VLOOKUP($C20,REV!$C:$AA,21,0)-'TRADE IN'!$F20=0,"",(VLOOKUP($C20,REV!$C:$AA,21,0)-'TRADE IN'!$F20))</f>
        <v>2899</v>
      </c>
      <c r="X20" s="46">
        <f>IF(VLOOKUP($C20,REV!$C:$AA,22,0)-'TRADE IN'!$F20=0,"",(VLOOKUP($C20,REV!$C:$AA,22,0)-'TRADE IN'!$F20))</f>
        <v>2699</v>
      </c>
      <c r="Y20" s="46">
        <f>IF(VLOOKUP($C20,REV!$C:$AA,23,0)-'TRADE IN'!$F20=0,"",(VLOOKUP($C20,REV!$C:$AA,23,0)-'TRADE IN'!$F20))</f>
        <v>2399</v>
      </c>
      <c r="Z20" s="46">
        <f>IF(VLOOKUP($C20,REV!$C:$AA,24,0)-'TRADE IN'!$F20=0,"",(VLOOKUP($C20,REV!$C:$AA,24,0)-'TRADE IN'!$F20))</f>
        <v>2399</v>
      </c>
      <c r="AA20" s="46">
        <f>IF(VLOOKUP($C20,REV!$C:$AA,25,0)-'TRADE IN'!$F20=0,"",(VLOOKUP($C20,REV!$C:$AA,25,0)-'TRADE IN'!$F20))</f>
        <v>2399</v>
      </c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  <c r="AM20" s="45"/>
      <c r="AN20" s="45"/>
      <c r="AO20" s="45"/>
      <c r="AP20" s="45"/>
      <c r="AQ20" s="45"/>
      <c r="AR20" s="45"/>
      <c r="AS20" s="45"/>
      <c r="AT20" s="45"/>
      <c r="AU20" s="45"/>
      <c r="AV20" s="47"/>
      <c r="AW20" s="48" t="str">
        <f>REV!AW20</f>
        <v>13.08.2026</v>
      </c>
      <c r="AX20" s="149" t="s">
        <v>68</v>
      </c>
    </row>
    <row r="21" spans="1:50" ht="22.5" customHeight="1">
      <c r="A21" s="41" t="s">
        <v>63</v>
      </c>
      <c r="B21" s="42" t="s">
        <v>64</v>
      </c>
      <c r="C21" s="43">
        <v>4015185</v>
      </c>
      <c r="D21" s="44" t="s">
        <v>79</v>
      </c>
      <c r="E21" s="44" t="s">
        <v>80</v>
      </c>
      <c r="F21" s="45">
        <v>100</v>
      </c>
      <c r="G21" s="45"/>
      <c r="H21" s="46"/>
      <c r="I21" s="46"/>
      <c r="J21" s="46">
        <f>IF(VLOOKUP($C21,REV!$C:$AA,8,0)-'TRADE IN'!$F21=0,"",(VLOOKUP($C21,REV!$C:$AA,8,0)-'TRADE IN'!$F21))</f>
        <v>4099</v>
      </c>
      <c r="K21" s="46">
        <f>IF(VLOOKUP($C21,REV!$C:$AA,9,0)-'TRADE IN'!$F21=0,"",(VLOOKUP($C21,REV!$C:$AA,9,0)-'TRADE IN'!$F21))</f>
        <v>4099</v>
      </c>
      <c r="L21" s="46">
        <f>IF(VLOOKUP($C21,REV!$C:$AA,10,0)-'TRADE IN'!$F21=0,"",(VLOOKUP($C21,REV!$C:$AA,10,0)-'TRADE IN'!$F21))</f>
        <v>4099</v>
      </c>
      <c r="M21" s="46">
        <f>IF(VLOOKUP($C21,REV!$C:$AA,11,0)-'TRADE IN'!$F21=0,"",(VLOOKUP($C21,REV!$C:$AA,11,0)-'TRADE IN'!$F21))</f>
        <v>4099</v>
      </c>
      <c r="N21" s="46">
        <f>IF(VLOOKUP($C21,REV!$C:$AA,12,0)-'TRADE IN'!$F21=0,"",(VLOOKUP($C21,REV!$C:$AA,12,0)-'TRADE IN'!$F21))</f>
        <v>4099</v>
      </c>
      <c r="O21" s="46">
        <f>IF(VLOOKUP($C21,REV!$C:$AA,13,0)-'TRADE IN'!$F21=0,"",(VLOOKUP($C21,REV!$C:$AA,13,0)-'TRADE IN'!$F21))</f>
        <v>3799</v>
      </c>
      <c r="P21" s="46">
        <f>IF(VLOOKUP($C21,REV!$C:$AA,14,0)-'TRADE IN'!$F21=0,"",(VLOOKUP($C21,REV!$C:$AA,14,0)-'TRADE IN'!$F21))</f>
        <v>3699</v>
      </c>
      <c r="Q21" s="46">
        <f>IF(VLOOKUP($C21,REV!$C:$AA,15,0)-'TRADE IN'!$F21=0,"",(VLOOKUP($C21,REV!$C:$AA,15,0)-'TRADE IN'!$F21))</f>
        <v>2999</v>
      </c>
      <c r="R21" s="46">
        <f>IF(VLOOKUP($C21,REV!$C:$AA,16,0)-'TRADE IN'!$F21=0,"",(VLOOKUP($C21,REV!$C:$AA,16,0)-'TRADE IN'!$F21))</f>
        <v>3799</v>
      </c>
      <c r="S21" s="46">
        <f>IF(VLOOKUP($C21,REV!$C:$AA,17,0)-'TRADE IN'!$F21=0,"",(VLOOKUP($C21,REV!$C:$AA,17,0)-'TRADE IN'!$F21))</f>
        <v>3699</v>
      </c>
      <c r="T21" s="46">
        <f>IF(VLOOKUP($C21,REV!$C:$AA,18,0)-'TRADE IN'!$F21=0,"",(VLOOKUP($C21,REV!$C:$AA,18,0)-'TRADE IN'!$F21))</f>
        <v>2999</v>
      </c>
      <c r="U21" s="46">
        <f>IF(VLOOKUP($C21,REV!$C:$AA,19,0)-'TRADE IN'!$F21=0,"",(VLOOKUP($C21,REV!$C:$AA,19,0)-'TRADE IN'!$F21))</f>
        <v>2999</v>
      </c>
      <c r="V21" s="46">
        <f>IF(VLOOKUP($C21,REV!$C:$AA,20,0)-'TRADE IN'!$F21=0,"",(VLOOKUP($C21,REV!$C:$AA,20,0)-'TRADE IN'!$F21))</f>
        <v>2999</v>
      </c>
      <c r="W21" s="46">
        <f>IF(VLOOKUP($C21,REV!$C:$AA,21,0)-'TRADE IN'!$F21=0,"",(VLOOKUP($C21,REV!$C:$AA,21,0)-'TRADE IN'!$F21))</f>
        <v>2999</v>
      </c>
      <c r="X21" s="46">
        <f>IF(VLOOKUP($C21,REV!$C:$AA,22,0)-'TRADE IN'!$F21=0,"",(VLOOKUP($C21,REV!$C:$AA,22,0)-'TRADE IN'!$F21))</f>
        <v>2899</v>
      </c>
      <c r="Y21" s="46">
        <f>IF(VLOOKUP($C21,REV!$C:$AA,23,0)-'TRADE IN'!$F21=0,"",(VLOOKUP($C21,REV!$C:$AA,23,0)-'TRADE IN'!$F21))</f>
        <v>2399</v>
      </c>
      <c r="Z21" s="46">
        <f>IF(VLOOKUP($C21,REV!$C:$AA,24,0)-'TRADE IN'!$F21=0,"",(VLOOKUP($C21,REV!$C:$AA,24,0)-'TRADE IN'!$F21))</f>
        <v>2399</v>
      </c>
      <c r="AA21" s="46">
        <f>IF(VLOOKUP($C21,REV!$C:$AA,25,0)-'TRADE IN'!$F21=0,"",(VLOOKUP($C21,REV!$C:$AA,25,0)-'TRADE IN'!$F21))</f>
        <v>2399</v>
      </c>
      <c r="AB21" s="45"/>
      <c r="AC21" s="45"/>
      <c r="AD21" s="45"/>
      <c r="AE21" s="45"/>
      <c r="AF21" s="45"/>
      <c r="AG21" s="45"/>
      <c r="AH21" s="45"/>
      <c r="AI21" s="45"/>
      <c r="AJ21" s="45"/>
      <c r="AK21" s="45"/>
      <c r="AL21" s="45"/>
      <c r="AM21" s="45"/>
      <c r="AN21" s="45"/>
      <c r="AO21" s="45"/>
      <c r="AP21" s="45"/>
      <c r="AQ21" s="45"/>
      <c r="AR21" s="45"/>
      <c r="AS21" s="45"/>
      <c r="AT21" s="45"/>
      <c r="AU21" s="45"/>
      <c r="AV21" s="47"/>
      <c r="AW21" s="48" t="str">
        <f>REV!AW21</f>
        <v>13.08.2026</v>
      </c>
      <c r="AX21" s="149" t="s">
        <v>68</v>
      </c>
    </row>
    <row r="22" spans="1:50" ht="22.5" customHeight="1">
      <c r="A22" s="41" t="s">
        <v>63</v>
      </c>
      <c r="B22" s="42" t="s">
        <v>64</v>
      </c>
      <c r="C22" s="43">
        <v>4015262</v>
      </c>
      <c r="D22" s="44" t="s">
        <v>79</v>
      </c>
      <c r="E22" s="44" t="s">
        <v>81</v>
      </c>
      <c r="F22" s="45">
        <v>100</v>
      </c>
      <c r="G22" s="45"/>
      <c r="H22" s="46"/>
      <c r="I22" s="46"/>
      <c r="J22" s="46">
        <f>IF(VLOOKUP($C22,REV!$C:$AA,8,0)-'TRADE IN'!$F22=0,"",(VLOOKUP($C22,REV!$C:$AA,8,0)-'TRADE IN'!$F22))</f>
        <v>4099</v>
      </c>
      <c r="K22" s="46">
        <f>IF(VLOOKUP($C22,REV!$C:$AA,9,0)-'TRADE IN'!$F22=0,"",(VLOOKUP($C22,REV!$C:$AA,9,0)-'TRADE IN'!$F22))</f>
        <v>4099</v>
      </c>
      <c r="L22" s="46">
        <f>IF(VLOOKUP($C22,REV!$C:$AA,10,0)-'TRADE IN'!$F22=0,"",(VLOOKUP($C22,REV!$C:$AA,10,0)-'TRADE IN'!$F22))</f>
        <v>4099</v>
      </c>
      <c r="M22" s="46">
        <f>IF(VLOOKUP($C22,REV!$C:$AA,11,0)-'TRADE IN'!$F22=0,"",(VLOOKUP($C22,REV!$C:$AA,11,0)-'TRADE IN'!$F22))</f>
        <v>4099</v>
      </c>
      <c r="N22" s="46">
        <f>IF(VLOOKUP($C22,REV!$C:$AA,12,0)-'TRADE IN'!$F22=0,"",(VLOOKUP($C22,REV!$C:$AA,12,0)-'TRADE IN'!$F22))</f>
        <v>4099</v>
      </c>
      <c r="O22" s="46">
        <f>IF(VLOOKUP($C22,REV!$C:$AA,13,0)-'TRADE IN'!$F22=0,"",(VLOOKUP($C22,REV!$C:$AA,13,0)-'TRADE IN'!$F22))</f>
        <v>3799</v>
      </c>
      <c r="P22" s="46">
        <f>IF(VLOOKUP($C22,REV!$C:$AA,14,0)-'TRADE IN'!$F22=0,"",(VLOOKUP($C22,REV!$C:$AA,14,0)-'TRADE IN'!$F22))</f>
        <v>3699</v>
      </c>
      <c r="Q22" s="46">
        <f>IF(VLOOKUP($C22,REV!$C:$AA,15,0)-'TRADE IN'!$F22=0,"",(VLOOKUP($C22,REV!$C:$AA,15,0)-'TRADE IN'!$F22))</f>
        <v>2999</v>
      </c>
      <c r="R22" s="46">
        <f>IF(VLOOKUP($C22,REV!$C:$AA,16,0)-'TRADE IN'!$F22=0,"",(VLOOKUP($C22,REV!$C:$AA,16,0)-'TRADE IN'!$F22))</f>
        <v>3799</v>
      </c>
      <c r="S22" s="46">
        <f>IF(VLOOKUP($C22,REV!$C:$AA,17,0)-'TRADE IN'!$F22=0,"",(VLOOKUP($C22,REV!$C:$AA,17,0)-'TRADE IN'!$F22))</f>
        <v>3699</v>
      </c>
      <c r="T22" s="46">
        <f>IF(VLOOKUP($C22,REV!$C:$AA,18,0)-'TRADE IN'!$F22=0,"",(VLOOKUP($C22,REV!$C:$AA,18,0)-'TRADE IN'!$F22))</f>
        <v>2999</v>
      </c>
      <c r="U22" s="46">
        <f>IF(VLOOKUP($C22,REV!$C:$AA,19,0)-'TRADE IN'!$F22=0,"",(VLOOKUP($C22,REV!$C:$AA,19,0)-'TRADE IN'!$F22))</f>
        <v>2999</v>
      </c>
      <c r="V22" s="46">
        <f>IF(VLOOKUP($C22,REV!$C:$AA,20,0)-'TRADE IN'!$F22=0,"",(VLOOKUP($C22,REV!$C:$AA,20,0)-'TRADE IN'!$F22))</f>
        <v>2999</v>
      </c>
      <c r="W22" s="46">
        <f>IF(VLOOKUP($C22,REV!$C:$AA,21,0)-'TRADE IN'!$F22=0,"",(VLOOKUP($C22,REV!$C:$AA,21,0)-'TRADE IN'!$F22))</f>
        <v>2999</v>
      </c>
      <c r="X22" s="46">
        <f>IF(VLOOKUP($C22,REV!$C:$AA,22,0)-'TRADE IN'!$F22=0,"",(VLOOKUP($C22,REV!$C:$AA,22,0)-'TRADE IN'!$F22))</f>
        <v>2899</v>
      </c>
      <c r="Y22" s="46">
        <f>IF(VLOOKUP($C22,REV!$C:$AA,23,0)-'TRADE IN'!$F22=0,"",(VLOOKUP($C22,REV!$C:$AA,23,0)-'TRADE IN'!$F22))</f>
        <v>2399</v>
      </c>
      <c r="Z22" s="46">
        <f>IF(VLOOKUP($C22,REV!$C:$AA,24,0)-'TRADE IN'!$F22=0,"",(VLOOKUP($C22,REV!$C:$AA,24,0)-'TRADE IN'!$F22))</f>
        <v>2399</v>
      </c>
      <c r="AA22" s="46">
        <f>IF(VLOOKUP($C22,REV!$C:$AA,25,0)-'TRADE IN'!$F22=0,"",(VLOOKUP($C22,REV!$C:$AA,25,0)-'TRADE IN'!$F22))</f>
        <v>2399</v>
      </c>
      <c r="AB22" s="45"/>
      <c r="AC22" s="45"/>
      <c r="AD22" s="45"/>
      <c r="AE22" s="45"/>
      <c r="AF22" s="45"/>
      <c r="AG22" s="45"/>
      <c r="AH22" s="45"/>
      <c r="AI22" s="45"/>
      <c r="AJ22" s="45"/>
      <c r="AK22" s="45"/>
      <c r="AL22" s="45"/>
      <c r="AM22" s="45"/>
      <c r="AN22" s="45"/>
      <c r="AO22" s="45"/>
      <c r="AP22" s="45"/>
      <c r="AQ22" s="45"/>
      <c r="AR22" s="45"/>
      <c r="AS22" s="45"/>
      <c r="AT22" s="45"/>
      <c r="AU22" s="45"/>
      <c r="AV22" s="47"/>
      <c r="AW22" s="48" t="str">
        <f>REV!AW22</f>
        <v>13.08.2026</v>
      </c>
      <c r="AX22" s="149" t="s">
        <v>68</v>
      </c>
    </row>
    <row r="23" spans="1:50" ht="22.5" customHeight="1">
      <c r="A23" s="41" t="s">
        <v>63</v>
      </c>
      <c r="B23" s="42" t="s">
        <v>64</v>
      </c>
      <c r="C23" s="43">
        <v>4015180</v>
      </c>
      <c r="D23" s="44" t="s">
        <v>82</v>
      </c>
      <c r="E23" s="44" t="s">
        <v>83</v>
      </c>
      <c r="F23" s="45">
        <v>100</v>
      </c>
      <c r="G23" s="45"/>
      <c r="H23" s="46"/>
      <c r="I23" s="46"/>
      <c r="J23" s="46">
        <f>IF(VLOOKUP($C23,REV!$C:$AA,8,0)-'TRADE IN'!$F23=0,"",(VLOOKUP($C23,REV!$C:$AA,8,0)-'TRADE IN'!$F23))</f>
        <v>4299</v>
      </c>
      <c r="K23" s="46">
        <f>IF(VLOOKUP($C23,REV!$C:$AA,9,0)-'TRADE IN'!$F23=0,"",(VLOOKUP($C23,REV!$C:$AA,9,0)-'TRADE IN'!$F23))</f>
        <v>4299</v>
      </c>
      <c r="L23" s="46">
        <f>IF(VLOOKUP($C23,REV!$C:$AA,10,0)-'TRADE IN'!$F23=0,"",(VLOOKUP($C23,REV!$C:$AA,10,0)-'TRADE IN'!$F23))</f>
        <v>4299</v>
      </c>
      <c r="M23" s="46">
        <f>IF(VLOOKUP($C23,REV!$C:$AA,11,0)-'TRADE IN'!$F23=0,"",(VLOOKUP($C23,REV!$C:$AA,11,0)-'TRADE IN'!$F23))</f>
        <v>4299</v>
      </c>
      <c r="N23" s="46">
        <f>IF(VLOOKUP($C23,REV!$C:$AA,12,0)-'TRADE IN'!$F23=0,"",(VLOOKUP($C23,REV!$C:$AA,12,0)-'TRADE IN'!$F23))</f>
        <v>4299</v>
      </c>
      <c r="O23" s="46">
        <f>IF(VLOOKUP($C23,REV!$C:$AA,13,0)-'TRADE IN'!$F23=0,"",(VLOOKUP($C23,REV!$C:$AA,13,0)-'TRADE IN'!$F23))</f>
        <v>4199</v>
      </c>
      <c r="P23" s="46">
        <f>IF(VLOOKUP($C23,REV!$C:$AA,14,0)-'TRADE IN'!$F23=0,"",(VLOOKUP($C23,REV!$C:$AA,14,0)-'TRADE IN'!$F23))</f>
        <v>4099</v>
      </c>
      <c r="Q23" s="46">
        <f>IF(VLOOKUP($C23,REV!$C:$AA,15,0)-'TRADE IN'!$F23=0,"",(VLOOKUP($C23,REV!$C:$AA,15,0)-'TRADE IN'!$F23))</f>
        <v>3399</v>
      </c>
      <c r="R23" s="46">
        <f>IF(VLOOKUP($C23,REV!$C:$AA,16,0)-'TRADE IN'!$F23=0,"",(VLOOKUP($C23,REV!$C:$AA,16,0)-'TRADE IN'!$F23))</f>
        <v>4199</v>
      </c>
      <c r="S23" s="46">
        <f>IF(VLOOKUP($C23,REV!$C:$AA,17,0)-'TRADE IN'!$F23=0,"",(VLOOKUP($C23,REV!$C:$AA,17,0)-'TRADE IN'!$F23))</f>
        <v>4099</v>
      </c>
      <c r="T23" s="46">
        <f>IF(VLOOKUP($C23,REV!$C:$AA,18,0)-'TRADE IN'!$F23=0,"",(VLOOKUP($C23,REV!$C:$AA,18,0)-'TRADE IN'!$F23))</f>
        <v>3399</v>
      </c>
      <c r="U23" s="46">
        <f>IF(VLOOKUP($C23,REV!$C:$AA,19,0)-'TRADE IN'!$F23=0,"",(VLOOKUP($C23,REV!$C:$AA,19,0)-'TRADE IN'!$F23))</f>
        <v>3399</v>
      </c>
      <c r="V23" s="46">
        <f>IF(VLOOKUP($C23,REV!$C:$AA,20,0)-'TRADE IN'!$F23=0,"",(VLOOKUP($C23,REV!$C:$AA,20,0)-'TRADE IN'!$F23))</f>
        <v>3399</v>
      </c>
      <c r="W23" s="46">
        <f>IF(VLOOKUP($C23,REV!$C:$AA,21,0)-'TRADE IN'!$F23=0,"",(VLOOKUP($C23,REV!$C:$AA,21,0)-'TRADE IN'!$F23))</f>
        <v>3399</v>
      </c>
      <c r="X23" s="46">
        <f>IF(VLOOKUP($C23,REV!$C:$AA,22,0)-'TRADE IN'!$F23=0,"",(VLOOKUP($C23,REV!$C:$AA,22,0)-'TRADE IN'!$F23))</f>
        <v>3299</v>
      </c>
      <c r="Y23" s="46">
        <f>IF(VLOOKUP($C23,REV!$C:$AA,23,0)-'TRADE IN'!$F23=0,"",(VLOOKUP($C23,REV!$C:$AA,23,0)-'TRADE IN'!$F23))</f>
        <v>2399</v>
      </c>
      <c r="Z23" s="46">
        <f>IF(VLOOKUP($C23,REV!$C:$AA,24,0)-'TRADE IN'!$F23=0,"",(VLOOKUP($C23,REV!$C:$AA,24,0)-'TRADE IN'!$F23))</f>
        <v>2399</v>
      </c>
      <c r="AA23" s="46">
        <f>IF(VLOOKUP($C23,REV!$C:$AA,25,0)-'TRADE IN'!$F23=0,"",(VLOOKUP($C23,REV!$C:$AA,25,0)-'TRADE IN'!$F23))</f>
        <v>2349</v>
      </c>
      <c r="AB23" s="45">
        <f>IF(VLOOKUP($C23,REV!$C:$AL,27,0)-'TRADE IN'!$F23=0,"",(VLOOKUP($C23,REV!$C:$AL,27,0)-'TRADE IN'!$F23))</f>
        <v>4299</v>
      </c>
      <c r="AC23" s="45">
        <f>IF(VLOOKUP($C23,REV!$C:$AL,28,0)-'TRADE IN'!$F23=0,"",(VLOOKUP($C23,REV!$C:$AL,28,0)-'TRADE IN'!$F23))</f>
        <v>4299</v>
      </c>
      <c r="AD23" s="45">
        <f>IF(VLOOKUP($C23,REV!$C:$AL,29,0)-'TRADE IN'!$F23=0,"",(VLOOKUP($C23,REV!$C:$AL,29,0)-'TRADE IN'!$F23))</f>
        <v>4099</v>
      </c>
      <c r="AE23" s="45">
        <f>IF(VLOOKUP($C23,REV!$C:$AL,30,0)-'TRADE IN'!$F23=0,"",(VLOOKUP($C23,REV!$C:$AL,30,0)-'TRADE IN'!$F23))</f>
        <v>4099</v>
      </c>
      <c r="AF23" s="45">
        <f>IF(VLOOKUP($C23,REV!$C:$AL,31,0)-'TRADE IN'!$F23=0,"",(VLOOKUP($C23,REV!$C:$AL,31,0)-'TRADE IN'!$F23))</f>
        <v>4099</v>
      </c>
      <c r="AG23" s="45">
        <f>IF(VLOOKUP($C23,REV!$C:$AL,31,0)-'TRADE IN'!$F23=0,"",(VLOOKUP($C23,REV!$C:$AL,31,0)-'TRADE IN'!$F23))</f>
        <v>4099</v>
      </c>
      <c r="AH23" s="45">
        <f>IF(VLOOKUP($C23,REV!$C:$AL,32,0)-'TRADE IN'!$F23=0,"",(VLOOKUP($C23,REV!$C:$AL,32,0)-'TRADE IN'!$F23))</f>
        <v>4099</v>
      </c>
      <c r="AI23" s="45">
        <f>IF(VLOOKUP($C23,REV!$C:$AL,33,0)-'TRADE IN'!$F23=0,"",(VLOOKUP($C23,REV!$C:$AL,33,0)-'TRADE IN'!$F23))</f>
        <v>3399</v>
      </c>
      <c r="AJ23" s="45">
        <f>IF(VLOOKUP($C23,REV!$C:$AL,34,0)-'TRADE IN'!$F23=0,"",(VLOOKUP($C23,REV!$C:$AL,34,0)-'TRADE IN'!$F23))</f>
        <v>3399</v>
      </c>
      <c r="AK23" s="45">
        <f>IF(VLOOKUP($C23,REV!$C:$AL,35,0)-'TRADE IN'!$F23=0,"",(VLOOKUP($C23,REV!$C:$AL,35,0)-'TRADE IN'!$F23))</f>
        <v>3399</v>
      </c>
      <c r="AL23" s="45">
        <f>IF(VLOOKUP($C23,REV!$C:$AL,36,0)-'TRADE IN'!$F23=0,"",(VLOOKUP($C23,REV!$C:$AL,36,0)-'TRADE IN'!$F23))</f>
        <v>2399</v>
      </c>
      <c r="AM23" s="45"/>
      <c r="AN23" s="45"/>
      <c r="AO23" s="45"/>
      <c r="AP23" s="45"/>
      <c r="AQ23" s="45"/>
      <c r="AR23" s="45"/>
      <c r="AS23" s="45"/>
      <c r="AT23" s="45"/>
      <c r="AU23" s="45"/>
      <c r="AV23" s="47"/>
      <c r="AW23" s="48" t="str">
        <f>REV!AW23</f>
        <v>13.08.2026</v>
      </c>
      <c r="AX23" s="149" t="s">
        <v>68</v>
      </c>
    </row>
    <row r="24" spans="1:50" ht="22.5" customHeight="1">
      <c r="A24" s="41" t="s">
        <v>63</v>
      </c>
      <c r="B24" s="42" t="s">
        <v>64</v>
      </c>
      <c r="C24" s="43">
        <v>4015186</v>
      </c>
      <c r="D24" s="44" t="s">
        <v>82</v>
      </c>
      <c r="E24" s="44" t="s">
        <v>84</v>
      </c>
      <c r="F24" s="45">
        <v>100</v>
      </c>
      <c r="G24" s="45"/>
      <c r="H24" s="46"/>
      <c r="I24" s="46"/>
      <c r="J24" s="46">
        <f>IF(VLOOKUP($C24,REV!$C:$AA,8,0)-'TRADE IN'!$F24=0,"",(VLOOKUP($C24,REV!$C:$AA,8,0)-'TRADE IN'!$F24))</f>
        <v>4299</v>
      </c>
      <c r="K24" s="46">
        <f>IF(VLOOKUP($C24,REV!$C:$AA,9,0)-'TRADE IN'!$F24=0,"",(VLOOKUP($C24,REV!$C:$AA,9,0)-'TRADE IN'!$F24))</f>
        <v>4299</v>
      </c>
      <c r="L24" s="46">
        <f>IF(VLOOKUP($C24,REV!$C:$AA,10,0)-'TRADE IN'!$F24=0,"",(VLOOKUP($C24,REV!$C:$AA,10,0)-'TRADE IN'!$F24))</f>
        <v>4299</v>
      </c>
      <c r="M24" s="46">
        <f>IF(VLOOKUP($C24,REV!$C:$AA,11,0)-'TRADE IN'!$F24=0,"",(VLOOKUP($C24,REV!$C:$AA,11,0)-'TRADE IN'!$F24))</f>
        <v>4299</v>
      </c>
      <c r="N24" s="46">
        <f>IF(VLOOKUP($C24,REV!$C:$AA,12,0)-'TRADE IN'!$F24=0,"",(VLOOKUP($C24,REV!$C:$AA,12,0)-'TRADE IN'!$F24))</f>
        <v>4299</v>
      </c>
      <c r="O24" s="46">
        <f>IF(VLOOKUP($C24,REV!$C:$AA,13,0)-'TRADE IN'!$F24=0,"",(VLOOKUP($C24,REV!$C:$AA,13,0)-'TRADE IN'!$F24))</f>
        <v>4199</v>
      </c>
      <c r="P24" s="46">
        <f>IF(VLOOKUP($C24,REV!$C:$AA,14,0)-'TRADE IN'!$F24=0,"",(VLOOKUP($C24,REV!$C:$AA,14,0)-'TRADE IN'!$F24))</f>
        <v>4099</v>
      </c>
      <c r="Q24" s="46">
        <f>IF(VLOOKUP($C24,REV!$C:$AA,15,0)-'TRADE IN'!$F24=0,"",(VLOOKUP($C24,REV!$C:$AA,15,0)-'TRADE IN'!$F24))</f>
        <v>3399</v>
      </c>
      <c r="R24" s="46">
        <f>IF(VLOOKUP($C24,REV!$C:$AA,16,0)-'TRADE IN'!$F24=0,"",(VLOOKUP($C24,REV!$C:$AA,16,0)-'TRADE IN'!$F24))</f>
        <v>4199</v>
      </c>
      <c r="S24" s="46">
        <f>IF(VLOOKUP($C24,REV!$C:$AA,17,0)-'TRADE IN'!$F24=0,"",(VLOOKUP($C24,REV!$C:$AA,17,0)-'TRADE IN'!$F24))</f>
        <v>4099</v>
      </c>
      <c r="T24" s="46">
        <f>IF(VLOOKUP($C24,REV!$C:$AA,18,0)-'TRADE IN'!$F24=0,"",(VLOOKUP($C24,REV!$C:$AA,18,0)-'TRADE IN'!$F24))</f>
        <v>3399</v>
      </c>
      <c r="U24" s="46">
        <f>IF(VLOOKUP($C24,REV!$C:$AA,19,0)-'TRADE IN'!$F24=0,"",(VLOOKUP($C24,REV!$C:$AA,19,0)-'TRADE IN'!$F24))</f>
        <v>3399</v>
      </c>
      <c r="V24" s="46">
        <f>IF(VLOOKUP($C24,REV!$C:$AA,20,0)-'TRADE IN'!$F24=0,"",(VLOOKUP($C24,REV!$C:$AA,20,0)-'TRADE IN'!$F24))</f>
        <v>3399</v>
      </c>
      <c r="W24" s="46">
        <f>IF(VLOOKUP($C24,REV!$C:$AA,21,0)-'TRADE IN'!$F24=0,"",(VLOOKUP($C24,REV!$C:$AA,21,0)-'TRADE IN'!$F24))</f>
        <v>3399</v>
      </c>
      <c r="X24" s="46">
        <f>IF(VLOOKUP($C24,REV!$C:$AA,22,0)-'TRADE IN'!$F24=0,"",(VLOOKUP($C24,REV!$C:$AA,22,0)-'TRADE IN'!$F24))</f>
        <v>3299</v>
      </c>
      <c r="Y24" s="46">
        <f>IF(VLOOKUP($C24,REV!$C:$AA,23,0)-'TRADE IN'!$F24=0,"",(VLOOKUP($C24,REV!$C:$AA,23,0)-'TRADE IN'!$F24))</f>
        <v>2399</v>
      </c>
      <c r="Z24" s="46">
        <f>IF(VLOOKUP($C24,REV!$C:$AA,24,0)-'TRADE IN'!$F24=0,"",(VLOOKUP($C24,REV!$C:$AA,24,0)-'TRADE IN'!$F24))</f>
        <v>2399</v>
      </c>
      <c r="AA24" s="46">
        <f>IF(VLOOKUP($C24,REV!$C:$AA,25,0)-'TRADE IN'!$F24=0,"",(VLOOKUP($C24,REV!$C:$AA,25,0)-'TRADE IN'!$F24))</f>
        <v>2349</v>
      </c>
      <c r="AB24" s="45">
        <f>IF(VLOOKUP($C24,REV!$C:$AL,27,0)-'TRADE IN'!$F24=0,"",(VLOOKUP($C24,REV!$C:$AL,27,0)-'TRADE IN'!$F24))</f>
        <v>4299</v>
      </c>
      <c r="AC24" s="45">
        <f>IF(VLOOKUP($C24,REV!$C:$AL,28,0)-'TRADE IN'!$F24=0,"",(VLOOKUP($C24,REV!$C:$AL,28,0)-'TRADE IN'!$F24))</f>
        <v>4299</v>
      </c>
      <c r="AD24" s="45">
        <f>IF(VLOOKUP($C24,REV!$C:$AL,29,0)-'TRADE IN'!$F24=0,"",(VLOOKUP($C24,REV!$C:$AL,29,0)-'TRADE IN'!$F24))</f>
        <v>4099</v>
      </c>
      <c r="AE24" s="45">
        <f>IF(VLOOKUP($C24,REV!$C:$AL,30,0)-'TRADE IN'!$F24=0,"",(VLOOKUP($C24,REV!$C:$AL,30,0)-'TRADE IN'!$F24))</f>
        <v>4099</v>
      </c>
      <c r="AF24" s="45">
        <f>IF(VLOOKUP($C24,REV!$C:$AL,31,0)-'TRADE IN'!$F24=0,"",(VLOOKUP($C24,REV!$C:$AL,31,0)-'TRADE IN'!$F24))</f>
        <v>4099</v>
      </c>
      <c r="AG24" s="45">
        <f>IF(VLOOKUP($C24,REV!$C:$AL,31,0)-'TRADE IN'!$F24=0,"",(VLOOKUP($C24,REV!$C:$AL,31,0)-'TRADE IN'!$F24))</f>
        <v>4099</v>
      </c>
      <c r="AH24" s="45">
        <f>IF(VLOOKUP($C24,REV!$C:$AL,32,0)-'TRADE IN'!$F24=0,"",(VLOOKUP($C24,REV!$C:$AL,32,0)-'TRADE IN'!$F24))</f>
        <v>4099</v>
      </c>
      <c r="AI24" s="45">
        <f>IF(VLOOKUP($C24,REV!$C:$AL,33,0)-'TRADE IN'!$F24=0,"",(VLOOKUP($C24,REV!$C:$AL,33,0)-'TRADE IN'!$F24))</f>
        <v>3399</v>
      </c>
      <c r="AJ24" s="45">
        <f>IF(VLOOKUP($C24,REV!$C:$AL,34,0)-'TRADE IN'!$F24=0,"",(VLOOKUP($C24,REV!$C:$AL,34,0)-'TRADE IN'!$F24))</f>
        <v>3399</v>
      </c>
      <c r="AK24" s="45">
        <f>IF(VLOOKUP($C24,REV!$C:$AL,35,0)-'TRADE IN'!$F24=0,"",(VLOOKUP($C24,REV!$C:$AL,35,0)-'TRADE IN'!$F24))</f>
        <v>3399</v>
      </c>
      <c r="AL24" s="45">
        <f>IF(VLOOKUP($C24,REV!$C:$AL,36,0)-'TRADE IN'!$F24=0,"",(VLOOKUP($C24,REV!$C:$AL,36,0)-'TRADE IN'!$F24))</f>
        <v>2399</v>
      </c>
      <c r="AM24" s="45"/>
      <c r="AN24" s="45"/>
      <c r="AO24" s="45"/>
      <c r="AP24" s="45"/>
      <c r="AQ24" s="45"/>
      <c r="AR24" s="45"/>
      <c r="AS24" s="45"/>
      <c r="AT24" s="45"/>
      <c r="AU24" s="45"/>
      <c r="AV24" s="47"/>
      <c r="AW24" s="48" t="str">
        <f>REV!AW24</f>
        <v>13.08.2026</v>
      </c>
      <c r="AX24" s="149" t="s">
        <v>68</v>
      </c>
    </row>
    <row r="25" spans="1:50" ht="22.5" customHeight="1">
      <c r="A25" s="41" t="s">
        <v>63</v>
      </c>
      <c r="B25" s="42" t="s">
        <v>64</v>
      </c>
      <c r="C25" s="43">
        <v>4015267</v>
      </c>
      <c r="D25" s="44" t="s">
        <v>82</v>
      </c>
      <c r="E25" s="44" t="s">
        <v>85</v>
      </c>
      <c r="F25" s="45">
        <v>100</v>
      </c>
      <c r="G25" s="45"/>
      <c r="H25" s="46"/>
      <c r="I25" s="46"/>
      <c r="J25" s="46">
        <f>IF(VLOOKUP($C25,REV!$C:$AA,8,0)-'TRADE IN'!$F25=0,"",(VLOOKUP($C25,REV!$C:$AA,8,0)-'TRADE IN'!$F25))</f>
        <v>4299</v>
      </c>
      <c r="K25" s="46">
        <f>IF(VLOOKUP($C25,REV!$C:$AA,9,0)-'TRADE IN'!$F25=0,"",(VLOOKUP($C25,REV!$C:$AA,9,0)-'TRADE IN'!$F25))</f>
        <v>4299</v>
      </c>
      <c r="L25" s="46">
        <f>IF(VLOOKUP($C25,REV!$C:$AA,10,0)-'TRADE IN'!$F25=0,"",(VLOOKUP($C25,REV!$C:$AA,10,0)-'TRADE IN'!$F25))</f>
        <v>4299</v>
      </c>
      <c r="M25" s="46">
        <f>IF(VLOOKUP($C25,REV!$C:$AA,11,0)-'TRADE IN'!$F25=0,"",(VLOOKUP($C25,REV!$C:$AA,11,0)-'TRADE IN'!$F25))</f>
        <v>4299</v>
      </c>
      <c r="N25" s="46">
        <f>IF(VLOOKUP($C25,REV!$C:$AA,12,0)-'TRADE IN'!$F25=0,"",(VLOOKUP($C25,REV!$C:$AA,12,0)-'TRADE IN'!$F25))</f>
        <v>4299</v>
      </c>
      <c r="O25" s="46">
        <f>IF(VLOOKUP($C25,REV!$C:$AA,13,0)-'TRADE IN'!$F25=0,"",(VLOOKUP($C25,REV!$C:$AA,13,0)-'TRADE IN'!$F25))</f>
        <v>4199</v>
      </c>
      <c r="P25" s="46">
        <f>IF(VLOOKUP($C25,REV!$C:$AA,14,0)-'TRADE IN'!$F25=0,"",(VLOOKUP($C25,REV!$C:$AA,14,0)-'TRADE IN'!$F25))</f>
        <v>4099</v>
      </c>
      <c r="Q25" s="46">
        <f>IF(VLOOKUP($C25,REV!$C:$AA,15,0)-'TRADE IN'!$F25=0,"",(VLOOKUP($C25,REV!$C:$AA,15,0)-'TRADE IN'!$F25))</f>
        <v>3399</v>
      </c>
      <c r="R25" s="46">
        <f>IF(VLOOKUP($C25,REV!$C:$AA,16,0)-'TRADE IN'!$F25=0,"",(VLOOKUP($C25,REV!$C:$AA,16,0)-'TRADE IN'!$F25))</f>
        <v>4199</v>
      </c>
      <c r="S25" s="46">
        <f>IF(VLOOKUP($C25,REV!$C:$AA,17,0)-'TRADE IN'!$F25=0,"",(VLOOKUP($C25,REV!$C:$AA,17,0)-'TRADE IN'!$F25))</f>
        <v>4099</v>
      </c>
      <c r="T25" s="46">
        <f>IF(VLOOKUP($C25,REV!$C:$AA,18,0)-'TRADE IN'!$F25=0,"",(VLOOKUP($C25,REV!$C:$AA,18,0)-'TRADE IN'!$F25))</f>
        <v>3399</v>
      </c>
      <c r="U25" s="46">
        <f>IF(VLOOKUP($C25,REV!$C:$AA,19,0)-'TRADE IN'!$F25=0,"",(VLOOKUP($C25,REV!$C:$AA,19,0)-'TRADE IN'!$F25))</f>
        <v>3399</v>
      </c>
      <c r="V25" s="46">
        <f>IF(VLOOKUP($C25,REV!$C:$AA,20,0)-'TRADE IN'!$F25=0,"",(VLOOKUP($C25,REV!$C:$AA,20,0)-'TRADE IN'!$F25))</f>
        <v>3399</v>
      </c>
      <c r="W25" s="46">
        <f>IF(VLOOKUP($C25,REV!$C:$AA,21,0)-'TRADE IN'!$F25=0,"",(VLOOKUP($C25,REV!$C:$AA,21,0)-'TRADE IN'!$F25))</f>
        <v>3399</v>
      </c>
      <c r="X25" s="46">
        <f>IF(VLOOKUP($C25,REV!$C:$AA,22,0)-'TRADE IN'!$F25=0,"",(VLOOKUP($C25,REV!$C:$AA,22,0)-'TRADE IN'!$F25))</f>
        <v>3299</v>
      </c>
      <c r="Y25" s="46">
        <f>IF(VLOOKUP($C25,REV!$C:$AA,23,0)-'TRADE IN'!$F25=0,"",(VLOOKUP($C25,REV!$C:$AA,23,0)-'TRADE IN'!$F25))</f>
        <v>2399</v>
      </c>
      <c r="Z25" s="46">
        <f>IF(VLOOKUP($C25,REV!$C:$AA,24,0)-'TRADE IN'!$F25=0,"",(VLOOKUP($C25,REV!$C:$AA,24,0)-'TRADE IN'!$F25))</f>
        <v>2399</v>
      </c>
      <c r="AA25" s="46">
        <f>IF(VLOOKUP($C25,REV!$C:$AA,25,0)-'TRADE IN'!$F25=0,"",(VLOOKUP($C25,REV!$C:$AA,25,0)-'TRADE IN'!$F25))</f>
        <v>2349</v>
      </c>
      <c r="AB25" s="45">
        <f>IF(VLOOKUP($C25,REV!$C:$AL,27,0)-'TRADE IN'!$F25=0,"",(VLOOKUP($C25,REV!$C:$AL,27,0)-'TRADE IN'!$F25))</f>
        <v>4299</v>
      </c>
      <c r="AC25" s="45">
        <f>IF(VLOOKUP($C25,REV!$C:$AL,28,0)-'TRADE IN'!$F25=0,"",(VLOOKUP($C25,REV!$C:$AL,28,0)-'TRADE IN'!$F25))</f>
        <v>4299</v>
      </c>
      <c r="AD25" s="45">
        <f>IF(VLOOKUP($C25,REV!$C:$AL,29,0)-'TRADE IN'!$F25=0,"",(VLOOKUP($C25,REV!$C:$AL,29,0)-'TRADE IN'!$F25))</f>
        <v>4099</v>
      </c>
      <c r="AE25" s="45">
        <f>IF(VLOOKUP($C25,REV!$C:$AL,30,0)-'TRADE IN'!$F25=0,"",(VLOOKUP($C25,REV!$C:$AL,30,0)-'TRADE IN'!$F25))</f>
        <v>4099</v>
      </c>
      <c r="AF25" s="45">
        <f>IF(VLOOKUP($C25,REV!$C:$AL,31,0)-'TRADE IN'!$F25=0,"",(VLOOKUP($C25,REV!$C:$AL,31,0)-'TRADE IN'!$F25))</f>
        <v>4099</v>
      </c>
      <c r="AG25" s="45">
        <f>IF(VLOOKUP($C25,REV!$C:$AL,31,0)-'TRADE IN'!$F25=0,"",(VLOOKUP($C25,REV!$C:$AL,31,0)-'TRADE IN'!$F25))</f>
        <v>4099</v>
      </c>
      <c r="AH25" s="45">
        <f>IF(VLOOKUP($C25,REV!$C:$AL,32,0)-'TRADE IN'!$F25=0,"",(VLOOKUP($C25,REV!$C:$AL,32,0)-'TRADE IN'!$F25))</f>
        <v>4099</v>
      </c>
      <c r="AI25" s="45">
        <f>IF(VLOOKUP($C25,REV!$C:$AL,33,0)-'TRADE IN'!$F25=0,"",(VLOOKUP($C25,REV!$C:$AL,33,0)-'TRADE IN'!$F25))</f>
        <v>3399</v>
      </c>
      <c r="AJ25" s="45">
        <f>IF(VLOOKUP($C25,REV!$C:$AL,34,0)-'TRADE IN'!$F25=0,"",(VLOOKUP($C25,REV!$C:$AL,34,0)-'TRADE IN'!$F25))</f>
        <v>3399</v>
      </c>
      <c r="AK25" s="45">
        <f>IF(VLOOKUP($C25,REV!$C:$AL,35,0)-'TRADE IN'!$F25=0,"",(VLOOKUP($C25,REV!$C:$AL,35,0)-'TRADE IN'!$F25))</f>
        <v>3399</v>
      </c>
      <c r="AL25" s="45">
        <f>IF(VLOOKUP($C25,REV!$C:$AL,36,0)-'TRADE IN'!$F25=0,"",(VLOOKUP($C25,REV!$C:$AL,36,0)-'TRADE IN'!$F25))</f>
        <v>2399</v>
      </c>
      <c r="AM25" s="45"/>
      <c r="AN25" s="45"/>
      <c r="AO25" s="45"/>
      <c r="AP25" s="45"/>
      <c r="AQ25" s="45"/>
      <c r="AR25" s="45"/>
      <c r="AS25" s="45"/>
      <c r="AT25" s="45"/>
      <c r="AU25" s="45"/>
      <c r="AV25" s="47"/>
      <c r="AW25" s="48" t="str">
        <f>REV!AW25</f>
        <v>13.08.2026</v>
      </c>
      <c r="AX25" s="149" t="s">
        <v>68</v>
      </c>
    </row>
    <row r="26" spans="1:50" ht="22.5" customHeight="1">
      <c r="A26" s="41" t="s">
        <v>63</v>
      </c>
      <c r="B26" s="42" t="s">
        <v>64</v>
      </c>
      <c r="C26" s="43">
        <v>4015268</v>
      </c>
      <c r="D26" s="44" t="s">
        <v>82</v>
      </c>
      <c r="E26" s="44" t="s">
        <v>86</v>
      </c>
      <c r="F26" s="45">
        <v>100</v>
      </c>
      <c r="G26" s="45"/>
      <c r="H26" s="46"/>
      <c r="I26" s="46"/>
      <c r="J26" s="46">
        <f>IF(VLOOKUP($C26,REV!$C:$AA,8,0)-'TRADE IN'!$F26=0,"",(VLOOKUP($C26,REV!$C:$AA,8,0)-'TRADE IN'!$F26))</f>
        <v>4299</v>
      </c>
      <c r="K26" s="46">
        <f>IF(VLOOKUP($C26,REV!$C:$AA,9,0)-'TRADE IN'!$F26=0,"",(VLOOKUP($C26,REV!$C:$AA,9,0)-'TRADE IN'!$F26))</f>
        <v>4299</v>
      </c>
      <c r="L26" s="46">
        <f>IF(VLOOKUP($C26,REV!$C:$AA,10,0)-'TRADE IN'!$F26=0,"",(VLOOKUP($C26,REV!$C:$AA,10,0)-'TRADE IN'!$F26))</f>
        <v>4299</v>
      </c>
      <c r="M26" s="46">
        <f>IF(VLOOKUP($C26,REV!$C:$AA,11,0)-'TRADE IN'!$F26=0,"",(VLOOKUP($C26,REV!$C:$AA,11,0)-'TRADE IN'!$F26))</f>
        <v>4299</v>
      </c>
      <c r="N26" s="46">
        <f>IF(VLOOKUP($C26,REV!$C:$AA,12,0)-'TRADE IN'!$F26=0,"",(VLOOKUP($C26,REV!$C:$AA,12,0)-'TRADE IN'!$F26))</f>
        <v>4299</v>
      </c>
      <c r="O26" s="46">
        <f>IF(VLOOKUP($C26,REV!$C:$AA,13,0)-'TRADE IN'!$F26=0,"",(VLOOKUP($C26,REV!$C:$AA,13,0)-'TRADE IN'!$F26))</f>
        <v>4199</v>
      </c>
      <c r="P26" s="46">
        <f>IF(VLOOKUP($C26,REV!$C:$AA,14,0)-'TRADE IN'!$F26=0,"",(VLOOKUP($C26,REV!$C:$AA,14,0)-'TRADE IN'!$F26))</f>
        <v>4099</v>
      </c>
      <c r="Q26" s="46">
        <f>IF(VLOOKUP($C26,REV!$C:$AA,15,0)-'TRADE IN'!$F26=0,"",(VLOOKUP($C26,REV!$C:$AA,15,0)-'TRADE IN'!$F26))</f>
        <v>3399</v>
      </c>
      <c r="R26" s="46">
        <f>IF(VLOOKUP($C26,REV!$C:$AA,16,0)-'TRADE IN'!$F26=0,"",(VLOOKUP($C26,REV!$C:$AA,16,0)-'TRADE IN'!$F26))</f>
        <v>4199</v>
      </c>
      <c r="S26" s="46">
        <f>IF(VLOOKUP($C26,REV!$C:$AA,17,0)-'TRADE IN'!$F26=0,"",(VLOOKUP($C26,REV!$C:$AA,17,0)-'TRADE IN'!$F26))</f>
        <v>4099</v>
      </c>
      <c r="T26" s="46">
        <f>IF(VLOOKUP($C26,REV!$C:$AA,18,0)-'TRADE IN'!$F26=0,"",(VLOOKUP($C26,REV!$C:$AA,18,0)-'TRADE IN'!$F26))</f>
        <v>3399</v>
      </c>
      <c r="U26" s="46">
        <f>IF(VLOOKUP($C26,REV!$C:$AA,19,0)-'TRADE IN'!$F26=0,"",(VLOOKUP($C26,REV!$C:$AA,19,0)-'TRADE IN'!$F26))</f>
        <v>3399</v>
      </c>
      <c r="V26" s="46">
        <f>IF(VLOOKUP($C26,REV!$C:$AA,20,0)-'TRADE IN'!$F26=0,"",(VLOOKUP($C26,REV!$C:$AA,20,0)-'TRADE IN'!$F26))</f>
        <v>3399</v>
      </c>
      <c r="W26" s="46">
        <f>IF(VLOOKUP($C26,REV!$C:$AA,21,0)-'TRADE IN'!$F26=0,"",(VLOOKUP($C26,REV!$C:$AA,21,0)-'TRADE IN'!$F26))</f>
        <v>3399</v>
      </c>
      <c r="X26" s="46">
        <f>IF(VLOOKUP($C26,REV!$C:$AA,22,0)-'TRADE IN'!$F26=0,"",(VLOOKUP($C26,REV!$C:$AA,22,0)-'TRADE IN'!$F26))</f>
        <v>3299</v>
      </c>
      <c r="Y26" s="46">
        <f>IF(VLOOKUP($C26,REV!$C:$AA,23,0)-'TRADE IN'!$F26=0,"",(VLOOKUP($C26,REV!$C:$AA,23,0)-'TRADE IN'!$F26))</f>
        <v>2399</v>
      </c>
      <c r="Z26" s="46">
        <f>IF(VLOOKUP($C26,REV!$C:$AA,24,0)-'TRADE IN'!$F26=0,"",(VLOOKUP($C26,REV!$C:$AA,24,0)-'TRADE IN'!$F26))</f>
        <v>2399</v>
      </c>
      <c r="AA26" s="46">
        <f>IF(VLOOKUP($C26,REV!$C:$AA,25,0)-'TRADE IN'!$F26=0,"",(VLOOKUP($C26,REV!$C:$AA,25,0)-'TRADE IN'!$F26))</f>
        <v>2349</v>
      </c>
      <c r="AB26" s="45">
        <f>IF(VLOOKUP($C26,REV!$C:$AL,27,0)-'TRADE IN'!$F26=0,"",(VLOOKUP($C26,REV!$C:$AL,27,0)-'TRADE IN'!$F26))</f>
        <v>4299</v>
      </c>
      <c r="AC26" s="45">
        <f>IF(VLOOKUP($C26,REV!$C:$AL,28,0)-'TRADE IN'!$F26=0,"",(VLOOKUP($C26,REV!$C:$AL,28,0)-'TRADE IN'!$F26))</f>
        <v>4299</v>
      </c>
      <c r="AD26" s="45">
        <f>IF(VLOOKUP($C26,REV!$C:$AL,29,0)-'TRADE IN'!$F26=0,"",(VLOOKUP($C26,REV!$C:$AL,29,0)-'TRADE IN'!$F26))</f>
        <v>4099</v>
      </c>
      <c r="AE26" s="45">
        <f>IF(VLOOKUP($C26,REV!$C:$AL,30,0)-'TRADE IN'!$F26=0,"",(VLOOKUP($C26,REV!$C:$AL,30,0)-'TRADE IN'!$F26))</f>
        <v>4099</v>
      </c>
      <c r="AF26" s="45">
        <f>IF(VLOOKUP($C26,REV!$C:$AL,31,0)-'TRADE IN'!$F26=0,"",(VLOOKUP($C26,REV!$C:$AL,31,0)-'TRADE IN'!$F26))</f>
        <v>4099</v>
      </c>
      <c r="AG26" s="45">
        <f>IF(VLOOKUP($C26,REV!$C:$AL,31,0)-'TRADE IN'!$F26=0,"",(VLOOKUP($C26,REV!$C:$AL,31,0)-'TRADE IN'!$F26))</f>
        <v>4099</v>
      </c>
      <c r="AH26" s="45">
        <f>IF(VLOOKUP($C26,REV!$C:$AL,32,0)-'TRADE IN'!$F26=0,"",(VLOOKUP($C26,REV!$C:$AL,32,0)-'TRADE IN'!$F26))</f>
        <v>4099</v>
      </c>
      <c r="AI26" s="45">
        <f>IF(VLOOKUP($C26,REV!$C:$AL,33,0)-'TRADE IN'!$F26=0,"",(VLOOKUP($C26,REV!$C:$AL,33,0)-'TRADE IN'!$F26))</f>
        <v>3399</v>
      </c>
      <c r="AJ26" s="45">
        <f>IF(VLOOKUP($C26,REV!$C:$AL,34,0)-'TRADE IN'!$F26=0,"",(VLOOKUP($C26,REV!$C:$AL,34,0)-'TRADE IN'!$F26))</f>
        <v>3399</v>
      </c>
      <c r="AK26" s="45">
        <f>IF(VLOOKUP($C26,REV!$C:$AL,35,0)-'TRADE IN'!$F26=0,"",(VLOOKUP($C26,REV!$C:$AL,35,0)-'TRADE IN'!$F26))</f>
        <v>3399</v>
      </c>
      <c r="AL26" s="45">
        <f>IF(VLOOKUP($C26,REV!$C:$AL,36,0)-'TRADE IN'!$F26=0,"",(VLOOKUP($C26,REV!$C:$AL,36,0)-'TRADE IN'!$F26))</f>
        <v>2399</v>
      </c>
      <c r="AM26" s="45"/>
      <c r="AN26" s="45"/>
      <c r="AO26" s="45"/>
      <c r="AP26" s="45"/>
      <c r="AQ26" s="45"/>
      <c r="AR26" s="45"/>
      <c r="AS26" s="45"/>
      <c r="AT26" s="45"/>
      <c r="AU26" s="45"/>
      <c r="AV26" s="47"/>
      <c r="AW26" s="48" t="str">
        <f>REV!AW26</f>
        <v>13.08.2026</v>
      </c>
      <c r="AX26" s="149" t="s">
        <v>68</v>
      </c>
    </row>
    <row r="27" spans="1:50" ht="22.5" customHeight="1">
      <c r="A27" s="41" t="s">
        <v>63</v>
      </c>
      <c r="B27" s="42" t="s">
        <v>64</v>
      </c>
      <c r="C27" s="43">
        <v>4015179</v>
      </c>
      <c r="D27" s="44" t="s">
        <v>87</v>
      </c>
      <c r="E27" s="44" t="s">
        <v>88</v>
      </c>
      <c r="F27" s="45">
        <v>100</v>
      </c>
      <c r="G27" s="45"/>
      <c r="H27" s="46"/>
      <c r="I27" s="46"/>
      <c r="J27" s="46">
        <f>IF(VLOOKUP($C27,REV!$C:$AA,8,0)-'TRADE IN'!$F27=0,"",(VLOOKUP($C27,REV!$C:$AA,8,0)-'TRADE IN'!$F27))</f>
        <v>4399</v>
      </c>
      <c r="K27" s="46">
        <f>IF(VLOOKUP($C27,REV!$C:$AA,9,0)-'TRADE IN'!$F27=0,"",(VLOOKUP($C27,REV!$C:$AA,9,0)-'TRADE IN'!$F27))</f>
        <v>4399</v>
      </c>
      <c r="L27" s="46">
        <f>IF(VLOOKUP($C27,REV!$C:$AA,10,0)-'TRADE IN'!$F27=0,"",(VLOOKUP($C27,REV!$C:$AA,10,0)-'TRADE IN'!$F27))</f>
        <v>4399</v>
      </c>
      <c r="M27" s="46">
        <f>IF(VLOOKUP($C27,REV!$C:$AA,11,0)-'TRADE IN'!$F27=0,"",(VLOOKUP($C27,REV!$C:$AA,11,0)-'TRADE IN'!$F27))</f>
        <v>4399</v>
      </c>
      <c r="N27" s="46">
        <f>IF(VLOOKUP($C27,REV!$C:$AA,12,0)-'TRADE IN'!$F27=0,"",(VLOOKUP($C27,REV!$C:$AA,12,0)-'TRADE IN'!$F27))</f>
        <v>4399</v>
      </c>
      <c r="O27" s="46">
        <f>IF(VLOOKUP($C27,REV!$C:$AA,13,0)-'TRADE IN'!$F27=0,"",(VLOOKUP($C27,REV!$C:$AA,13,0)-'TRADE IN'!$F27))</f>
        <v>4299</v>
      </c>
      <c r="P27" s="46">
        <f>IF(VLOOKUP($C27,REV!$C:$AA,14,0)-'TRADE IN'!$F27=0,"",(VLOOKUP($C27,REV!$C:$AA,14,0)-'TRADE IN'!$F27))</f>
        <v>4199</v>
      </c>
      <c r="Q27" s="46">
        <f>IF(VLOOKUP($C27,REV!$C:$AA,15,0)-'TRADE IN'!$F27=0,"",(VLOOKUP($C27,REV!$C:$AA,15,0)-'TRADE IN'!$F27))</f>
        <v>3399</v>
      </c>
      <c r="R27" s="46">
        <f>IF(VLOOKUP($C27,REV!$C:$AA,16,0)-'TRADE IN'!$F27=0,"",(VLOOKUP($C27,REV!$C:$AA,16,0)-'TRADE IN'!$F27))</f>
        <v>4299</v>
      </c>
      <c r="S27" s="46">
        <f>IF(VLOOKUP($C27,REV!$C:$AA,17,0)-'TRADE IN'!$F27=0,"",(VLOOKUP($C27,REV!$C:$AA,17,0)-'TRADE IN'!$F27))</f>
        <v>4199</v>
      </c>
      <c r="T27" s="46">
        <f>IF(VLOOKUP($C27,REV!$C:$AA,18,0)-'TRADE IN'!$F27=0,"",(VLOOKUP($C27,REV!$C:$AA,18,0)-'TRADE IN'!$F27))</f>
        <v>3399</v>
      </c>
      <c r="U27" s="46">
        <f>IF(VLOOKUP($C27,REV!$C:$AA,19,0)-'TRADE IN'!$F27=0,"",(VLOOKUP($C27,REV!$C:$AA,19,0)-'TRADE IN'!$F27))</f>
        <v>3399</v>
      </c>
      <c r="V27" s="46">
        <f>IF(VLOOKUP($C27,REV!$C:$AA,20,0)-'TRADE IN'!$F27=0,"",(VLOOKUP($C27,REV!$C:$AA,20,0)-'TRADE IN'!$F27))</f>
        <v>3399</v>
      </c>
      <c r="W27" s="46">
        <f>IF(VLOOKUP($C27,REV!$C:$AA,21,0)-'TRADE IN'!$F27=0,"",(VLOOKUP($C27,REV!$C:$AA,21,0)-'TRADE IN'!$F27))</f>
        <v>3399</v>
      </c>
      <c r="X27" s="46">
        <f>IF(VLOOKUP($C27,REV!$C:$AA,22,0)-'TRADE IN'!$F27=0,"",(VLOOKUP($C27,REV!$C:$AA,22,0)-'TRADE IN'!$F27))</f>
        <v>3299</v>
      </c>
      <c r="Y27" s="46">
        <f>IF(VLOOKUP($C27,REV!$C:$AA,23,0)-'TRADE IN'!$F27=0,"",(VLOOKUP($C27,REV!$C:$AA,23,0)-'TRADE IN'!$F27))</f>
        <v>2799</v>
      </c>
      <c r="Z27" s="46">
        <f>IF(VLOOKUP($C27,REV!$C:$AA,24,0)-'TRADE IN'!$F27=0,"",(VLOOKUP($C27,REV!$C:$AA,24,0)-'TRADE IN'!$F27))</f>
        <v>2799</v>
      </c>
      <c r="AA27" s="46">
        <f>IF(VLOOKUP($C27,REV!$C:$AA,25,0)-'TRADE IN'!$F27=0,"",(VLOOKUP($C27,REV!$C:$AA,25,0)-'TRADE IN'!$F27))</f>
        <v>2799</v>
      </c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  <c r="AM27" s="45"/>
      <c r="AN27" s="45"/>
      <c r="AO27" s="45"/>
      <c r="AP27" s="45"/>
      <c r="AQ27" s="45"/>
      <c r="AR27" s="45"/>
      <c r="AS27" s="45"/>
      <c r="AT27" s="45"/>
      <c r="AU27" s="45"/>
      <c r="AV27" s="47"/>
      <c r="AW27" s="48" t="str">
        <f>REV!AW27</f>
        <v>13.08.2026</v>
      </c>
      <c r="AX27" s="149" t="s">
        <v>68</v>
      </c>
    </row>
    <row r="28" spans="1:50" ht="22.5" customHeight="1">
      <c r="A28" s="41" t="s">
        <v>63</v>
      </c>
      <c r="B28" s="42" t="s">
        <v>64</v>
      </c>
      <c r="C28" s="43">
        <v>4015187</v>
      </c>
      <c r="D28" s="44" t="s">
        <v>87</v>
      </c>
      <c r="E28" s="44" t="s">
        <v>89</v>
      </c>
      <c r="F28" s="45">
        <v>100</v>
      </c>
      <c r="G28" s="45"/>
      <c r="H28" s="46"/>
      <c r="I28" s="46"/>
      <c r="J28" s="46">
        <f>IF(VLOOKUP($C28,REV!$C:$AA,8,0)-'TRADE IN'!$F28=0,"",(VLOOKUP($C28,REV!$C:$AA,8,0)-'TRADE IN'!$F28))</f>
        <v>4399</v>
      </c>
      <c r="K28" s="46">
        <f>IF(VLOOKUP($C28,REV!$C:$AA,9,0)-'TRADE IN'!$F28=0,"",(VLOOKUP($C28,REV!$C:$AA,9,0)-'TRADE IN'!$F28))</f>
        <v>4399</v>
      </c>
      <c r="L28" s="46">
        <f>IF(VLOOKUP($C28,REV!$C:$AA,10,0)-'TRADE IN'!$F28=0,"",(VLOOKUP($C28,REV!$C:$AA,10,0)-'TRADE IN'!$F28))</f>
        <v>4399</v>
      </c>
      <c r="M28" s="46">
        <f>IF(VLOOKUP($C28,REV!$C:$AA,11,0)-'TRADE IN'!$F28=0,"",(VLOOKUP($C28,REV!$C:$AA,11,0)-'TRADE IN'!$F28))</f>
        <v>4399</v>
      </c>
      <c r="N28" s="46">
        <f>IF(VLOOKUP($C28,REV!$C:$AA,12,0)-'TRADE IN'!$F28=0,"",(VLOOKUP($C28,REV!$C:$AA,12,0)-'TRADE IN'!$F28))</f>
        <v>4399</v>
      </c>
      <c r="O28" s="46">
        <f>IF(VLOOKUP($C28,REV!$C:$AA,13,0)-'TRADE IN'!$F28=0,"",(VLOOKUP($C28,REV!$C:$AA,13,0)-'TRADE IN'!$F28))</f>
        <v>4299</v>
      </c>
      <c r="P28" s="46">
        <f>IF(VLOOKUP($C28,REV!$C:$AA,14,0)-'TRADE IN'!$F28=0,"",(VLOOKUP($C28,REV!$C:$AA,14,0)-'TRADE IN'!$F28))</f>
        <v>4199</v>
      </c>
      <c r="Q28" s="46">
        <f>IF(VLOOKUP($C28,REV!$C:$AA,15,0)-'TRADE IN'!$F28=0,"",(VLOOKUP($C28,REV!$C:$AA,15,0)-'TRADE IN'!$F28))</f>
        <v>3399</v>
      </c>
      <c r="R28" s="46">
        <f>IF(VLOOKUP($C28,REV!$C:$AA,16,0)-'TRADE IN'!$F28=0,"",(VLOOKUP($C28,REV!$C:$AA,16,0)-'TRADE IN'!$F28))</f>
        <v>4299</v>
      </c>
      <c r="S28" s="46">
        <f>IF(VLOOKUP($C28,REV!$C:$AA,17,0)-'TRADE IN'!$F28=0,"",(VLOOKUP($C28,REV!$C:$AA,17,0)-'TRADE IN'!$F28))</f>
        <v>4199</v>
      </c>
      <c r="T28" s="46">
        <f>IF(VLOOKUP($C28,REV!$C:$AA,18,0)-'TRADE IN'!$F28=0,"",(VLOOKUP($C28,REV!$C:$AA,18,0)-'TRADE IN'!$F28))</f>
        <v>3399</v>
      </c>
      <c r="U28" s="46">
        <f>IF(VLOOKUP($C28,REV!$C:$AA,19,0)-'TRADE IN'!$F28=0,"",(VLOOKUP($C28,REV!$C:$AA,19,0)-'TRADE IN'!$F28))</f>
        <v>3399</v>
      </c>
      <c r="V28" s="46">
        <f>IF(VLOOKUP($C28,REV!$C:$AA,20,0)-'TRADE IN'!$F28=0,"",(VLOOKUP($C28,REV!$C:$AA,20,0)-'TRADE IN'!$F28))</f>
        <v>3399</v>
      </c>
      <c r="W28" s="46">
        <f>IF(VLOOKUP($C28,REV!$C:$AA,21,0)-'TRADE IN'!$F28=0,"",(VLOOKUP($C28,REV!$C:$AA,21,0)-'TRADE IN'!$F28))</f>
        <v>3399</v>
      </c>
      <c r="X28" s="46">
        <f>IF(VLOOKUP($C28,REV!$C:$AA,22,0)-'TRADE IN'!$F28=0,"",(VLOOKUP($C28,REV!$C:$AA,22,0)-'TRADE IN'!$F28))</f>
        <v>3299</v>
      </c>
      <c r="Y28" s="46">
        <f>IF(VLOOKUP($C28,REV!$C:$AA,23,0)-'TRADE IN'!$F28=0,"",(VLOOKUP($C28,REV!$C:$AA,23,0)-'TRADE IN'!$F28))</f>
        <v>2799</v>
      </c>
      <c r="Z28" s="46">
        <f>IF(VLOOKUP($C28,REV!$C:$AA,24,0)-'TRADE IN'!$F28=0,"",(VLOOKUP($C28,REV!$C:$AA,24,0)-'TRADE IN'!$F28))</f>
        <v>2799</v>
      </c>
      <c r="AA28" s="46">
        <f>IF(VLOOKUP($C28,REV!$C:$AA,25,0)-'TRADE IN'!$F28=0,"",(VLOOKUP($C28,REV!$C:$AA,25,0)-'TRADE IN'!$F28))</f>
        <v>2799</v>
      </c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  <c r="AN28" s="45"/>
      <c r="AO28" s="45"/>
      <c r="AP28" s="45"/>
      <c r="AQ28" s="45"/>
      <c r="AR28" s="45"/>
      <c r="AS28" s="45"/>
      <c r="AT28" s="45"/>
      <c r="AU28" s="45"/>
      <c r="AV28" s="47"/>
      <c r="AW28" s="48" t="str">
        <f>REV!AW28</f>
        <v>13.08.2026</v>
      </c>
      <c r="AX28" s="149" t="s">
        <v>68</v>
      </c>
    </row>
    <row r="29" spans="1:50" ht="22.5" customHeight="1">
      <c r="A29" s="41" t="s">
        <v>63</v>
      </c>
      <c r="B29" s="42" t="s">
        <v>64</v>
      </c>
      <c r="C29" s="43">
        <v>4015711</v>
      </c>
      <c r="D29" s="44" t="s">
        <v>87</v>
      </c>
      <c r="E29" s="44" t="s">
        <v>90</v>
      </c>
      <c r="F29" s="45">
        <v>100</v>
      </c>
      <c r="G29" s="45"/>
      <c r="H29" s="46"/>
      <c r="I29" s="46"/>
      <c r="J29" s="46">
        <f>IF(VLOOKUP($C29,REV!$C:$AA,8,0)-'TRADE IN'!$F29=0,"",(VLOOKUP($C29,REV!$C:$AA,8,0)-'TRADE IN'!$F29))</f>
        <v>4399</v>
      </c>
      <c r="K29" s="46">
        <f>IF(VLOOKUP($C29,REV!$C:$AA,9,0)-'TRADE IN'!$F29=0,"",(VLOOKUP($C29,REV!$C:$AA,9,0)-'TRADE IN'!$F29))</f>
        <v>4399</v>
      </c>
      <c r="L29" s="46">
        <f>IF(VLOOKUP($C29,REV!$C:$AA,10,0)-'TRADE IN'!$F29=0,"",(VLOOKUP($C29,REV!$C:$AA,10,0)-'TRADE IN'!$F29))</f>
        <v>4399</v>
      </c>
      <c r="M29" s="46">
        <f>IF(VLOOKUP($C29,REV!$C:$AA,11,0)-'TRADE IN'!$F29=0,"",(VLOOKUP($C29,REV!$C:$AA,11,0)-'TRADE IN'!$F29))</f>
        <v>4399</v>
      </c>
      <c r="N29" s="46">
        <f>IF(VLOOKUP($C29,REV!$C:$AA,12,0)-'TRADE IN'!$F29=0,"",(VLOOKUP($C29,REV!$C:$AA,12,0)-'TRADE IN'!$F29))</f>
        <v>4399</v>
      </c>
      <c r="O29" s="46">
        <f>IF(VLOOKUP($C29,REV!$C:$AA,13,0)-'TRADE IN'!$F29=0,"",(VLOOKUP($C29,REV!$C:$AA,13,0)-'TRADE IN'!$F29))</f>
        <v>4299</v>
      </c>
      <c r="P29" s="46">
        <f>IF(VLOOKUP($C29,REV!$C:$AA,14,0)-'TRADE IN'!$F29=0,"",(VLOOKUP($C29,REV!$C:$AA,14,0)-'TRADE IN'!$F29))</f>
        <v>4199</v>
      </c>
      <c r="Q29" s="46">
        <f>IF(VLOOKUP($C29,REV!$C:$AA,15,0)-'TRADE IN'!$F29=0,"",(VLOOKUP($C29,REV!$C:$AA,15,0)-'TRADE IN'!$F29))</f>
        <v>3399</v>
      </c>
      <c r="R29" s="46">
        <f>IF(VLOOKUP($C29,REV!$C:$AA,16,0)-'TRADE IN'!$F29=0,"",(VLOOKUP($C29,REV!$C:$AA,16,0)-'TRADE IN'!$F29))</f>
        <v>4299</v>
      </c>
      <c r="S29" s="46">
        <f>IF(VLOOKUP($C29,REV!$C:$AA,17,0)-'TRADE IN'!$F29=0,"",(VLOOKUP($C29,REV!$C:$AA,17,0)-'TRADE IN'!$F29))</f>
        <v>4199</v>
      </c>
      <c r="T29" s="46">
        <f>IF(VLOOKUP($C29,REV!$C:$AA,18,0)-'TRADE IN'!$F29=0,"",(VLOOKUP($C29,REV!$C:$AA,18,0)-'TRADE IN'!$F29))</f>
        <v>3399</v>
      </c>
      <c r="U29" s="46">
        <f>IF(VLOOKUP($C29,REV!$C:$AA,19,0)-'TRADE IN'!$F29=0,"",(VLOOKUP($C29,REV!$C:$AA,19,0)-'TRADE IN'!$F29))</f>
        <v>3399</v>
      </c>
      <c r="V29" s="46">
        <f>IF(VLOOKUP($C29,REV!$C:$AA,20,0)-'TRADE IN'!$F29=0,"",(VLOOKUP($C29,REV!$C:$AA,20,0)-'TRADE IN'!$F29))</f>
        <v>3399</v>
      </c>
      <c r="W29" s="46">
        <f>IF(VLOOKUP($C29,REV!$C:$AA,21,0)-'TRADE IN'!$F29=0,"",(VLOOKUP($C29,REV!$C:$AA,21,0)-'TRADE IN'!$F29))</f>
        <v>3399</v>
      </c>
      <c r="X29" s="46">
        <f>IF(VLOOKUP($C29,REV!$C:$AA,22,0)-'TRADE IN'!$F29=0,"",(VLOOKUP($C29,REV!$C:$AA,22,0)-'TRADE IN'!$F29))</f>
        <v>3299</v>
      </c>
      <c r="Y29" s="46">
        <f>IF(VLOOKUP($C29,REV!$C:$AA,23,0)-'TRADE IN'!$F29=0,"",(VLOOKUP($C29,REV!$C:$AA,23,0)-'TRADE IN'!$F29))</f>
        <v>2799</v>
      </c>
      <c r="Z29" s="46">
        <f>IF(VLOOKUP($C29,REV!$C:$AA,24,0)-'TRADE IN'!$F29=0,"",(VLOOKUP($C29,REV!$C:$AA,24,0)-'TRADE IN'!$F29))</f>
        <v>2799</v>
      </c>
      <c r="AA29" s="46">
        <f>IF(VLOOKUP($C29,REV!$C:$AA,25,0)-'TRADE IN'!$F29=0,"",(VLOOKUP($C29,REV!$C:$AA,25,0)-'TRADE IN'!$F29))</f>
        <v>2799</v>
      </c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  <c r="AM29" s="45"/>
      <c r="AN29" s="45"/>
      <c r="AO29" s="45"/>
      <c r="AP29" s="45"/>
      <c r="AQ29" s="45"/>
      <c r="AR29" s="45"/>
      <c r="AS29" s="45"/>
      <c r="AT29" s="45"/>
      <c r="AU29" s="45"/>
      <c r="AV29" s="47"/>
      <c r="AW29" s="48" t="str">
        <f>REV!AW29</f>
        <v>13.08.2026</v>
      </c>
      <c r="AX29" s="149" t="s">
        <v>68</v>
      </c>
    </row>
    <row r="30" spans="1:50" ht="22.5" customHeight="1">
      <c r="A30" s="41" t="s">
        <v>63</v>
      </c>
      <c r="B30" s="42" t="s">
        <v>64</v>
      </c>
      <c r="C30" s="43">
        <v>4015162</v>
      </c>
      <c r="D30" s="44" t="s">
        <v>91</v>
      </c>
      <c r="E30" s="44" t="s">
        <v>92</v>
      </c>
      <c r="F30" s="45">
        <v>100</v>
      </c>
      <c r="G30" s="45"/>
      <c r="H30" s="46"/>
      <c r="I30" s="46"/>
      <c r="J30" s="46">
        <f>IF(VLOOKUP($C30,REV!$C:$AA,8,0)-'TRADE IN'!$F30=0,"",(VLOOKUP($C30,REV!$C:$AA,8,0)-'TRADE IN'!$F30))</f>
        <v>6299</v>
      </c>
      <c r="K30" s="46">
        <f>IF(VLOOKUP($C30,REV!$C:$AA,9,0)-'TRADE IN'!$F30=0,"",(VLOOKUP($C30,REV!$C:$AA,9,0)-'TRADE IN'!$F30))</f>
        <v>6299</v>
      </c>
      <c r="L30" s="46">
        <f>IF(VLOOKUP($C30,REV!$C:$AA,10,0)-'TRADE IN'!$F30=0,"",(VLOOKUP($C30,REV!$C:$AA,10,0)-'TRADE IN'!$F30))</f>
        <v>6299</v>
      </c>
      <c r="M30" s="46">
        <f>IF(VLOOKUP($C30,REV!$C:$AA,11,0)-'TRADE IN'!$F30=0,"",(VLOOKUP($C30,REV!$C:$AA,11,0)-'TRADE IN'!$F30))</f>
        <v>6299</v>
      </c>
      <c r="N30" s="46">
        <f>IF(VLOOKUP($C30,REV!$C:$AA,12,0)-'TRADE IN'!$F30=0,"",(VLOOKUP($C30,REV!$C:$AA,12,0)-'TRADE IN'!$F30))</f>
        <v>6299</v>
      </c>
      <c r="O30" s="46">
        <f>IF(VLOOKUP($C30,REV!$C:$AA,13,0)-'TRADE IN'!$F30=0,"",(VLOOKUP($C30,REV!$C:$AA,13,0)-'TRADE IN'!$F30))</f>
        <v>6199</v>
      </c>
      <c r="P30" s="46">
        <f>IF(VLOOKUP($C30,REV!$C:$AA,14,0)-'TRADE IN'!$F30=0,"",(VLOOKUP($C30,REV!$C:$AA,14,0)-'TRADE IN'!$F30))</f>
        <v>6099</v>
      </c>
      <c r="Q30" s="46">
        <f>IF(VLOOKUP($C30,REV!$C:$AA,15,0)-'TRADE IN'!$F30=0,"",(VLOOKUP($C30,REV!$C:$AA,15,0)-'TRADE IN'!$F30))</f>
        <v>5899</v>
      </c>
      <c r="R30" s="46">
        <f>IF(VLOOKUP($C30,REV!$C:$AA,16,0)-'TRADE IN'!$F30=0,"",(VLOOKUP($C30,REV!$C:$AA,16,0)-'TRADE IN'!$F30))</f>
        <v>6199</v>
      </c>
      <c r="S30" s="46">
        <f>IF(VLOOKUP($C30,REV!$C:$AA,17,0)-'TRADE IN'!$F30=0,"",(VLOOKUP($C30,REV!$C:$AA,17,0)-'TRADE IN'!$F30))</f>
        <v>6099</v>
      </c>
      <c r="T30" s="46">
        <f>IF(VLOOKUP($C30,REV!$C:$AA,18,0)-'TRADE IN'!$F30=0,"",(VLOOKUP($C30,REV!$C:$AA,18,0)-'TRADE IN'!$F30))</f>
        <v>5899</v>
      </c>
      <c r="U30" s="46">
        <f>IF(VLOOKUP($C30,REV!$C:$AA,19,0)-'TRADE IN'!$F30=0,"",(VLOOKUP($C30,REV!$C:$AA,19,0)-'TRADE IN'!$F30))</f>
        <v>5899</v>
      </c>
      <c r="V30" s="46">
        <f>IF(VLOOKUP($C30,REV!$C:$AA,20,0)-'TRADE IN'!$F30=0,"",(VLOOKUP($C30,REV!$C:$AA,20,0)-'TRADE IN'!$F30))</f>
        <v>5899</v>
      </c>
      <c r="W30" s="46">
        <f>IF(VLOOKUP($C30,REV!$C:$AA,21,0)-'TRADE IN'!$F30=0,"",(VLOOKUP($C30,REV!$C:$AA,21,0)-'TRADE IN'!$F30))</f>
        <v>5899</v>
      </c>
      <c r="X30" s="46">
        <f>IF(VLOOKUP($C30,REV!$C:$AA,22,0)-'TRADE IN'!$F30=0,"",(VLOOKUP($C30,REV!$C:$AA,22,0)-'TRADE IN'!$F30))</f>
        <v>5799</v>
      </c>
      <c r="Y30" s="46">
        <f>IF(VLOOKUP($C30,REV!$C:$AA,23,0)-'TRADE IN'!$F30=0,"",(VLOOKUP($C30,REV!$C:$AA,23,0)-'TRADE IN'!$F30))</f>
        <v>5399</v>
      </c>
      <c r="Z30" s="46">
        <f>IF(VLOOKUP($C30,REV!$C:$AA,24,0)-'TRADE IN'!$F30=0,"",(VLOOKUP($C30,REV!$C:$AA,24,0)-'TRADE IN'!$F30))</f>
        <v>5399</v>
      </c>
      <c r="AA30" s="46">
        <f>IF(VLOOKUP($C30,REV!$C:$AA,25,0)-'TRADE IN'!$F30=0,"",(VLOOKUP($C30,REV!$C:$AA,25,0)-'TRADE IN'!$F30))</f>
        <v>5399</v>
      </c>
      <c r="AB30" s="45"/>
      <c r="AC30" s="45"/>
      <c r="AD30" s="45"/>
      <c r="AE30" s="45"/>
      <c r="AF30" s="45"/>
      <c r="AG30" s="45"/>
      <c r="AH30" s="45"/>
      <c r="AI30" s="45"/>
      <c r="AJ30" s="45"/>
      <c r="AK30" s="45"/>
      <c r="AL30" s="45"/>
      <c r="AM30" s="45"/>
      <c r="AN30" s="45"/>
      <c r="AO30" s="45"/>
      <c r="AP30" s="45"/>
      <c r="AQ30" s="45"/>
      <c r="AR30" s="45"/>
      <c r="AS30" s="45"/>
      <c r="AT30" s="45"/>
      <c r="AU30" s="45"/>
      <c r="AV30" s="47"/>
      <c r="AW30" s="48" t="str">
        <f>REV!AW30</f>
        <v>13.08.2026</v>
      </c>
      <c r="AX30" s="149" t="s">
        <v>68</v>
      </c>
    </row>
    <row r="31" spans="1:50" ht="22.5" customHeight="1">
      <c r="A31" s="41" t="s">
        <v>63</v>
      </c>
      <c r="B31" s="42" t="s">
        <v>64</v>
      </c>
      <c r="C31" s="43">
        <v>4015112</v>
      </c>
      <c r="D31" s="44" t="s">
        <v>93</v>
      </c>
      <c r="E31" s="44" t="s">
        <v>94</v>
      </c>
      <c r="F31" s="45">
        <v>100</v>
      </c>
      <c r="G31" s="45"/>
      <c r="H31" s="46"/>
      <c r="I31" s="46"/>
      <c r="J31" s="46">
        <f>IF(VLOOKUP($C31,REV!$C:$AA,8,0)-'TRADE IN'!$F31=0,"",(VLOOKUP($C31,REV!$C:$AA,8,0)-'TRADE IN'!$F31))</f>
        <v>5799</v>
      </c>
      <c r="K31" s="46">
        <f>IF(VLOOKUP($C31,REV!$C:$AA,9,0)-'TRADE IN'!$F31=0,"",(VLOOKUP($C31,REV!$C:$AA,9,0)-'TRADE IN'!$F31))</f>
        <v>5799</v>
      </c>
      <c r="L31" s="46">
        <f>IF(VLOOKUP($C31,REV!$C:$AA,10,0)-'TRADE IN'!$F31=0,"",(VLOOKUP($C31,REV!$C:$AA,10,0)-'TRADE IN'!$F31))</f>
        <v>5799</v>
      </c>
      <c r="M31" s="46">
        <f>IF(VLOOKUP($C31,REV!$C:$AA,11,0)-'TRADE IN'!$F31=0,"",(VLOOKUP($C31,REV!$C:$AA,11,0)-'TRADE IN'!$F31))</f>
        <v>5799</v>
      </c>
      <c r="N31" s="46">
        <f>IF(VLOOKUP($C31,REV!$C:$AA,12,0)-'TRADE IN'!$F31=0,"",(VLOOKUP($C31,REV!$C:$AA,12,0)-'TRADE IN'!$F31))</f>
        <v>5799</v>
      </c>
      <c r="O31" s="46">
        <f>IF(VLOOKUP($C31,REV!$C:$AA,13,0)-'TRADE IN'!$F31=0,"",(VLOOKUP($C31,REV!$C:$AA,13,0)-'TRADE IN'!$F31))</f>
        <v>5699</v>
      </c>
      <c r="P31" s="46">
        <f>IF(VLOOKUP($C31,REV!$C:$AA,14,0)-'TRADE IN'!$F31=0,"",(VLOOKUP($C31,REV!$C:$AA,14,0)-'TRADE IN'!$F31))</f>
        <v>5599</v>
      </c>
      <c r="Q31" s="46">
        <f>IF(VLOOKUP($C31,REV!$C:$AA,15,0)-'TRADE IN'!$F31=0,"",(VLOOKUP($C31,REV!$C:$AA,15,0)-'TRADE IN'!$F31))</f>
        <v>5399</v>
      </c>
      <c r="R31" s="46">
        <f>IF(VLOOKUP($C31,REV!$C:$AA,16,0)-'TRADE IN'!$F31=0,"",(VLOOKUP($C31,REV!$C:$AA,16,0)-'TRADE IN'!$F31))</f>
        <v>5699</v>
      </c>
      <c r="S31" s="46">
        <f>IF(VLOOKUP($C31,REV!$C:$AA,17,0)-'TRADE IN'!$F31=0,"",(VLOOKUP($C31,REV!$C:$AA,17,0)-'TRADE IN'!$F31))</f>
        <v>5599</v>
      </c>
      <c r="T31" s="46">
        <f>IF(VLOOKUP($C31,REV!$C:$AA,18,0)-'TRADE IN'!$F31=0,"",(VLOOKUP($C31,REV!$C:$AA,18,0)-'TRADE IN'!$F31))</f>
        <v>5399</v>
      </c>
      <c r="U31" s="46">
        <f>IF(VLOOKUP($C31,REV!$C:$AA,19,0)-'TRADE IN'!$F31=0,"",(VLOOKUP($C31,REV!$C:$AA,19,0)-'TRADE IN'!$F31))</f>
        <v>5399</v>
      </c>
      <c r="V31" s="46">
        <f>IF(VLOOKUP($C31,REV!$C:$AA,20,0)-'TRADE IN'!$F31=0,"",(VLOOKUP($C31,REV!$C:$AA,20,0)-'TRADE IN'!$F31))</f>
        <v>5399</v>
      </c>
      <c r="W31" s="46">
        <f>IF(VLOOKUP($C31,REV!$C:$AA,21,0)-'TRADE IN'!$F31=0,"",(VLOOKUP($C31,REV!$C:$AA,21,0)-'TRADE IN'!$F31))</f>
        <v>5399</v>
      </c>
      <c r="X31" s="46">
        <f>IF(VLOOKUP($C31,REV!$C:$AA,22,0)-'TRADE IN'!$F31=0,"",(VLOOKUP($C31,REV!$C:$AA,22,0)-'TRADE IN'!$F31))</f>
        <v>5299</v>
      </c>
      <c r="Y31" s="46">
        <f>IF(VLOOKUP($C31,REV!$C:$AA,23,0)-'TRADE IN'!$F31=0,"",(VLOOKUP($C31,REV!$C:$AA,23,0)-'TRADE IN'!$F31))</f>
        <v>4899</v>
      </c>
      <c r="Z31" s="46">
        <f>IF(VLOOKUP($C31,REV!$C:$AA,24,0)-'TRADE IN'!$F31=0,"",(VLOOKUP($C31,REV!$C:$AA,24,0)-'TRADE IN'!$F31))</f>
        <v>4899</v>
      </c>
      <c r="AA31" s="46">
        <f>IF(VLOOKUP($C31,REV!$C:$AA,25,0)-'TRADE IN'!$F31=0,"",(VLOOKUP($C31,REV!$C:$AA,25,0)-'TRADE IN'!$F31))</f>
        <v>4899</v>
      </c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  <c r="AM31" s="45"/>
      <c r="AN31" s="45"/>
      <c r="AO31" s="45"/>
      <c r="AP31" s="45"/>
      <c r="AQ31" s="45"/>
      <c r="AR31" s="45"/>
      <c r="AS31" s="45"/>
      <c r="AT31" s="45"/>
      <c r="AU31" s="45"/>
      <c r="AV31" s="47"/>
      <c r="AW31" s="48" t="str">
        <f>REV!AW31</f>
        <v>13.08.2026</v>
      </c>
      <c r="AX31" s="149" t="s">
        <v>68</v>
      </c>
    </row>
    <row r="32" spans="1:50" ht="22.5" customHeight="1">
      <c r="A32" s="41" t="s">
        <v>63</v>
      </c>
      <c r="B32" s="42" t="s">
        <v>64</v>
      </c>
      <c r="C32" s="43">
        <v>4015116</v>
      </c>
      <c r="D32" s="44" t="s">
        <v>93</v>
      </c>
      <c r="E32" s="44" t="s">
        <v>95</v>
      </c>
      <c r="F32" s="45">
        <v>100</v>
      </c>
      <c r="G32" s="45"/>
      <c r="H32" s="46"/>
      <c r="I32" s="46"/>
      <c r="J32" s="46">
        <f>IF(VLOOKUP($C32,REV!$C:$AA,8,0)-'TRADE IN'!$F32=0,"",(VLOOKUP($C32,REV!$C:$AA,8,0)-'TRADE IN'!$F32))</f>
        <v>5799</v>
      </c>
      <c r="K32" s="46">
        <f>IF(VLOOKUP($C32,REV!$C:$AA,9,0)-'TRADE IN'!$F32=0,"",(VLOOKUP($C32,REV!$C:$AA,9,0)-'TRADE IN'!$F32))</f>
        <v>5799</v>
      </c>
      <c r="L32" s="46">
        <f>IF(VLOOKUP($C32,REV!$C:$AA,10,0)-'TRADE IN'!$F32=0,"",(VLOOKUP($C32,REV!$C:$AA,10,0)-'TRADE IN'!$F32))</f>
        <v>5799</v>
      </c>
      <c r="M32" s="46">
        <f>IF(VLOOKUP($C32,REV!$C:$AA,11,0)-'TRADE IN'!$F32=0,"",(VLOOKUP($C32,REV!$C:$AA,11,0)-'TRADE IN'!$F32))</f>
        <v>5799</v>
      </c>
      <c r="N32" s="46">
        <f>IF(VLOOKUP($C32,REV!$C:$AA,12,0)-'TRADE IN'!$F32=0,"",(VLOOKUP($C32,REV!$C:$AA,12,0)-'TRADE IN'!$F32))</f>
        <v>5799</v>
      </c>
      <c r="O32" s="46">
        <f>IF(VLOOKUP($C32,REV!$C:$AA,13,0)-'TRADE IN'!$F32=0,"",(VLOOKUP($C32,REV!$C:$AA,13,0)-'TRADE IN'!$F32))</f>
        <v>5699</v>
      </c>
      <c r="P32" s="46">
        <f>IF(VLOOKUP($C32,REV!$C:$AA,14,0)-'TRADE IN'!$F32=0,"",(VLOOKUP($C32,REV!$C:$AA,14,0)-'TRADE IN'!$F32))</f>
        <v>5599</v>
      </c>
      <c r="Q32" s="46">
        <f>IF(VLOOKUP($C32,REV!$C:$AA,15,0)-'TRADE IN'!$F32=0,"",(VLOOKUP($C32,REV!$C:$AA,15,0)-'TRADE IN'!$F32))</f>
        <v>5399</v>
      </c>
      <c r="R32" s="46">
        <f>IF(VLOOKUP($C32,REV!$C:$AA,16,0)-'TRADE IN'!$F32=0,"",(VLOOKUP($C32,REV!$C:$AA,16,0)-'TRADE IN'!$F32))</f>
        <v>5699</v>
      </c>
      <c r="S32" s="46">
        <f>IF(VLOOKUP($C32,REV!$C:$AA,17,0)-'TRADE IN'!$F32=0,"",(VLOOKUP($C32,REV!$C:$AA,17,0)-'TRADE IN'!$F32))</f>
        <v>5599</v>
      </c>
      <c r="T32" s="46">
        <f>IF(VLOOKUP($C32,REV!$C:$AA,18,0)-'TRADE IN'!$F32=0,"",(VLOOKUP($C32,REV!$C:$AA,18,0)-'TRADE IN'!$F32))</f>
        <v>5399</v>
      </c>
      <c r="U32" s="46">
        <f>IF(VLOOKUP($C32,REV!$C:$AA,19,0)-'TRADE IN'!$F32=0,"",(VLOOKUP($C32,REV!$C:$AA,19,0)-'TRADE IN'!$F32))</f>
        <v>5399</v>
      </c>
      <c r="V32" s="46">
        <f>IF(VLOOKUP($C32,REV!$C:$AA,20,0)-'TRADE IN'!$F32=0,"",(VLOOKUP($C32,REV!$C:$AA,20,0)-'TRADE IN'!$F32))</f>
        <v>5399</v>
      </c>
      <c r="W32" s="46">
        <f>IF(VLOOKUP($C32,REV!$C:$AA,21,0)-'TRADE IN'!$F32=0,"",(VLOOKUP($C32,REV!$C:$AA,21,0)-'TRADE IN'!$F32))</f>
        <v>5399</v>
      </c>
      <c r="X32" s="46">
        <f>IF(VLOOKUP($C32,REV!$C:$AA,22,0)-'TRADE IN'!$F32=0,"",(VLOOKUP($C32,REV!$C:$AA,22,0)-'TRADE IN'!$F32))</f>
        <v>5299</v>
      </c>
      <c r="Y32" s="46">
        <f>IF(VLOOKUP($C32,REV!$C:$AA,23,0)-'TRADE IN'!$F32=0,"",(VLOOKUP($C32,REV!$C:$AA,23,0)-'TRADE IN'!$F32))</f>
        <v>4899</v>
      </c>
      <c r="Z32" s="46">
        <f>IF(VLOOKUP($C32,REV!$C:$AA,24,0)-'TRADE IN'!$F32=0,"",(VLOOKUP($C32,REV!$C:$AA,24,0)-'TRADE IN'!$F32))</f>
        <v>4899</v>
      </c>
      <c r="AA32" s="46">
        <f>IF(VLOOKUP($C32,REV!$C:$AA,25,0)-'TRADE IN'!$F32=0,"",(VLOOKUP($C32,REV!$C:$AA,25,0)-'TRADE IN'!$F32))</f>
        <v>4899</v>
      </c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  <c r="AN32" s="45"/>
      <c r="AO32" s="45"/>
      <c r="AP32" s="45"/>
      <c r="AQ32" s="45"/>
      <c r="AR32" s="45"/>
      <c r="AS32" s="45"/>
      <c r="AT32" s="45"/>
      <c r="AU32" s="45"/>
      <c r="AV32" s="47"/>
      <c r="AW32" s="48" t="str">
        <f>REV!AW32</f>
        <v>13.08.2026</v>
      </c>
      <c r="AX32" s="149" t="s">
        <v>68</v>
      </c>
    </row>
    <row r="33" spans="1:50" ht="22.5" customHeight="1">
      <c r="A33" s="41" t="s">
        <v>63</v>
      </c>
      <c r="B33" s="42" t="s">
        <v>64</v>
      </c>
      <c r="C33" s="43">
        <v>4015742</v>
      </c>
      <c r="D33" s="44" t="s">
        <v>96</v>
      </c>
      <c r="E33" s="44" t="s">
        <v>97</v>
      </c>
      <c r="F33" s="45">
        <v>100</v>
      </c>
      <c r="G33" s="45"/>
      <c r="H33" s="46"/>
      <c r="I33" s="46"/>
      <c r="J33" s="46">
        <f>IF(VLOOKUP($C33,REV!$C:$AA,8,0)-'TRADE IN'!$F33=0,"",(VLOOKUP($C33,REV!$C:$AA,8,0)-'TRADE IN'!$F33))</f>
        <v>4899</v>
      </c>
      <c r="K33" s="46">
        <f>IF(VLOOKUP($C33,REV!$C:$AA,9,0)-'TRADE IN'!$F33=0,"",(VLOOKUP($C33,REV!$C:$AA,9,0)-'TRADE IN'!$F33))</f>
        <v>4799</v>
      </c>
      <c r="L33" s="46">
        <f>IF(VLOOKUP($C33,REV!$C:$AA,10,0)-'TRADE IN'!$F33=0,"",(VLOOKUP($C33,REV!$C:$AA,10,0)-'TRADE IN'!$F33))</f>
        <v>4799</v>
      </c>
      <c r="M33" s="46">
        <f>IF(VLOOKUP($C33,REV!$C:$AA,11,0)-'TRADE IN'!$F33=0,"",(VLOOKUP($C33,REV!$C:$AA,11,0)-'TRADE IN'!$F33))</f>
        <v>4899</v>
      </c>
      <c r="N33" s="46">
        <f>IF(VLOOKUP($C33,REV!$C:$AA,12,0)-'TRADE IN'!$F33=0,"",(VLOOKUP($C33,REV!$C:$AA,12,0)-'TRADE IN'!$F33))</f>
        <v>4799</v>
      </c>
      <c r="O33" s="46">
        <f>IF(VLOOKUP($C33,REV!$C:$AA,13,0)-'TRADE IN'!$F33=0,"",(VLOOKUP($C33,REV!$C:$AA,13,0)-'TRADE IN'!$F33))</f>
        <v>4699</v>
      </c>
      <c r="P33" s="46">
        <f>IF(VLOOKUP($C33,REV!$C:$AA,14,0)-'TRADE IN'!$F33=0,"",(VLOOKUP($C33,REV!$C:$AA,14,0)-'TRADE IN'!$F33))</f>
        <v>4599</v>
      </c>
      <c r="Q33" s="46">
        <f>IF(VLOOKUP($C33,REV!$C:$AA,15,0)-'TRADE IN'!$F33=0,"",(VLOOKUP($C33,REV!$C:$AA,15,0)-'TRADE IN'!$F33))</f>
        <v>4399</v>
      </c>
      <c r="R33" s="46">
        <f>IF(VLOOKUP($C33,REV!$C:$AA,16,0)-'TRADE IN'!$F33=0,"",(VLOOKUP($C33,REV!$C:$AA,16,0)-'TRADE IN'!$F33))</f>
        <v>4699</v>
      </c>
      <c r="S33" s="46">
        <f>IF(VLOOKUP($C33,REV!$C:$AA,17,0)-'TRADE IN'!$F33=0,"",(VLOOKUP($C33,REV!$C:$AA,17,0)-'TRADE IN'!$F33))</f>
        <v>4599</v>
      </c>
      <c r="T33" s="46">
        <f>IF(VLOOKUP($C33,REV!$C:$AA,18,0)-'TRADE IN'!$F33=0,"",(VLOOKUP($C33,REV!$C:$AA,18,0)-'TRADE IN'!$F33))</f>
        <v>4399</v>
      </c>
      <c r="U33" s="46">
        <f>IF(VLOOKUP($C33,REV!$C:$AA,19,0)-'TRADE IN'!$F33=0,"",(VLOOKUP($C33,REV!$C:$AA,19,0)-'TRADE IN'!$F33))</f>
        <v>4299</v>
      </c>
      <c r="V33" s="46">
        <f>IF(VLOOKUP($C33,REV!$C:$AA,20,0)-'TRADE IN'!$F33=0,"",(VLOOKUP($C33,REV!$C:$AA,20,0)-'TRADE IN'!$F33))</f>
        <v>4299</v>
      </c>
      <c r="W33" s="46">
        <f>IF(VLOOKUP($C33,REV!$C:$AA,21,0)-'TRADE IN'!$F33=0,"",(VLOOKUP($C33,REV!$C:$AA,21,0)-'TRADE IN'!$F33))</f>
        <v>4199</v>
      </c>
      <c r="X33" s="46">
        <f>IF(VLOOKUP($C33,REV!$C:$AA,22,0)-'TRADE IN'!$F33=0,"",(VLOOKUP($C33,REV!$C:$AA,22,0)-'TRADE IN'!$F33))</f>
        <v>4099</v>
      </c>
      <c r="Y33" s="46">
        <f>IF(VLOOKUP($C33,REV!$C:$AA,23,0)-'TRADE IN'!$F33=0,"",(VLOOKUP($C33,REV!$C:$AA,23,0)-'TRADE IN'!$F33))</f>
        <v>3399</v>
      </c>
      <c r="Z33" s="46">
        <f>IF(VLOOKUP($C33,REV!$C:$AA,24,0)-'TRADE IN'!$F33=0,"",(VLOOKUP($C33,REV!$C:$AA,24,0)-'TRADE IN'!$F33))</f>
        <v>3399</v>
      </c>
      <c r="AA33" s="46">
        <f>IF(VLOOKUP($C33,REV!$C:$AA,25,0)-'TRADE IN'!$F33=0,"",(VLOOKUP($C33,REV!$C:$AA,25,0)-'TRADE IN'!$F33))</f>
        <v>3399</v>
      </c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  <c r="AM33" s="45"/>
      <c r="AN33" s="45"/>
      <c r="AO33" s="45"/>
      <c r="AP33" s="45"/>
      <c r="AQ33" s="45"/>
      <c r="AR33" s="45"/>
      <c r="AS33" s="45"/>
      <c r="AT33" s="45"/>
      <c r="AU33" s="45"/>
      <c r="AV33" s="47"/>
      <c r="AW33" s="48" t="str">
        <f>REV!AW33</f>
        <v>13.08.2026</v>
      </c>
      <c r="AX33" s="149" t="s">
        <v>68</v>
      </c>
    </row>
    <row r="34" spans="1:50" ht="22.5" customHeight="1">
      <c r="A34" s="41" t="s">
        <v>63</v>
      </c>
      <c r="B34" s="42" t="s">
        <v>64</v>
      </c>
      <c r="C34" s="43">
        <v>4015725</v>
      </c>
      <c r="D34" s="44" t="s">
        <v>96</v>
      </c>
      <c r="E34" s="44" t="s">
        <v>98</v>
      </c>
      <c r="F34" s="45">
        <v>100</v>
      </c>
      <c r="G34" s="45"/>
      <c r="H34" s="46"/>
      <c r="I34" s="46"/>
      <c r="J34" s="46">
        <f>IF(VLOOKUP($C34,REV!$C:$AA,8,0)-'TRADE IN'!$F34=0,"",(VLOOKUP($C34,REV!$C:$AA,8,0)-'TRADE IN'!$F34))</f>
        <v>4899</v>
      </c>
      <c r="K34" s="46">
        <f>IF(VLOOKUP($C34,REV!$C:$AA,9,0)-'TRADE IN'!$F34=0,"",(VLOOKUP($C34,REV!$C:$AA,9,0)-'TRADE IN'!$F34))</f>
        <v>4799</v>
      </c>
      <c r="L34" s="46">
        <f>IF(VLOOKUP($C34,REV!$C:$AA,10,0)-'TRADE IN'!$F34=0,"",(VLOOKUP($C34,REV!$C:$AA,10,0)-'TRADE IN'!$F34))</f>
        <v>4799</v>
      </c>
      <c r="M34" s="46">
        <f>IF(VLOOKUP($C34,REV!$C:$AA,11,0)-'TRADE IN'!$F34=0,"",(VLOOKUP($C34,REV!$C:$AA,11,0)-'TRADE IN'!$F34))</f>
        <v>4899</v>
      </c>
      <c r="N34" s="46">
        <f>IF(VLOOKUP($C34,REV!$C:$AA,12,0)-'TRADE IN'!$F34=0,"",(VLOOKUP($C34,REV!$C:$AA,12,0)-'TRADE IN'!$F34))</f>
        <v>4799</v>
      </c>
      <c r="O34" s="46">
        <f>IF(VLOOKUP($C34,REV!$C:$AA,13,0)-'TRADE IN'!$F34=0,"",(VLOOKUP($C34,REV!$C:$AA,13,0)-'TRADE IN'!$F34))</f>
        <v>4699</v>
      </c>
      <c r="P34" s="46">
        <f>IF(VLOOKUP($C34,REV!$C:$AA,14,0)-'TRADE IN'!$F34=0,"",(VLOOKUP($C34,REV!$C:$AA,14,0)-'TRADE IN'!$F34))</f>
        <v>4599</v>
      </c>
      <c r="Q34" s="46">
        <f>IF(VLOOKUP($C34,REV!$C:$AA,15,0)-'TRADE IN'!$F34=0,"",(VLOOKUP($C34,REV!$C:$AA,15,0)-'TRADE IN'!$F34))</f>
        <v>4399</v>
      </c>
      <c r="R34" s="46">
        <f>IF(VLOOKUP($C34,REV!$C:$AA,16,0)-'TRADE IN'!$F34=0,"",(VLOOKUP($C34,REV!$C:$AA,16,0)-'TRADE IN'!$F34))</f>
        <v>4699</v>
      </c>
      <c r="S34" s="46">
        <f>IF(VLOOKUP($C34,REV!$C:$AA,17,0)-'TRADE IN'!$F34=0,"",(VLOOKUP($C34,REV!$C:$AA,17,0)-'TRADE IN'!$F34))</f>
        <v>4599</v>
      </c>
      <c r="T34" s="46">
        <f>IF(VLOOKUP($C34,REV!$C:$AA,18,0)-'TRADE IN'!$F34=0,"",(VLOOKUP($C34,REV!$C:$AA,18,0)-'TRADE IN'!$F34))</f>
        <v>4399</v>
      </c>
      <c r="U34" s="46">
        <f>IF(VLOOKUP($C34,REV!$C:$AA,19,0)-'TRADE IN'!$F34=0,"",(VLOOKUP($C34,REV!$C:$AA,19,0)-'TRADE IN'!$F34))</f>
        <v>4299</v>
      </c>
      <c r="V34" s="46">
        <f>IF(VLOOKUP($C34,REV!$C:$AA,20,0)-'TRADE IN'!$F34=0,"",(VLOOKUP($C34,REV!$C:$AA,20,0)-'TRADE IN'!$F34))</f>
        <v>4299</v>
      </c>
      <c r="W34" s="46">
        <f>IF(VLOOKUP($C34,REV!$C:$AA,21,0)-'TRADE IN'!$F34=0,"",(VLOOKUP($C34,REV!$C:$AA,21,0)-'TRADE IN'!$F34))</f>
        <v>4199</v>
      </c>
      <c r="X34" s="46">
        <f>IF(VLOOKUP($C34,REV!$C:$AA,22,0)-'TRADE IN'!$F34=0,"",(VLOOKUP($C34,REV!$C:$AA,22,0)-'TRADE IN'!$F34))</f>
        <v>4099</v>
      </c>
      <c r="Y34" s="46">
        <f>IF(VLOOKUP($C34,REV!$C:$AA,23,0)-'TRADE IN'!$F34=0,"",(VLOOKUP($C34,REV!$C:$AA,23,0)-'TRADE IN'!$F34))</f>
        <v>3399</v>
      </c>
      <c r="Z34" s="46">
        <f>IF(VLOOKUP($C34,REV!$C:$AA,24,0)-'TRADE IN'!$F34=0,"",(VLOOKUP($C34,REV!$C:$AA,24,0)-'TRADE IN'!$F34))</f>
        <v>3399</v>
      </c>
      <c r="AA34" s="46">
        <f>IF(VLOOKUP($C34,REV!$C:$AA,25,0)-'TRADE IN'!$F34=0,"",(VLOOKUP($C34,REV!$C:$AA,25,0)-'TRADE IN'!$F34))</f>
        <v>3399</v>
      </c>
      <c r="AB34" s="45"/>
      <c r="AC34" s="45"/>
      <c r="AD34" s="45"/>
      <c r="AE34" s="45"/>
      <c r="AF34" s="45"/>
      <c r="AG34" s="45"/>
      <c r="AH34" s="45"/>
      <c r="AI34" s="45"/>
      <c r="AJ34" s="45"/>
      <c r="AK34" s="45"/>
      <c r="AL34" s="45"/>
      <c r="AM34" s="45"/>
      <c r="AN34" s="45"/>
      <c r="AO34" s="45"/>
      <c r="AP34" s="45"/>
      <c r="AQ34" s="45"/>
      <c r="AR34" s="45"/>
      <c r="AS34" s="45"/>
      <c r="AT34" s="45"/>
      <c r="AU34" s="45"/>
      <c r="AV34" s="47"/>
      <c r="AW34" s="48" t="str">
        <f>REV!AW34</f>
        <v>13.08.2026</v>
      </c>
      <c r="AX34" s="149" t="s">
        <v>68</v>
      </c>
    </row>
    <row r="35" spans="1:50" ht="22.5" customHeight="1">
      <c r="A35" s="41" t="s">
        <v>63</v>
      </c>
      <c r="B35" s="42" t="s">
        <v>64</v>
      </c>
      <c r="C35" s="43">
        <v>4015794</v>
      </c>
      <c r="D35" s="44" t="s">
        <v>96</v>
      </c>
      <c r="E35" s="44" t="s">
        <v>99</v>
      </c>
      <c r="F35" s="45">
        <v>100</v>
      </c>
      <c r="G35" s="45"/>
      <c r="H35" s="46"/>
      <c r="I35" s="46"/>
      <c r="J35" s="46">
        <f>IF(VLOOKUP($C35,REV!$C:$AA,8,0)-'TRADE IN'!$F35=0,"",(VLOOKUP($C35,REV!$C:$AA,8,0)-'TRADE IN'!$F35))</f>
        <v>4899</v>
      </c>
      <c r="K35" s="46">
        <f>IF(VLOOKUP($C35,REV!$C:$AA,9,0)-'TRADE IN'!$F35=0,"",(VLOOKUP($C35,REV!$C:$AA,9,0)-'TRADE IN'!$F35))</f>
        <v>4799</v>
      </c>
      <c r="L35" s="46">
        <f>IF(VLOOKUP($C35,REV!$C:$AA,10,0)-'TRADE IN'!$F35=0,"",(VLOOKUP($C35,REV!$C:$AA,10,0)-'TRADE IN'!$F35))</f>
        <v>4799</v>
      </c>
      <c r="M35" s="46">
        <f>IF(VLOOKUP($C35,REV!$C:$AA,11,0)-'TRADE IN'!$F35=0,"",(VLOOKUP($C35,REV!$C:$AA,11,0)-'TRADE IN'!$F35))</f>
        <v>4899</v>
      </c>
      <c r="N35" s="46">
        <f>IF(VLOOKUP($C35,REV!$C:$AA,12,0)-'TRADE IN'!$F35=0,"",(VLOOKUP($C35,REV!$C:$AA,12,0)-'TRADE IN'!$F35))</f>
        <v>4799</v>
      </c>
      <c r="O35" s="46">
        <f>IF(VLOOKUP($C35,REV!$C:$AA,13,0)-'TRADE IN'!$F35=0,"",(VLOOKUP($C35,REV!$C:$AA,13,0)-'TRADE IN'!$F35))</f>
        <v>4699</v>
      </c>
      <c r="P35" s="46">
        <f>IF(VLOOKUP($C35,REV!$C:$AA,14,0)-'TRADE IN'!$F35=0,"",(VLOOKUP($C35,REV!$C:$AA,14,0)-'TRADE IN'!$F35))</f>
        <v>4599</v>
      </c>
      <c r="Q35" s="46">
        <f>IF(VLOOKUP($C35,REV!$C:$AA,15,0)-'TRADE IN'!$F35=0,"",(VLOOKUP($C35,REV!$C:$AA,15,0)-'TRADE IN'!$F35))</f>
        <v>4399</v>
      </c>
      <c r="R35" s="46">
        <f>IF(VLOOKUP($C35,REV!$C:$AA,16,0)-'TRADE IN'!$F35=0,"",(VLOOKUP($C35,REV!$C:$AA,16,0)-'TRADE IN'!$F35))</f>
        <v>4699</v>
      </c>
      <c r="S35" s="46">
        <f>IF(VLOOKUP($C35,REV!$C:$AA,17,0)-'TRADE IN'!$F35=0,"",(VLOOKUP($C35,REV!$C:$AA,17,0)-'TRADE IN'!$F35))</f>
        <v>4599</v>
      </c>
      <c r="T35" s="46">
        <f>IF(VLOOKUP($C35,REV!$C:$AA,18,0)-'TRADE IN'!$F35=0,"",(VLOOKUP($C35,REV!$C:$AA,18,0)-'TRADE IN'!$F35))</f>
        <v>4399</v>
      </c>
      <c r="U35" s="46">
        <f>IF(VLOOKUP($C35,REV!$C:$AA,19,0)-'TRADE IN'!$F35=0,"",(VLOOKUP($C35,REV!$C:$AA,19,0)-'TRADE IN'!$F35))</f>
        <v>4299</v>
      </c>
      <c r="V35" s="46">
        <f>IF(VLOOKUP($C35,REV!$C:$AA,20,0)-'TRADE IN'!$F35=0,"",(VLOOKUP($C35,REV!$C:$AA,20,0)-'TRADE IN'!$F35))</f>
        <v>4299</v>
      </c>
      <c r="W35" s="46">
        <f>IF(VLOOKUP($C35,REV!$C:$AA,21,0)-'TRADE IN'!$F35=0,"",(VLOOKUP($C35,REV!$C:$AA,21,0)-'TRADE IN'!$F35))</f>
        <v>4199</v>
      </c>
      <c r="X35" s="46">
        <f>IF(VLOOKUP($C35,REV!$C:$AA,22,0)-'TRADE IN'!$F35=0,"",(VLOOKUP($C35,REV!$C:$AA,22,0)-'TRADE IN'!$F35))</f>
        <v>4099</v>
      </c>
      <c r="Y35" s="46">
        <f>IF(VLOOKUP($C35,REV!$C:$AA,23,0)-'TRADE IN'!$F35=0,"",(VLOOKUP($C35,REV!$C:$AA,23,0)-'TRADE IN'!$F35))</f>
        <v>3399</v>
      </c>
      <c r="Z35" s="46">
        <f>IF(VLOOKUP($C35,REV!$C:$AA,24,0)-'TRADE IN'!$F35=0,"",(VLOOKUP($C35,REV!$C:$AA,24,0)-'TRADE IN'!$F35))</f>
        <v>3399</v>
      </c>
      <c r="AA35" s="46">
        <f>IF(VLOOKUP($C35,REV!$C:$AA,25,0)-'TRADE IN'!$F35=0,"",(VLOOKUP($C35,REV!$C:$AA,25,0)-'TRADE IN'!$F35))</f>
        <v>3399</v>
      </c>
      <c r="AB35" s="45"/>
      <c r="AC35" s="45"/>
      <c r="AD35" s="45"/>
      <c r="AE35" s="45"/>
      <c r="AF35" s="45"/>
      <c r="AG35" s="45"/>
      <c r="AH35" s="45"/>
      <c r="AI35" s="45"/>
      <c r="AJ35" s="45"/>
      <c r="AK35" s="45"/>
      <c r="AL35" s="45"/>
      <c r="AM35" s="45"/>
      <c r="AN35" s="45"/>
      <c r="AO35" s="45"/>
      <c r="AP35" s="45"/>
      <c r="AQ35" s="45"/>
      <c r="AR35" s="45"/>
      <c r="AS35" s="45"/>
      <c r="AT35" s="45"/>
      <c r="AU35" s="45"/>
      <c r="AV35" s="47"/>
      <c r="AW35" s="48" t="str">
        <f>REV!AW35</f>
        <v>13.08.2026</v>
      </c>
      <c r="AX35" s="149" t="s">
        <v>68</v>
      </c>
    </row>
    <row r="36" spans="1:50" ht="22.5" customHeight="1">
      <c r="A36" s="41" t="s">
        <v>63</v>
      </c>
      <c r="B36" s="42" t="s">
        <v>64</v>
      </c>
      <c r="C36" s="43">
        <v>4015808</v>
      </c>
      <c r="D36" s="44" t="s">
        <v>96</v>
      </c>
      <c r="E36" s="44" t="s">
        <v>100</v>
      </c>
      <c r="F36" s="45">
        <v>100</v>
      </c>
      <c r="G36" s="45"/>
      <c r="H36" s="46"/>
      <c r="I36" s="46"/>
      <c r="J36" s="46">
        <f>IF(VLOOKUP($C36,REV!$C:$AA,8,0)-'TRADE IN'!$F36=0,"",(VLOOKUP($C36,REV!$C:$AA,8,0)-'TRADE IN'!$F36))</f>
        <v>4899</v>
      </c>
      <c r="K36" s="46">
        <f>IF(VLOOKUP($C36,REV!$C:$AA,9,0)-'TRADE IN'!$F36=0,"",(VLOOKUP($C36,REV!$C:$AA,9,0)-'TRADE IN'!$F36))</f>
        <v>4799</v>
      </c>
      <c r="L36" s="46">
        <f>IF(VLOOKUP($C36,REV!$C:$AA,10,0)-'TRADE IN'!$F36=0,"",(VLOOKUP($C36,REV!$C:$AA,10,0)-'TRADE IN'!$F36))</f>
        <v>4799</v>
      </c>
      <c r="M36" s="46">
        <f>IF(VLOOKUP($C36,REV!$C:$AA,11,0)-'TRADE IN'!$F36=0,"",(VLOOKUP($C36,REV!$C:$AA,11,0)-'TRADE IN'!$F36))</f>
        <v>4899</v>
      </c>
      <c r="N36" s="46">
        <f>IF(VLOOKUP($C36,REV!$C:$AA,12,0)-'TRADE IN'!$F36=0,"",(VLOOKUP($C36,REV!$C:$AA,12,0)-'TRADE IN'!$F36))</f>
        <v>4799</v>
      </c>
      <c r="O36" s="46">
        <f>IF(VLOOKUP($C36,REV!$C:$AA,13,0)-'TRADE IN'!$F36=0,"",(VLOOKUP($C36,REV!$C:$AA,13,0)-'TRADE IN'!$F36))</f>
        <v>4699</v>
      </c>
      <c r="P36" s="46">
        <f>IF(VLOOKUP($C36,REV!$C:$AA,14,0)-'TRADE IN'!$F36=0,"",(VLOOKUP($C36,REV!$C:$AA,14,0)-'TRADE IN'!$F36))</f>
        <v>4599</v>
      </c>
      <c r="Q36" s="46">
        <f>IF(VLOOKUP($C36,REV!$C:$AA,15,0)-'TRADE IN'!$F36=0,"",(VLOOKUP($C36,REV!$C:$AA,15,0)-'TRADE IN'!$F36))</f>
        <v>4399</v>
      </c>
      <c r="R36" s="46">
        <f>IF(VLOOKUP($C36,REV!$C:$AA,16,0)-'TRADE IN'!$F36=0,"",(VLOOKUP($C36,REV!$C:$AA,16,0)-'TRADE IN'!$F36))</f>
        <v>4699</v>
      </c>
      <c r="S36" s="46">
        <f>IF(VLOOKUP($C36,REV!$C:$AA,17,0)-'TRADE IN'!$F36=0,"",(VLOOKUP($C36,REV!$C:$AA,17,0)-'TRADE IN'!$F36))</f>
        <v>4599</v>
      </c>
      <c r="T36" s="46">
        <f>IF(VLOOKUP($C36,REV!$C:$AA,18,0)-'TRADE IN'!$F36=0,"",(VLOOKUP($C36,REV!$C:$AA,18,0)-'TRADE IN'!$F36))</f>
        <v>4399</v>
      </c>
      <c r="U36" s="46">
        <f>IF(VLOOKUP($C36,REV!$C:$AA,19,0)-'TRADE IN'!$F36=0,"",(VLOOKUP($C36,REV!$C:$AA,19,0)-'TRADE IN'!$F36))</f>
        <v>4299</v>
      </c>
      <c r="V36" s="46">
        <f>IF(VLOOKUP($C36,REV!$C:$AA,20,0)-'TRADE IN'!$F36=0,"",(VLOOKUP($C36,REV!$C:$AA,20,0)-'TRADE IN'!$F36))</f>
        <v>4299</v>
      </c>
      <c r="W36" s="46">
        <f>IF(VLOOKUP($C36,REV!$C:$AA,21,0)-'TRADE IN'!$F36=0,"",(VLOOKUP($C36,REV!$C:$AA,21,0)-'TRADE IN'!$F36))</f>
        <v>4199</v>
      </c>
      <c r="X36" s="46">
        <f>IF(VLOOKUP($C36,REV!$C:$AA,22,0)-'TRADE IN'!$F36=0,"",(VLOOKUP($C36,REV!$C:$AA,22,0)-'TRADE IN'!$F36))</f>
        <v>4099</v>
      </c>
      <c r="Y36" s="46">
        <f>IF(VLOOKUP($C36,REV!$C:$AA,23,0)-'TRADE IN'!$F36=0,"",(VLOOKUP($C36,REV!$C:$AA,23,0)-'TRADE IN'!$F36))</f>
        <v>3399</v>
      </c>
      <c r="Z36" s="46">
        <f>IF(VLOOKUP($C36,REV!$C:$AA,24,0)-'TRADE IN'!$F36=0,"",(VLOOKUP($C36,REV!$C:$AA,24,0)-'TRADE IN'!$F36))</f>
        <v>3399</v>
      </c>
      <c r="AA36" s="46">
        <f>IF(VLOOKUP($C36,REV!$C:$AA,25,0)-'TRADE IN'!$F36=0,"",(VLOOKUP($C36,REV!$C:$AA,25,0)-'TRADE IN'!$F36))</f>
        <v>3399</v>
      </c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  <c r="AM36" s="45"/>
      <c r="AN36" s="45"/>
      <c r="AO36" s="45"/>
      <c r="AP36" s="45"/>
      <c r="AQ36" s="45"/>
      <c r="AR36" s="45"/>
      <c r="AS36" s="45"/>
      <c r="AT36" s="45"/>
      <c r="AU36" s="45"/>
      <c r="AV36" s="47"/>
      <c r="AW36" s="48" t="str">
        <f>REV!AW36</f>
        <v>13.08.2026</v>
      </c>
      <c r="AX36" s="149" t="s">
        <v>68</v>
      </c>
    </row>
    <row r="37" spans="1:50" ht="22.5" customHeight="1">
      <c r="A37" s="41" t="s">
        <v>63</v>
      </c>
      <c r="B37" s="42" t="s">
        <v>64</v>
      </c>
      <c r="C37" s="43">
        <v>4015743</v>
      </c>
      <c r="D37" s="44" t="s">
        <v>101</v>
      </c>
      <c r="E37" s="44" t="s">
        <v>102</v>
      </c>
      <c r="F37" s="45">
        <v>100</v>
      </c>
      <c r="G37" s="45"/>
      <c r="H37" s="46"/>
      <c r="I37" s="46"/>
      <c r="J37" s="46">
        <f>IF(VLOOKUP($C37,REV!$C:$AA,8,0)-'TRADE IN'!$F37=0,"",(VLOOKUP($C37,REV!$C:$AA,8,0)-'TRADE IN'!$F37))</f>
        <v>4999</v>
      </c>
      <c r="K37" s="46">
        <f>IF(VLOOKUP($C37,REV!$C:$AA,9,0)-'TRADE IN'!$F37=0,"",(VLOOKUP($C37,REV!$C:$AA,9,0)-'TRADE IN'!$F37))</f>
        <v>4999</v>
      </c>
      <c r="L37" s="46">
        <f>IF(VLOOKUP($C37,REV!$C:$AA,10,0)-'TRADE IN'!$F37=0,"",(VLOOKUP($C37,REV!$C:$AA,10,0)-'TRADE IN'!$F37))</f>
        <v>4999</v>
      </c>
      <c r="M37" s="46">
        <f>IF(VLOOKUP($C37,REV!$C:$AA,11,0)-'TRADE IN'!$F37=0,"",(VLOOKUP($C37,REV!$C:$AA,11,0)-'TRADE IN'!$F37))</f>
        <v>4999</v>
      </c>
      <c r="N37" s="46">
        <f>IF(VLOOKUP($C37,REV!$C:$AA,12,0)-'TRADE IN'!$F37=0,"",(VLOOKUP($C37,REV!$C:$AA,12,0)-'TRADE IN'!$F37))</f>
        <v>4999</v>
      </c>
      <c r="O37" s="46">
        <f>IF(VLOOKUP($C37,REV!$C:$AA,13,0)-'TRADE IN'!$F37=0,"",(VLOOKUP($C37,REV!$C:$AA,13,0)-'TRADE IN'!$F37))</f>
        <v>4899</v>
      </c>
      <c r="P37" s="46">
        <f>IF(VLOOKUP($C37,REV!$C:$AA,14,0)-'TRADE IN'!$F37=0,"",(VLOOKUP($C37,REV!$C:$AA,14,0)-'TRADE IN'!$F37))</f>
        <v>4799</v>
      </c>
      <c r="Q37" s="46">
        <f>IF(VLOOKUP($C37,REV!$C:$AA,15,0)-'TRADE IN'!$F37=0,"",(VLOOKUP($C37,REV!$C:$AA,15,0)-'TRADE IN'!$F37))</f>
        <v>3899</v>
      </c>
      <c r="R37" s="46">
        <f>IF(VLOOKUP($C37,REV!$C:$AA,16,0)-'TRADE IN'!$F37=0,"",(VLOOKUP($C37,REV!$C:$AA,16,0)-'TRADE IN'!$F37))</f>
        <v>4899</v>
      </c>
      <c r="S37" s="46">
        <f>IF(VLOOKUP($C37,REV!$C:$AA,17,0)-'TRADE IN'!$F37=0,"",(VLOOKUP($C37,REV!$C:$AA,17,0)-'TRADE IN'!$F37))</f>
        <v>4799</v>
      </c>
      <c r="T37" s="46">
        <f>IF(VLOOKUP($C37,REV!$C:$AA,18,0)-'TRADE IN'!$F37=0,"",(VLOOKUP($C37,REV!$C:$AA,18,0)-'TRADE IN'!$F37))</f>
        <v>3899</v>
      </c>
      <c r="U37" s="46">
        <f>IF(VLOOKUP($C37,REV!$C:$AA,19,0)-'TRADE IN'!$F37=0,"",(VLOOKUP($C37,REV!$C:$AA,19,0)-'TRADE IN'!$F37))</f>
        <v>3899</v>
      </c>
      <c r="V37" s="46">
        <f>IF(VLOOKUP($C37,REV!$C:$AA,20,0)-'TRADE IN'!$F37=0,"",(VLOOKUP($C37,REV!$C:$AA,20,0)-'TRADE IN'!$F37))</f>
        <v>3899</v>
      </c>
      <c r="W37" s="46">
        <f>IF(VLOOKUP($C37,REV!$C:$AA,21,0)-'TRADE IN'!$F37=0,"",(VLOOKUP($C37,REV!$C:$AA,21,0)-'TRADE IN'!$F37))</f>
        <v>3899</v>
      </c>
      <c r="X37" s="46">
        <f>IF(VLOOKUP($C37,REV!$C:$AA,22,0)-'TRADE IN'!$F37=0,"",(VLOOKUP($C37,REV!$C:$AA,22,0)-'TRADE IN'!$F37))</f>
        <v>3799</v>
      </c>
      <c r="Y37" s="46">
        <f>IF(VLOOKUP($C37,REV!$C:$AA,23,0)-'TRADE IN'!$F37=0,"",(VLOOKUP($C37,REV!$C:$AA,23,0)-'TRADE IN'!$F37))</f>
        <v>3599</v>
      </c>
      <c r="Z37" s="46">
        <f>IF(VLOOKUP($C37,REV!$C:$AA,24,0)-'TRADE IN'!$F37=0,"",(VLOOKUP($C37,REV!$C:$AA,24,0)-'TRADE IN'!$F37))</f>
        <v>3599</v>
      </c>
      <c r="AA37" s="46">
        <f>IF(VLOOKUP($C37,REV!$C:$AA,25,0)-'TRADE IN'!$F37=0,"",(VLOOKUP($C37,REV!$C:$AA,25,0)-'TRADE IN'!$F37))</f>
        <v>3549</v>
      </c>
      <c r="AB37" s="45"/>
      <c r="AC37" s="45"/>
      <c r="AD37" s="45"/>
      <c r="AE37" s="45"/>
      <c r="AF37" s="45"/>
      <c r="AG37" s="45"/>
      <c r="AH37" s="45"/>
      <c r="AI37" s="45"/>
      <c r="AJ37" s="45"/>
      <c r="AK37" s="45"/>
      <c r="AL37" s="45"/>
      <c r="AM37" s="45"/>
      <c r="AN37" s="45"/>
      <c r="AO37" s="45"/>
      <c r="AP37" s="45"/>
      <c r="AQ37" s="45"/>
      <c r="AR37" s="45"/>
      <c r="AS37" s="45"/>
      <c r="AT37" s="45"/>
      <c r="AU37" s="45"/>
      <c r="AV37" s="47"/>
      <c r="AW37" s="48" t="str">
        <f>REV!AW37</f>
        <v>13.08.2026</v>
      </c>
      <c r="AX37" s="149" t="s">
        <v>68</v>
      </c>
    </row>
    <row r="38" spans="1:50" ht="22.5" customHeight="1">
      <c r="A38" s="41" t="s">
        <v>63</v>
      </c>
      <c r="B38" s="42" t="s">
        <v>64</v>
      </c>
      <c r="C38" s="43">
        <v>4015770</v>
      </c>
      <c r="D38" s="44" t="s">
        <v>101</v>
      </c>
      <c r="E38" s="44" t="s">
        <v>103</v>
      </c>
      <c r="F38" s="45">
        <v>100</v>
      </c>
      <c r="G38" s="45"/>
      <c r="H38" s="46"/>
      <c r="I38" s="46"/>
      <c r="J38" s="46">
        <f>IF(VLOOKUP($C38,REV!$C:$AA,8,0)-'TRADE IN'!$F38=0,"",(VLOOKUP($C38,REV!$C:$AA,8,0)-'TRADE IN'!$F38))</f>
        <v>4999</v>
      </c>
      <c r="K38" s="46">
        <f>IF(VLOOKUP($C38,REV!$C:$AA,9,0)-'TRADE IN'!$F38=0,"",(VLOOKUP($C38,REV!$C:$AA,9,0)-'TRADE IN'!$F38))</f>
        <v>4999</v>
      </c>
      <c r="L38" s="46">
        <f>IF(VLOOKUP($C38,REV!$C:$AA,10,0)-'TRADE IN'!$F38=0,"",(VLOOKUP($C38,REV!$C:$AA,10,0)-'TRADE IN'!$F38))</f>
        <v>4999</v>
      </c>
      <c r="M38" s="46">
        <f>IF(VLOOKUP($C38,REV!$C:$AA,11,0)-'TRADE IN'!$F38=0,"",(VLOOKUP($C38,REV!$C:$AA,11,0)-'TRADE IN'!$F38))</f>
        <v>4999</v>
      </c>
      <c r="N38" s="46">
        <f>IF(VLOOKUP($C38,REV!$C:$AA,12,0)-'TRADE IN'!$F38=0,"",(VLOOKUP($C38,REV!$C:$AA,12,0)-'TRADE IN'!$F38))</f>
        <v>4999</v>
      </c>
      <c r="O38" s="46">
        <f>IF(VLOOKUP($C38,REV!$C:$AA,13,0)-'TRADE IN'!$F38=0,"",(VLOOKUP($C38,REV!$C:$AA,13,0)-'TRADE IN'!$F38))</f>
        <v>4899</v>
      </c>
      <c r="P38" s="46">
        <f>IF(VLOOKUP($C38,REV!$C:$AA,14,0)-'TRADE IN'!$F38=0,"",(VLOOKUP($C38,REV!$C:$AA,14,0)-'TRADE IN'!$F38))</f>
        <v>4799</v>
      </c>
      <c r="Q38" s="46">
        <f>IF(VLOOKUP($C38,REV!$C:$AA,15,0)-'TRADE IN'!$F38=0,"",(VLOOKUP($C38,REV!$C:$AA,15,0)-'TRADE IN'!$F38))</f>
        <v>3899</v>
      </c>
      <c r="R38" s="46">
        <f>IF(VLOOKUP($C38,REV!$C:$AA,16,0)-'TRADE IN'!$F38=0,"",(VLOOKUP($C38,REV!$C:$AA,16,0)-'TRADE IN'!$F38))</f>
        <v>4899</v>
      </c>
      <c r="S38" s="46">
        <f>IF(VLOOKUP($C38,REV!$C:$AA,17,0)-'TRADE IN'!$F38=0,"",(VLOOKUP($C38,REV!$C:$AA,17,0)-'TRADE IN'!$F38))</f>
        <v>4799</v>
      </c>
      <c r="T38" s="46">
        <f>IF(VLOOKUP($C38,REV!$C:$AA,18,0)-'TRADE IN'!$F38=0,"",(VLOOKUP($C38,REV!$C:$AA,18,0)-'TRADE IN'!$F38))</f>
        <v>3899</v>
      </c>
      <c r="U38" s="46">
        <f>IF(VLOOKUP($C38,REV!$C:$AA,19,0)-'TRADE IN'!$F38=0,"",(VLOOKUP($C38,REV!$C:$AA,19,0)-'TRADE IN'!$F38))</f>
        <v>3899</v>
      </c>
      <c r="V38" s="46">
        <f>IF(VLOOKUP($C38,REV!$C:$AA,20,0)-'TRADE IN'!$F38=0,"",(VLOOKUP($C38,REV!$C:$AA,20,0)-'TRADE IN'!$F38))</f>
        <v>3899</v>
      </c>
      <c r="W38" s="46">
        <f>IF(VLOOKUP($C38,REV!$C:$AA,21,0)-'TRADE IN'!$F38=0,"",(VLOOKUP($C38,REV!$C:$AA,21,0)-'TRADE IN'!$F38))</f>
        <v>3899</v>
      </c>
      <c r="X38" s="46">
        <f>IF(VLOOKUP($C38,REV!$C:$AA,22,0)-'TRADE IN'!$F38=0,"",(VLOOKUP($C38,REV!$C:$AA,22,0)-'TRADE IN'!$F38))</f>
        <v>3799</v>
      </c>
      <c r="Y38" s="46">
        <f>IF(VLOOKUP($C38,REV!$C:$AA,23,0)-'TRADE IN'!$F38=0,"",(VLOOKUP($C38,REV!$C:$AA,23,0)-'TRADE IN'!$F38))</f>
        <v>3599</v>
      </c>
      <c r="Z38" s="46">
        <f>IF(VLOOKUP($C38,REV!$C:$AA,24,0)-'TRADE IN'!$F38=0,"",(VLOOKUP($C38,REV!$C:$AA,24,0)-'TRADE IN'!$F38))</f>
        <v>3599</v>
      </c>
      <c r="AA38" s="46">
        <f>IF(VLOOKUP($C38,REV!$C:$AA,25,0)-'TRADE IN'!$F38=0,"",(VLOOKUP($C38,REV!$C:$AA,25,0)-'TRADE IN'!$F38))</f>
        <v>3549</v>
      </c>
      <c r="AB38" s="45"/>
      <c r="AC38" s="45"/>
      <c r="AD38" s="45"/>
      <c r="AE38" s="45"/>
      <c r="AF38" s="45"/>
      <c r="AG38" s="45"/>
      <c r="AH38" s="45"/>
      <c r="AI38" s="45"/>
      <c r="AJ38" s="45"/>
      <c r="AK38" s="45"/>
      <c r="AL38" s="45"/>
      <c r="AM38" s="45"/>
      <c r="AN38" s="45"/>
      <c r="AO38" s="45"/>
      <c r="AP38" s="45"/>
      <c r="AQ38" s="45"/>
      <c r="AR38" s="45"/>
      <c r="AS38" s="45"/>
      <c r="AT38" s="45"/>
      <c r="AU38" s="45"/>
      <c r="AV38" s="47"/>
      <c r="AW38" s="48" t="str">
        <f>REV!AW38</f>
        <v>13.08.2026</v>
      </c>
      <c r="AX38" s="149" t="s">
        <v>68</v>
      </c>
    </row>
    <row r="39" spans="1:50" ht="22.5" customHeight="1">
      <c r="A39" s="41" t="s">
        <v>63</v>
      </c>
      <c r="B39" s="42" t="s">
        <v>64</v>
      </c>
      <c r="C39" s="43">
        <v>4015960</v>
      </c>
      <c r="D39" s="44" t="s">
        <v>101</v>
      </c>
      <c r="E39" s="44" t="s">
        <v>104</v>
      </c>
      <c r="F39" s="45">
        <v>100</v>
      </c>
      <c r="G39" s="45"/>
      <c r="H39" s="46"/>
      <c r="I39" s="46"/>
      <c r="J39" s="46">
        <f>IF(VLOOKUP($C39,REV!$C:$AA,8,0)-'TRADE IN'!$F39=0,"",(VLOOKUP($C39,REV!$C:$AA,8,0)-'TRADE IN'!$F39))</f>
        <v>4999</v>
      </c>
      <c r="K39" s="46">
        <f>IF(VLOOKUP($C39,REV!$C:$AA,9,0)-'TRADE IN'!$F39=0,"",(VLOOKUP($C39,REV!$C:$AA,9,0)-'TRADE IN'!$F39))</f>
        <v>4999</v>
      </c>
      <c r="L39" s="46">
        <f>IF(VLOOKUP($C39,REV!$C:$AA,10,0)-'TRADE IN'!$F39=0,"",(VLOOKUP($C39,REV!$C:$AA,10,0)-'TRADE IN'!$F39))</f>
        <v>4999</v>
      </c>
      <c r="M39" s="46">
        <f>IF(VLOOKUP($C39,REV!$C:$AA,11,0)-'TRADE IN'!$F39=0,"",(VLOOKUP($C39,REV!$C:$AA,11,0)-'TRADE IN'!$F39))</f>
        <v>4999</v>
      </c>
      <c r="N39" s="46">
        <f>IF(VLOOKUP($C39,REV!$C:$AA,12,0)-'TRADE IN'!$F39=0,"",(VLOOKUP($C39,REV!$C:$AA,12,0)-'TRADE IN'!$F39))</f>
        <v>4999</v>
      </c>
      <c r="O39" s="46">
        <f>IF(VLOOKUP($C39,REV!$C:$AA,13,0)-'TRADE IN'!$F39=0,"",(VLOOKUP($C39,REV!$C:$AA,13,0)-'TRADE IN'!$F39))</f>
        <v>4899</v>
      </c>
      <c r="P39" s="46">
        <f>IF(VLOOKUP($C39,REV!$C:$AA,14,0)-'TRADE IN'!$F39=0,"",(VLOOKUP($C39,REV!$C:$AA,14,0)-'TRADE IN'!$F39))</f>
        <v>4799</v>
      </c>
      <c r="Q39" s="46">
        <f>IF(VLOOKUP($C39,REV!$C:$AA,15,0)-'TRADE IN'!$F39=0,"",(VLOOKUP($C39,REV!$C:$AA,15,0)-'TRADE IN'!$F39))</f>
        <v>3899</v>
      </c>
      <c r="R39" s="46">
        <f>IF(VLOOKUP($C39,REV!$C:$AA,16,0)-'TRADE IN'!$F39=0,"",(VLOOKUP($C39,REV!$C:$AA,16,0)-'TRADE IN'!$F39))</f>
        <v>4899</v>
      </c>
      <c r="S39" s="46">
        <f>IF(VLOOKUP($C39,REV!$C:$AA,17,0)-'TRADE IN'!$F39=0,"",(VLOOKUP($C39,REV!$C:$AA,17,0)-'TRADE IN'!$F39))</f>
        <v>4799</v>
      </c>
      <c r="T39" s="46">
        <f>IF(VLOOKUP($C39,REV!$C:$AA,18,0)-'TRADE IN'!$F39=0,"",(VLOOKUP($C39,REV!$C:$AA,18,0)-'TRADE IN'!$F39))</f>
        <v>3899</v>
      </c>
      <c r="U39" s="46">
        <f>IF(VLOOKUP($C39,REV!$C:$AA,19,0)-'TRADE IN'!$F39=0,"",(VLOOKUP($C39,REV!$C:$AA,19,0)-'TRADE IN'!$F39))</f>
        <v>3899</v>
      </c>
      <c r="V39" s="46">
        <f>IF(VLOOKUP($C39,REV!$C:$AA,20,0)-'TRADE IN'!$F39=0,"",(VLOOKUP($C39,REV!$C:$AA,20,0)-'TRADE IN'!$F39))</f>
        <v>3899</v>
      </c>
      <c r="W39" s="46">
        <f>IF(VLOOKUP($C39,REV!$C:$AA,21,0)-'TRADE IN'!$F39=0,"",(VLOOKUP($C39,REV!$C:$AA,21,0)-'TRADE IN'!$F39))</f>
        <v>3899</v>
      </c>
      <c r="X39" s="46">
        <f>IF(VLOOKUP($C39,REV!$C:$AA,22,0)-'TRADE IN'!$F39=0,"",(VLOOKUP($C39,REV!$C:$AA,22,0)-'TRADE IN'!$F39))</f>
        <v>3799</v>
      </c>
      <c r="Y39" s="46">
        <f>IF(VLOOKUP($C39,REV!$C:$AA,23,0)-'TRADE IN'!$F39=0,"",(VLOOKUP($C39,REV!$C:$AA,23,0)-'TRADE IN'!$F39))</f>
        <v>3599</v>
      </c>
      <c r="Z39" s="46">
        <f>IF(VLOOKUP($C39,REV!$C:$AA,24,0)-'TRADE IN'!$F39=0,"",(VLOOKUP($C39,REV!$C:$AA,24,0)-'TRADE IN'!$F39))</f>
        <v>3599</v>
      </c>
      <c r="AA39" s="46">
        <f>IF(VLOOKUP($C39,REV!$C:$AA,25,0)-'TRADE IN'!$F39=0,"",(VLOOKUP($C39,REV!$C:$AA,25,0)-'TRADE IN'!$F39))</f>
        <v>3549</v>
      </c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  <c r="AM39" s="45"/>
      <c r="AN39" s="45"/>
      <c r="AO39" s="45"/>
      <c r="AP39" s="45"/>
      <c r="AQ39" s="45"/>
      <c r="AR39" s="45"/>
      <c r="AS39" s="45"/>
      <c r="AT39" s="45"/>
      <c r="AU39" s="45"/>
      <c r="AV39" s="47"/>
      <c r="AW39" s="48" t="str">
        <f>REV!AW39</f>
        <v>13.08.2026</v>
      </c>
      <c r="AX39" s="149" t="s">
        <v>68</v>
      </c>
    </row>
    <row r="40" spans="1:50" ht="22.5" customHeight="1">
      <c r="A40" s="41" t="s">
        <v>63</v>
      </c>
      <c r="B40" s="42" t="s">
        <v>64</v>
      </c>
      <c r="C40" s="43">
        <v>4015961</v>
      </c>
      <c r="D40" s="44" t="s">
        <v>101</v>
      </c>
      <c r="E40" s="44" t="s">
        <v>105</v>
      </c>
      <c r="F40" s="45">
        <v>100</v>
      </c>
      <c r="G40" s="45"/>
      <c r="H40" s="46"/>
      <c r="I40" s="46"/>
      <c r="J40" s="46">
        <f>IF(VLOOKUP($C40,REV!$C:$AA,8,0)-'TRADE IN'!$F40=0,"",(VLOOKUP($C40,REV!$C:$AA,8,0)-'TRADE IN'!$F40))</f>
        <v>4999</v>
      </c>
      <c r="K40" s="46">
        <f>IF(VLOOKUP($C40,REV!$C:$AA,9,0)-'TRADE IN'!$F40=0,"",(VLOOKUP($C40,REV!$C:$AA,9,0)-'TRADE IN'!$F40))</f>
        <v>4999</v>
      </c>
      <c r="L40" s="46">
        <f>IF(VLOOKUP($C40,REV!$C:$AA,10,0)-'TRADE IN'!$F40=0,"",(VLOOKUP($C40,REV!$C:$AA,10,0)-'TRADE IN'!$F40))</f>
        <v>4999</v>
      </c>
      <c r="M40" s="46">
        <f>IF(VLOOKUP($C40,REV!$C:$AA,11,0)-'TRADE IN'!$F40=0,"",(VLOOKUP($C40,REV!$C:$AA,11,0)-'TRADE IN'!$F40))</f>
        <v>4999</v>
      </c>
      <c r="N40" s="46">
        <f>IF(VLOOKUP($C40,REV!$C:$AA,12,0)-'TRADE IN'!$F40=0,"",(VLOOKUP($C40,REV!$C:$AA,12,0)-'TRADE IN'!$F40))</f>
        <v>4999</v>
      </c>
      <c r="O40" s="46">
        <f>IF(VLOOKUP($C40,REV!$C:$AA,13,0)-'TRADE IN'!$F40=0,"",(VLOOKUP($C40,REV!$C:$AA,13,0)-'TRADE IN'!$F40))</f>
        <v>4899</v>
      </c>
      <c r="P40" s="46">
        <f>IF(VLOOKUP($C40,REV!$C:$AA,14,0)-'TRADE IN'!$F40=0,"",(VLOOKUP($C40,REV!$C:$AA,14,0)-'TRADE IN'!$F40))</f>
        <v>4799</v>
      </c>
      <c r="Q40" s="46">
        <f>IF(VLOOKUP($C40,REV!$C:$AA,15,0)-'TRADE IN'!$F40=0,"",(VLOOKUP($C40,REV!$C:$AA,15,0)-'TRADE IN'!$F40))</f>
        <v>3899</v>
      </c>
      <c r="R40" s="46">
        <f>IF(VLOOKUP($C40,REV!$C:$AA,16,0)-'TRADE IN'!$F40=0,"",(VLOOKUP($C40,REV!$C:$AA,16,0)-'TRADE IN'!$F40))</f>
        <v>4899</v>
      </c>
      <c r="S40" s="46">
        <f>IF(VLOOKUP($C40,REV!$C:$AA,17,0)-'TRADE IN'!$F40=0,"",(VLOOKUP($C40,REV!$C:$AA,17,0)-'TRADE IN'!$F40))</f>
        <v>4799</v>
      </c>
      <c r="T40" s="46">
        <f>IF(VLOOKUP($C40,REV!$C:$AA,18,0)-'TRADE IN'!$F40=0,"",(VLOOKUP($C40,REV!$C:$AA,18,0)-'TRADE IN'!$F40))</f>
        <v>3899</v>
      </c>
      <c r="U40" s="46">
        <f>IF(VLOOKUP($C40,REV!$C:$AA,19,0)-'TRADE IN'!$F40=0,"",(VLOOKUP($C40,REV!$C:$AA,19,0)-'TRADE IN'!$F40))</f>
        <v>3899</v>
      </c>
      <c r="V40" s="46">
        <f>IF(VLOOKUP($C40,REV!$C:$AA,20,0)-'TRADE IN'!$F40=0,"",(VLOOKUP($C40,REV!$C:$AA,20,0)-'TRADE IN'!$F40))</f>
        <v>3899</v>
      </c>
      <c r="W40" s="46">
        <f>IF(VLOOKUP($C40,REV!$C:$AA,21,0)-'TRADE IN'!$F40=0,"",(VLOOKUP($C40,REV!$C:$AA,21,0)-'TRADE IN'!$F40))</f>
        <v>3899</v>
      </c>
      <c r="X40" s="46">
        <f>IF(VLOOKUP($C40,REV!$C:$AA,22,0)-'TRADE IN'!$F40=0,"",(VLOOKUP($C40,REV!$C:$AA,22,0)-'TRADE IN'!$F40))</f>
        <v>3799</v>
      </c>
      <c r="Y40" s="46">
        <f>IF(VLOOKUP($C40,REV!$C:$AA,23,0)-'TRADE IN'!$F40=0,"",(VLOOKUP($C40,REV!$C:$AA,23,0)-'TRADE IN'!$F40))</f>
        <v>3599</v>
      </c>
      <c r="Z40" s="46">
        <f>IF(VLOOKUP($C40,REV!$C:$AA,24,0)-'TRADE IN'!$F40=0,"",(VLOOKUP($C40,REV!$C:$AA,24,0)-'TRADE IN'!$F40))</f>
        <v>3599</v>
      </c>
      <c r="AA40" s="46">
        <f>IF(VLOOKUP($C40,REV!$C:$AA,25,0)-'TRADE IN'!$F40=0,"",(VLOOKUP($C40,REV!$C:$AA,25,0)-'TRADE IN'!$F40))</f>
        <v>3549</v>
      </c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  <c r="AM40" s="45"/>
      <c r="AN40" s="45"/>
      <c r="AO40" s="45"/>
      <c r="AP40" s="45"/>
      <c r="AQ40" s="45"/>
      <c r="AR40" s="45"/>
      <c r="AS40" s="45"/>
      <c r="AT40" s="45"/>
      <c r="AU40" s="45"/>
      <c r="AV40" s="47"/>
      <c r="AW40" s="48" t="str">
        <f>REV!AW40</f>
        <v>13.08.2026</v>
      </c>
      <c r="AX40" s="149" t="s">
        <v>68</v>
      </c>
    </row>
    <row r="41" spans="1:50" ht="22.5" customHeight="1">
      <c r="A41" s="41" t="s">
        <v>63</v>
      </c>
      <c r="B41" s="42" t="s">
        <v>64</v>
      </c>
      <c r="C41" s="43">
        <v>4015963</v>
      </c>
      <c r="D41" s="44" t="s">
        <v>101</v>
      </c>
      <c r="E41" s="44" t="s">
        <v>106</v>
      </c>
      <c r="F41" s="45">
        <v>100</v>
      </c>
      <c r="G41" s="45"/>
      <c r="H41" s="46"/>
      <c r="I41" s="46"/>
      <c r="J41" s="46">
        <f>IF(VLOOKUP($C41,REV!$C:$AA,8,0)-'TRADE IN'!$F41=0,"",(VLOOKUP($C41,REV!$C:$AA,8,0)-'TRADE IN'!$F41))</f>
        <v>4999</v>
      </c>
      <c r="K41" s="46">
        <f>IF(VLOOKUP($C41,REV!$C:$AA,9,0)-'TRADE IN'!$F41=0,"",(VLOOKUP($C41,REV!$C:$AA,9,0)-'TRADE IN'!$F41))</f>
        <v>4999</v>
      </c>
      <c r="L41" s="46">
        <f>IF(VLOOKUP($C41,REV!$C:$AA,10,0)-'TRADE IN'!$F41=0,"",(VLOOKUP($C41,REV!$C:$AA,10,0)-'TRADE IN'!$F41))</f>
        <v>4999</v>
      </c>
      <c r="M41" s="46">
        <f>IF(VLOOKUP($C41,REV!$C:$AA,11,0)-'TRADE IN'!$F41=0,"",(VLOOKUP($C41,REV!$C:$AA,11,0)-'TRADE IN'!$F41))</f>
        <v>4999</v>
      </c>
      <c r="N41" s="46">
        <f>IF(VLOOKUP($C41,REV!$C:$AA,12,0)-'TRADE IN'!$F41=0,"",(VLOOKUP($C41,REV!$C:$AA,12,0)-'TRADE IN'!$F41))</f>
        <v>4999</v>
      </c>
      <c r="O41" s="46">
        <f>IF(VLOOKUP($C41,REV!$C:$AA,13,0)-'TRADE IN'!$F41=0,"",(VLOOKUP($C41,REV!$C:$AA,13,0)-'TRADE IN'!$F41))</f>
        <v>4899</v>
      </c>
      <c r="P41" s="46">
        <f>IF(VLOOKUP($C41,REV!$C:$AA,14,0)-'TRADE IN'!$F41=0,"",(VLOOKUP($C41,REV!$C:$AA,14,0)-'TRADE IN'!$F41))</f>
        <v>4799</v>
      </c>
      <c r="Q41" s="46">
        <f>IF(VLOOKUP($C41,REV!$C:$AA,15,0)-'TRADE IN'!$F41=0,"",(VLOOKUP($C41,REV!$C:$AA,15,0)-'TRADE IN'!$F41))</f>
        <v>3899</v>
      </c>
      <c r="R41" s="46">
        <f>IF(VLOOKUP($C41,REV!$C:$AA,16,0)-'TRADE IN'!$F41=0,"",(VLOOKUP($C41,REV!$C:$AA,16,0)-'TRADE IN'!$F41))</f>
        <v>4899</v>
      </c>
      <c r="S41" s="46">
        <f>IF(VLOOKUP($C41,REV!$C:$AA,17,0)-'TRADE IN'!$F41=0,"",(VLOOKUP($C41,REV!$C:$AA,17,0)-'TRADE IN'!$F41))</f>
        <v>4799</v>
      </c>
      <c r="T41" s="46">
        <f>IF(VLOOKUP($C41,REV!$C:$AA,18,0)-'TRADE IN'!$F41=0,"",(VLOOKUP($C41,REV!$C:$AA,18,0)-'TRADE IN'!$F41))</f>
        <v>3899</v>
      </c>
      <c r="U41" s="46">
        <f>IF(VLOOKUP($C41,REV!$C:$AA,19,0)-'TRADE IN'!$F41=0,"",(VLOOKUP($C41,REV!$C:$AA,19,0)-'TRADE IN'!$F41))</f>
        <v>3899</v>
      </c>
      <c r="V41" s="46">
        <f>IF(VLOOKUP($C41,REV!$C:$AA,20,0)-'TRADE IN'!$F41=0,"",(VLOOKUP($C41,REV!$C:$AA,20,0)-'TRADE IN'!$F41))</f>
        <v>3899</v>
      </c>
      <c r="W41" s="46">
        <f>IF(VLOOKUP($C41,REV!$C:$AA,21,0)-'TRADE IN'!$F41=0,"",(VLOOKUP($C41,REV!$C:$AA,21,0)-'TRADE IN'!$F41))</f>
        <v>3899</v>
      </c>
      <c r="X41" s="46">
        <f>IF(VLOOKUP($C41,REV!$C:$AA,22,0)-'TRADE IN'!$F41=0,"",(VLOOKUP($C41,REV!$C:$AA,22,0)-'TRADE IN'!$F41))</f>
        <v>3799</v>
      </c>
      <c r="Y41" s="46">
        <f>IF(VLOOKUP($C41,REV!$C:$AA,23,0)-'TRADE IN'!$F41=0,"",(VLOOKUP($C41,REV!$C:$AA,23,0)-'TRADE IN'!$F41))</f>
        <v>3599</v>
      </c>
      <c r="Z41" s="46">
        <f>IF(VLOOKUP($C41,REV!$C:$AA,24,0)-'TRADE IN'!$F41=0,"",(VLOOKUP($C41,REV!$C:$AA,24,0)-'TRADE IN'!$F41))</f>
        <v>3599</v>
      </c>
      <c r="AA41" s="46">
        <f>IF(VLOOKUP($C41,REV!$C:$AA,25,0)-'TRADE IN'!$F41=0,"",(VLOOKUP($C41,REV!$C:$AA,25,0)-'TRADE IN'!$F41))</f>
        <v>3549</v>
      </c>
      <c r="AB41" s="45"/>
      <c r="AC41" s="45"/>
      <c r="AD41" s="45"/>
      <c r="AE41" s="45"/>
      <c r="AF41" s="45"/>
      <c r="AG41" s="45"/>
      <c r="AH41" s="45"/>
      <c r="AI41" s="45"/>
      <c r="AJ41" s="45"/>
      <c r="AK41" s="45"/>
      <c r="AL41" s="45"/>
      <c r="AM41" s="45"/>
      <c r="AN41" s="45"/>
      <c r="AO41" s="45"/>
      <c r="AP41" s="45"/>
      <c r="AQ41" s="45"/>
      <c r="AR41" s="45"/>
      <c r="AS41" s="45"/>
      <c r="AT41" s="45"/>
      <c r="AU41" s="45"/>
      <c r="AV41" s="47"/>
      <c r="AW41" s="48" t="str">
        <f>REV!AW41</f>
        <v>13.08.2026</v>
      </c>
      <c r="AX41" s="149" t="s">
        <v>68</v>
      </c>
    </row>
    <row r="42" spans="1:50" ht="22.5" customHeight="1">
      <c r="A42" s="41" t="s">
        <v>63</v>
      </c>
      <c r="B42" s="42" t="s">
        <v>64</v>
      </c>
      <c r="C42" s="43">
        <v>4015744</v>
      </c>
      <c r="D42" s="44" t="s">
        <v>107</v>
      </c>
      <c r="E42" s="44" t="s">
        <v>108</v>
      </c>
      <c r="F42" s="45">
        <v>100</v>
      </c>
      <c r="G42" s="45"/>
      <c r="H42" s="46"/>
      <c r="I42" s="46"/>
      <c r="J42" s="46">
        <f>IF(VLOOKUP($C42,REV!$C:$AA,8,0)-'TRADE IN'!$F42=0,"",(VLOOKUP($C42,REV!$C:$AA,8,0)-'TRADE IN'!$F42))</f>
        <v>5499</v>
      </c>
      <c r="K42" s="46">
        <f>IF(VLOOKUP($C42,REV!$C:$AA,9,0)-'TRADE IN'!$F42=0,"",(VLOOKUP($C42,REV!$C:$AA,9,0)-'TRADE IN'!$F42))</f>
        <v>5499</v>
      </c>
      <c r="L42" s="46">
        <f>IF(VLOOKUP($C42,REV!$C:$AA,10,0)-'TRADE IN'!$F42=0,"",(VLOOKUP($C42,REV!$C:$AA,10,0)-'TRADE IN'!$F42))</f>
        <v>5399</v>
      </c>
      <c r="M42" s="46">
        <f>IF(VLOOKUP($C42,REV!$C:$AA,11,0)-'TRADE IN'!$F42=0,"",(VLOOKUP($C42,REV!$C:$AA,11,0)-'TRADE IN'!$F42))</f>
        <v>5499</v>
      </c>
      <c r="N42" s="46">
        <f>IF(VLOOKUP($C42,REV!$C:$AA,12,0)-'TRADE IN'!$F42=0,"",(VLOOKUP($C42,REV!$C:$AA,12,0)-'TRADE IN'!$F42))</f>
        <v>5499</v>
      </c>
      <c r="O42" s="46">
        <f>IF(VLOOKUP($C42,REV!$C:$AA,13,0)-'TRADE IN'!$F42=0,"",(VLOOKUP($C42,REV!$C:$AA,13,0)-'TRADE IN'!$F42))</f>
        <v>5399</v>
      </c>
      <c r="P42" s="46">
        <f>IF(VLOOKUP($C42,REV!$C:$AA,14,0)-'TRADE IN'!$F42=0,"",(VLOOKUP($C42,REV!$C:$AA,14,0)-'TRADE IN'!$F42))</f>
        <v>5299</v>
      </c>
      <c r="Q42" s="46">
        <f>IF(VLOOKUP($C42,REV!$C:$AA,15,0)-'TRADE IN'!$F42=0,"",(VLOOKUP($C42,REV!$C:$AA,15,0)-'TRADE IN'!$F42))</f>
        <v>5099</v>
      </c>
      <c r="R42" s="46">
        <f>IF(VLOOKUP($C42,REV!$C:$AA,16,0)-'TRADE IN'!$F42=0,"",(VLOOKUP($C42,REV!$C:$AA,16,0)-'TRADE IN'!$F42))</f>
        <v>5399</v>
      </c>
      <c r="S42" s="46">
        <f>IF(VLOOKUP($C42,REV!$C:$AA,17,0)-'TRADE IN'!$F42=0,"",(VLOOKUP($C42,REV!$C:$AA,17,0)-'TRADE IN'!$F42))</f>
        <v>5299</v>
      </c>
      <c r="T42" s="46">
        <f>IF(VLOOKUP($C42,REV!$C:$AA,18,0)-'TRADE IN'!$F42=0,"",(VLOOKUP($C42,REV!$C:$AA,18,0)-'TRADE IN'!$F42))</f>
        <v>5099</v>
      </c>
      <c r="U42" s="46">
        <f>IF(VLOOKUP($C42,REV!$C:$AA,19,0)-'TRADE IN'!$F42=0,"",(VLOOKUP($C42,REV!$C:$AA,19,0)-'TRADE IN'!$F42))</f>
        <v>4999</v>
      </c>
      <c r="V42" s="46">
        <f>IF(VLOOKUP($C42,REV!$C:$AA,20,0)-'TRADE IN'!$F42=0,"",(VLOOKUP($C42,REV!$C:$AA,20,0)-'TRADE IN'!$F42))</f>
        <v>4999</v>
      </c>
      <c r="W42" s="46">
        <f>IF(VLOOKUP($C42,REV!$C:$AA,21,0)-'TRADE IN'!$F42=0,"",(VLOOKUP($C42,REV!$C:$AA,21,0)-'TRADE IN'!$F42))</f>
        <v>4999</v>
      </c>
      <c r="X42" s="46">
        <f>IF(VLOOKUP($C42,REV!$C:$AA,22,0)-'TRADE IN'!$F42=0,"",(VLOOKUP($C42,REV!$C:$AA,22,0)-'TRADE IN'!$F42))</f>
        <v>4899</v>
      </c>
      <c r="Y42" s="46">
        <f>IF(VLOOKUP($C42,REV!$C:$AA,23,0)-'TRADE IN'!$F42=0,"",(VLOOKUP($C42,REV!$C:$AA,23,0)-'TRADE IN'!$F42))</f>
        <v>4499</v>
      </c>
      <c r="Z42" s="46">
        <f>IF(VLOOKUP($C42,REV!$C:$AA,24,0)-'TRADE IN'!$F42=0,"",(VLOOKUP($C42,REV!$C:$AA,24,0)-'TRADE IN'!$F42))</f>
        <v>4499</v>
      </c>
      <c r="AA42" s="46">
        <f>IF(VLOOKUP($C42,REV!$C:$AA,25,0)-'TRADE IN'!$F42=0,"",(VLOOKUP($C42,REV!$C:$AA,25,0)-'TRADE IN'!$F42))</f>
        <v>4449</v>
      </c>
      <c r="AB42" s="45"/>
      <c r="AC42" s="45"/>
      <c r="AD42" s="45"/>
      <c r="AE42" s="45"/>
      <c r="AF42" s="45"/>
      <c r="AG42" s="45"/>
      <c r="AH42" s="45"/>
      <c r="AI42" s="45"/>
      <c r="AJ42" s="45"/>
      <c r="AK42" s="45"/>
      <c r="AL42" s="45"/>
      <c r="AM42" s="45"/>
      <c r="AN42" s="45"/>
      <c r="AO42" s="45"/>
      <c r="AP42" s="45"/>
      <c r="AQ42" s="45"/>
      <c r="AR42" s="45"/>
      <c r="AS42" s="45"/>
      <c r="AT42" s="45"/>
      <c r="AU42" s="45"/>
      <c r="AV42" s="47"/>
      <c r="AW42" s="48" t="str">
        <f>REV!AW42</f>
        <v>13.08.2026</v>
      </c>
      <c r="AX42" s="149" t="s">
        <v>68</v>
      </c>
    </row>
    <row r="43" spans="1:50" ht="22.5" customHeight="1">
      <c r="A43" s="41" t="s">
        <v>63</v>
      </c>
      <c r="B43" s="42" t="s">
        <v>64</v>
      </c>
      <c r="C43" s="43">
        <v>4015965</v>
      </c>
      <c r="D43" s="44" t="s">
        <v>107</v>
      </c>
      <c r="E43" s="44" t="s">
        <v>109</v>
      </c>
      <c r="F43" s="45">
        <v>100</v>
      </c>
      <c r="G43" s="45"/>
      <c r="H43" s="46"/>
      <c r="I43" s="46"/>
      <c r="J43" s="46">
        <f>IF(VLOOKUP($C43,REV!$C:$AA,8,0)-'TRADE IN'!$F43=0,"",(VLOOKUP($C43,REV!$C:$AA,8,0)-'TRADE IN'!$F43))</f>
        <v>5499</v>
      </c>
      <c r="K43" s="46">
        <f>IF(VLOOKUP($C43,REV!$C:$AA,9,0)-'TRADE IN'!$F43=0,"",(VLOOKUP($C43,REV!$C:$AA,9,0)-'TRADE IN'!$F43))</f>
        <v>5499</v>
      </c>
      <c r="L43" s="46">
        <f>IF(VLOOKUP($C43,REV!$C:$AA,10,0)-'TRADE IN'!$F43=0,"",(VLOOKUP($C43,REV!$C:$AA,10,0)-'TRADE IN'!$F43))</f>
        <v>5399</v>
      </c>
      <c r="M43" s="46">
        <f>IF(VLOOKUP($C43,REV!$C:$AA,11,0)-'TRADE IN'!$F43=0,"",(VLOOKUP($C43,REV!$C:$AA,11,0)-'TRADE IN'!$F43))</f>
        <v>5499</v>
      </c>
      <c r="N43" s="46">
        <f>IF(VLOOKUP($C43,REV!$C:$AA,12,0)-'TRADE IN'!$F43=0,"",(VLOOKUP($C43,REV!$C:$AA,12,0)-'TRADE IN'!$F43))</f>
        <v>5499</v>
      </c>
      <c r="O43" s="46">
        <f>IF(VLOOKUP($C43,REV!$C:$AA,13,0)-'TRADE IN'!$F43=0,"",(VLOOKUP($C43,REV!$C:$AA,13,0)-'TRADE IN'!$F43))</f>
        <v>5399</v>
      </c>
      <c r="P43" s="46">
        <f>IF(VLOOKUP($C43,REV!$C:$AA,14,0)-'TRADE IN'!$F43=0,"",(VLOOKUP($C43,REV!$C:$AA,14,0)-'TRADE IN'!$F43))</f>
        <v>5299</v>
      </c>
      <c r="Q43" s="46">
        <f>IF(VLOOKUP($C43,REV!$C:$AA,15,0)-'TRADE IN'!$F43=0,"",(VLOOKUP($C43,REV!$C:$AA,15,0)-'TRADE IN'!$F43))</f>
        <v>5099</v>
      </c>
      <c r="R43" s="46">
        <f>IF(VLOOKUP($C43,REV!$C:$AA,16,0)-'TRADE IN'!$F43=0,"",(VLOOKUP($C43,REV!$C:$AA,16,0)-'TRADE IN'!$F43))</f>
        <v>5399</v>
      </c>
      <c r="S43" s="46">
        <f>IF(VLOOKUP($C43,REV!$C:$AA,17,0)-'TRADE IN'!$F43=0,"",(VLOOKUP($C43,REV!$C:$AA,17,0)-'TRADE IN'!$F43))</f>
        <v>5299</v>
      </c>
      <c r="T43" s="46">
        <f>IF(VLOOKUP($C43,REV!$C:$AA,18,0)-'TRADE IN'!$F43=0,"",(VLOOKUP($C43,REV!$C:$AA,18,0)-'TRADE IN'!$F43))</f>
        <v>5099</v>
      </c>
      <c r="U43" s="46">
        <f>IF(VLOOKUP($C43,REV!$C:$AA,19,0)-'TRADE IN'!$F43=0,"",(VLOOKUP($C43,REV!$C:$AA,19,0)-'TRADE IN'!$F43))</f>
        <v>4999</v>
      </c>
      <c r="V43" s="46">
        <f>IF(VLOOKUP($C43,REV!$C:$AA,20,0)-'TRADE IN'!$F43=0,"",(VLOOKUP($C43,REV!$C:$AA,20,0)-'TRADE IN'!$F43))</f>
        <v>4999</v>
      </c>
      <c r="W43" s="46">
        <f>IF(VLOOKUP($C43,REV!$C:$AA,21,0)-'TRADE IN'!$F43=0,"",(VLOOKUP($C43,REV!$C:$AA,21,0)-'TRADE IN'!$F43))</f>
        <v>4999</v>
      </c>
      <c r="X43" s="46">
        <f>IF(VLOOKUP($C43,REV!$C:$AA,22,0)-'TRADE IN'!$F43=0,"",(VLOOKUP($C43,REV!$C:$AA,22,0)-'TRADE IN'!$F43))</f>
        <v>4899</v>
      </c>
      <c r="Y43" s="46">
        <f>IF(VLOOKUP($C43,REV!$C:$AA,23,0)-'TRADE IN'!$F43=0,"",(VLOOKUP($C43,REV!$C:$AA,23,0)-'TRADE IN'!$F43))</f>
        <v>4499</v>
      </c>
      <c r="Z43" s="46">
        <f>IF(VLOOKUP($C43,REV!$C:$AA,24,0)-'TRADE IN'!$F43=0,"",(VLOOKUP($C43,REV!$C:$AA,24,0)-'TRADE IN'!$F43))</f>
        <v>4499</v>
      </c>
      <c r="AA43" s="46">
        <f>IF(VLOOKUP($C43,REV!$C:$AA,25,0)-'TRADE IN'!$F43=0,"",(VLOOKUP($C43,REV!$C:$AA,25,0)-'TRADE IN'!$F43))</f>
        <v>4449</v>
      </c>
      <c r="AB43" s="45"/>
      <c r="AC43" s="45"/>
      <c r="AD43" s="45"/>
      <c r="AE43" s="45"/>
      <c r="AF43" s="45"/>
      <c r="AG43" s="45"/>
      <c r="AH43" s="45"/>
      <c r="AI43" s="45"/>
      <c r="AJ43" s="45"/>
      <c r="AK43" s="45"/>
      <c r="AL43" s="45"/>
      <c r="AM43" s="45"/>
      <c r="AN43" s="45"/>
      <c r="AO43" s="45"/>
      <c r="AP43" s="45"/>
      <c r="AQ43" s="45"/>
      <c r="AR43" s="45"/>
      <c r="AS43" s="45"/>
      <c r="AT43" s="45"/>
      <c r="AU43" s="45"/>
      <c r="AV43" s="47"/>
      <c r="AW43" s="48" t="str">
        <f>REV!AW43</f>
        <v>13.08.2026</v>
      </c>
      <c r="AX43" s="149" t="s">
        <v>68</v>
      </c>
    </row>
    <row r="44" spans="1:50" ht="22.5" customHeight="1">
      <c r="A44" s="41" t="s">
        <v>63</v>
      </c>
      <c r="B44" s="42" t="s">
        <v>64</v>
      </c>
      <c r="C44" s="43">
        <v>4015746</v>
      </c>
      <c r="D44" s="44" t="s">
        <v>110</v>
      </c>
      <c r="E44" s="44" t="s">
        <v>111</v>
      </c>
      <c r="F44" s="45">
        <v>100</v>
      </c>
      <c r="G44" s="45"/>
      <c r="H44" s="46"/>
      <c r="I44" s="46"/>
      <c r="J44" s="46">
        <f>IF(VLOOKUP($C44,REV!$C:$AA,8,0)-'TRADE IN'!$F44=0,"",(VLOOKUP($C44,REV!$C:$AA,8,0)-'TRADE IN'!$F44))</f>
        <v>5799</v>
      </c>
      <c r="K44" s="46">
        <f>IF(VLOOKUP($C44,REV!$C:$AA,9,0)-'TRADE IN'!$F44=0,"",(VLOOKUP($C44,REV!$C:$AA,9,0)-'TRADE IN'!$F44))</f>
        <v>5799</v>
      </c>
      <c r="L44" s="46">
        <f>IF(VLOOKUP($C44,REV!$C:$AA,10,0)-'TRADE IN'!$F44=0,"",(VLOOKUP($C44,REV!$C:$AA,10,0)-'TRADE IN'!$F44))</f>
        <v>5799</v>
      </c>
      <c r="M44" s="46">
        <f>IF(VLOOKUP($C44,REV!$C:$AA,11,0)-'TRADE IN'!$F44=0,"",(VLOOKUP($C44,REV!$C:$AA,11,0)-'TRADE IN'!$F44))</f>
        <v>5799</v>
      </c>
      <c r="N44" s="46">
        <f>IF(VLOOKUP($C44,REV!$C:$AA,12,0)-'TRADE IN'!$F44=0,"",(VLOOKUP($C44,REV!$C:$AA,12,0)-'TRADE IN'!$F44))</f>
        <v>5799</v>
      </c>
      <c r="O44" s="46">
        <f>IF(VLOOKUP($C44,REV!$C:$AA,13,0)-'TRADE IN'!$F44=0,"",(VLOOKUP($C44,REV!$C:$AA,13,0)-'TRADE IN'!$F44))</f>
        <v>5699</v>
      </c>
      <c r="P44" s="46">
        <f>IF(VLOOKUP($C44,REV!$C:$AA,14,0)-'TRADE IN'!$F44=0,"",(VLOOKUP($C44,REV!$C:$AA,14,0)-'TRADE IN'!$F44))</f>
        <v>5599</v>
      </c>
      <c r="Q44" s="46">
        <f>IF(VLOOKUP($C44,REV!$C:$AA,15,0)-'TRADE IN'!$F44=0,"",(VLOOKUP($C44,REV!$C:$AA,15,0)-'TRADE IN'!$F44))</f>
        <v>5399</v>
      </c>
      <c r="R44" s="46">
        <f>IF(VLOOKUP($C44,REV!$C:$AA,16,0)-'TRADE IN'!$F44=0,"",(VLOOKUP($C44,REV!$C:$AA,16,0)-'TRADE IN'!$F44))</f>
        <v>5699</v>
      </c>
      <c r="S44" s="46">
        <f>IF(VLOOKUP($C44,REV!$C:$AA,17,0)-'TRADE IN'!$F44=0,"",(VLOOKUP($C44,REV!$C:$AA,17,0)-'TRADE IN'!$F44))</f>
        <v>5599</v>
      </c>
      <c r="T44" s="46">
        <f>IF(VLOOKUP($C44,REV!$C:$AA,18,0)-'TRADE IN'!$F44=0,"",(VLOOKUP($C44,REV!$C:$AA,18,0)-'TRADE IN'!$F44))</f>
        <v>5399</v>
      </c>
      <c r="U44" s="46">
        <f>IF(VLOOKUP($C44,REV!$C:$AA,19,0)-'TRADE IN'!$F44=0,"",(VLOOKUP($C44,REV!$C:$AA,19,0)-'TRADE IN'!$F44))</f>
        <v>5399</v>
      </c>
      <c r="V44" s="46">
        <f>IF(VLOOKUP($C44,REV!$C:$AA,20,0)-'TRADE IN'!$F44=0,"",(VLOOKUP($C44,REV!$C:$AA,20,0)-'TRADE IN'!$F44))</f>
        <v>5399</v>
      </c>
      <c r="W44" s="46">
        <f>IF(VLOOKUP($C44,REV!$C:$AA,21,0)-'TRADE IN'!$F44=0,"",(VLOOKUP($C44,REV!$C:$AA,21,0)-'TRADE IN'!$F44))</f>
        <v>5399</v>
      </c>
      <c r="X44" s="46">
        <f>IF(VLOOKUP($C44,REV!$C:$AA,22,0)-'TRADE IN'!$F44=0,"",(VLOOKUP($C44,REV!$C:$AA,22,0)-'TRADE IN'!$F44))</f>
        <v>5299</v>
      </c>
      <c r="Y44" s="46">
        <f>IF(VLOOKUP($C44,REV!$C:$AA,23,0)-'TRADE IN'!$F44=0,"",(VLOOKUP($C44,REV!$C:$AA,23,0)-'TRADE IN'!$F44))</f>
        <v>4899</v>
      </c>
      <c r="Z44" s="46">
        <f>IF(VLOOKUP($C44,REV!$C:$AA,24,0)-'TRADE IN'!$F44=0,"",(VLOOKUP($C44,REV!$C:$AA,24,0)-'TRADE IN'!$F44))</f>
        <v>4899</v>
      </c>
      <c r="AA44" s="46">
        <f>IF(VLOOKUP($C44,REV!$C:$AA,25,0)-'TRADE IN'!$F44=0,"",(VLOOKUP($C44,REV!$C:$AA,25,0)-'TRADE IN'!$F44))</f>
        <v>4899</v>
      </c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  <c r="AM44" s="45"/>
      <c r="AN44" s="45"/>
      <c r="AO44" s="45"/>
      <c r="AP44" s="45"/>
      <c r="AQ44" s="45"/>
      <c r="AR44" s="45"/>
      <c r="AS44" s="45"/>
      <c r="AT44" s="45"/>
      <c r="AU44" s="45"/>
      <c r="AV44" s="47"/>
      <c r="AW44" s="48" t="str">
        <f>REV!AW44</f>
        <v>13.08.2026</v>
      </c>
      <c r="AX44" s="149" t="s">
        <v>68</v>
      </c>
    </row>
    <row r="45" spans="1:50" ht="22.5" customHeight="1">
      <c r="A45" s="41" t="s">
        <v>63</v>
      </c>
      <c r="B45" s="42" t="s">
        <v>64</v>
      </c>
      <c r="C45" s="43">
        <v>4015748</v>
      </c>
      <c r="D45" s="44" t="s">
        <v>112</v>
      </c>
      <c r="E45" s="44" t="s">
        <v>113</v>
      </c>
      <c r="F45" s="45">
        <v>100</v>
      </c>
      <c r="G45" s="45"/>
      <c r="H45" s="46"/>
      <c r="I45" s="46"/>
      <c r="J45" s="46">
        <f>IF(VLOOKUP($C45,REV!$C:$AA,8,0)-'TRADE IN'!$F45=0,"",(VLOOKUP($C45,REV!$C:$AA,8,0)-'TRADE IN'!$F45))</f>
        <v>6299</v>
      </c>
      <c r="K45" s="46">
        <f>IF(VLOOKUP($C45,REV!$C:$AA,9,0)-'TRADE IN'!$F45=0,"",(VLOOKUP($C45,REV!$C:$AA,9,0)-'TRADE IN'!$F45))</f>
        <v>6299</v>
      </c>
      <c r="L45" s="46">
        <f>IF(VLOOKUP($C45,REV!$C:$AA,10,0)-'TRADE IN'!$F45=0,"",(VLOOKUP($C45,REV!$C:$AA,10,0)-'TRADE IN'!$F45))</f>
        <v>6299</v>
      </c>
      <c r="M45" s="46">
        <f>IF(VLOOKUP($C45,REV!$C:$AA,11,0)-'TRADE IN'!$F45=0,"",(VLOOKUP($C45,REV!$C:$AA,11,0)-'TRADE IN'!$F45))</f>
        <v>6299</v>
      </c>
      <c r="N45" s="46">
        <f>IF(VLOOKUP($C45,REV!$C:$AA,12,0)-'TRADE IN'!$F45=0,"",(VLOOKUP($C45,REV!$C:$AA,12,0)-'TRADE IN'!$F45))</f>
        <v>6299</v>
      </c>
      <c r="O45" s="46">
        <f>IF(VLOOKUP($C45,REV!$C:$AA,13,0)-'TRADE IN'!$F45=0,"",(VLOOKUP($C45,REV!$C:$AA,13,0)-'TRADE IN'!$F45))</f>
        <v>6199</v>
      </c>
      <c r="P45" s="46">
        <f>IF(VLOOKUP($C45,REV!$C:$AA,14,0)-'TRADE IN'!$F45=0,"",(VLOOKUP($C45,REV!$C:$AA,14,0)-'TRADE IN'!$F45))</f>
        <v>6099</v>
      </c>
      <c r="Q45" s="46">
        <f>IF(VLOOKUP($C45,REV!$C:$AA,15,0)-'TRADE IN'!$F45=0,"",(VLOOKUP($C45,REV!$C:$AA,15,0)-'TRADE IN'!$F45))</f>
        <v>5899</v>
      </c>
      <c r="R45" s="46">
        <f>IF(VLOOKUP($C45,REV!$C:$AA,16,0)-'TRADE IN'!$F45=0,"",(VLOOKUP($C45,REV!$C:$AA,16,0)-'TRADE IN'!$F45))</f>
        <v>6199</v>
      </c>
      <c r="S45" s="46">
        <f>IF(VLOOKUP($C45,REV!$C:$AA,17,0)-'TRADE IN'!$F45=0,"",(VLOOKUP($C45,REV!$C:$AA,17,0)-'TRADE IN'!$F45))</f>
        <v>6099</v>
      </c>
      <c r="T45" s="46">
        <f>IF(VLOOKUP($C45,REV!$C:$AA,18,0)-'TRADE IN'!$F45=0,"",(VLOOKUP($C45,REV!$C:$AA,18,0)-'TRADE IN'!$F45))</f>
        <v>5899</v>
      </c>
      <c r="U45" s="46">
        <f>IF(VLOOKUP($C45,REV!$C:$AA,19,0)-'TRADE IN'!$F45=0,"",(VLOOKUP($C45,REV!$C:$AA,19,0)-'TRADE IN'!$F45))</f>
        <v>5899</v>
      </c>
      <c r="V45" s="46">
        <f>IF(VLOOKUP($C45,REV!$C:$AA,20,0)-'TRADE IN'!$F45=0,"",(VLOOKUP($C45,REV!$C:$AA,20,0)-'TRADE IN'!$F45))</f>
        <v>5899</v>
      </c>
      <c r="W45" s="46">
        <f>IF(VLOOKUP($C45,REV!$C:$AA,21,0)-'TRADE IN'!$F45=0,"",(VLOOKUP($C45,REV!$C:$AA,21,0)-'TRADE IN'!$F45))</f>
        <v>5899</v>
      </c>
      <c r="X45" s="46">
        <f>IF(VLOOKUP($C45,REV!$C:$AA,22,0)-'TRADE IN'!$F45=0,"",(VLOOKUP($C45,REV!$C:$AA,22,0)-'TRADE IN'!$F45))</f>
        <v>5799</v>
      </c>
      <c r="Y45" s="46">
        <f>IF(VLOOKUP($C45,REV!$C:$AA,23,0)-'TRADE IN'!$F45=0,"",(VLOOKUP($C45,REV!$C:$AA,23,0)-'TRADE IN'!$F45))</f>
        <v>5399</v>
      </c>
      <c r="Z45" s="46">
        <f>IF(VLOOKUP($C45,REV!$C:$AA,24,0)-'TRADE IN'!$F45=0,"",(VLOOKUP($C45,REV!$C:$AA,24,0)-'TRADE IN'!$F45))</f>
        <v>5399</v>
      </c>
      <c r="AA45" s="46">
        <f>IF(VLOOKUP($C45,REV!$C:$AA,25,0)-'TRADE IN'!$F45=0,"",(VLOOKUP($C45,REV!$C:$AA,25,0)-'TRADE IN'!$F45))</f>
        <v>5399</v>
      </c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5"/>
      <c r="AN45" s="45"/>
      <c r="AO45" s="45"/>
      <c r="AP45" s="45"/>
      <c r="AQ45" s="45"/>
      <c r="AR45" s="45"/>
      <c r="AS45" s="45"/>
      <c r="AT45" s="45"/>
      <c r="AU45" s="45"/>
      <c r="AV45" s="47"/>
      <c r="AW45" s="48" t="str">
        <f>REV!AW45</f>
        <v>13.08.2026</v>
      </c>
      <c r="AX45" s="149" t="s">
        <v>68</v>
      </c>
    </row>
    <row r="46" spans="1:50" ht="22.5" customHeight="1">
      <c r="A46" s="41" t="s">
        <v>63</v>
      </c>
      <c r="B46" s="42" t="s">
        <v>64</v>
      </c>
      <c r="C46" s="43">
        <v>4015796</v>
      </c>
      <c r="D46" s="44" t="s">
        <v>112</v>
      </c>
      <c r="E46" s="44" t="s">
        <v>114</v>
      </c>
      <c r="F46" s="45">
        <v>100</v>
      </c>
      <c r="G46" s="45"/>
      <c r="H46" s="46"/>
      <c r="I46" s="46"/>
      <c r="J46" s="46">
        <f>IF(VLOOKUP($C46,REV!$C:$AA,8,0)-'TRADE IN'!$F46=0,"",(VLOOKUP($C46,REV!$C:$AA,8,0)-'TRADE IN'!$F46))</f>
        <v>6299</v>
      </c>
      <c r="K46" s="46">
        <f>IF(VLOOKUP($C46,REV!$C:$AA,9,0)-'TRADE IN'!$F46=0,"",(VLOOKUP($C46,REV!$C:$AA,9,0)-'TRADE IN'!$F46))</f>
        <v>6299</v>
      </c>
      <c r="L46" s="46">
        <f>IF(VLOOKUP($C46,REV!$C:$AA,10,0)-'TRADE IN'!$F46=0,"",(VLOOKUP($C46,REV!$C:$AA,10,0)-'TRADE IN'!$F46))</f>
        <v>6299</v>
      </c>
      <c r="M46" s="46">
        <f>IF(VLOOKUP($C46,REV!$C:$AA,11,0)-'TRADE IN'!$F46=0,"",(VLOOKUP($C46,REV!$C:$AA,11,0)-'TRADE IN'!$F46))</f>
        <v>6299</v>
      </c>
      <c r="N46" s="46">
        <f>IF(VLOOKUP($C46,REV!$C:$AA,12,0)-'TRADE IN'!$F46=0,"",(VLOOKUP($C46,REV!$C:$AA,12,0)-'TRADE IN'!$F46))</f>
        <v>6299</v>
      </c>
      <c r="O46" s="46">
        <f>IF(VLOOKUP($C46,REV!$C:$AA,13,0)-'TRADE IN'!$F46=0,"",(VLOOKUP($C46,REV!$C:$AA,13,0)-'TRADE IN'!$F46))</f>
        <v>6199</v>
      </c>
      <c r="P46" s="46">
        <f>IF(VLOOKUP($C46,REV!$C:$AA,14,0)-'TRADE IN'!$F46=0,"",(VLOOKUP($C46,REV!$C:$AA,14,0)-'TRADE IN'!$F46))</f>
        <v>6099</v>
      </c>
      <c r="Q46" s="46">
        <f>IF(VLOOKUP($C46,REV!$C:$AA,15,0)-'TRADE IN'!$F46=0,"",(VLOOKUP($C46,REV!$C:$AA,15,0)-'TRADE IN'!$F46))</f>
        <v>5899</v>
      </c>
      <c r="R46" s="46">
        <f>IF(VLOOKUP($C46,REV!$C:$AA,16,0)-'TRADE IN'!$F46=0,"",(VLOOKUP($C46,REV!$C:$AA,16,0)-'TRADE IN'!$F46))</f>
        <v>6199</v>
      </c>
      <c r="S46" s="46">
        <f>IF(VLOOKUP($C46,REV!$C:$AA,17,0)-'TRADE IN'!$F46=0,"",(VLOOKUP($C46,REV!$C:$AA,17,0)-'TRADE IN'!$F46))</f>
        <v>6099</v>
      </c>
      <c r="T46" s="46">
        <f>IF(VLOOKUP($C46,REV!$C:$AA,18,0)-'TRADE IN'!$F46=0,"",(VLOOKUP($C46,REV!$C:$AA,18,0)-'TRADE IN'!$F46))</f>
        <v>5899</v>
      </c>
      <c r="U46" s="46">
        <f>IF(VLOOKUP($C46,REV!$C:$AA,19,0)-'TRADE IN'!$F46=0,"",(VLOOKUP($C46,REV!$C:$AA,19,0)-'TRADE IN'!$F46))</f>
        <v>5899</v>
      </c>
      <c r="V46" s="46">
        <f>IF(VLOOKUP($C46,REV!$C:$AA,20,0)-'TRADE IN'!$F46=0,"",(VLOOKUP($C46,REV!$C:$AA,20,0)-'TRADE IN'!$F46))</f>
        <v>5899</v>
      </c>
      <c r="W46" s="46">
        <f>IF(VLOOKUP($C46,REV!$C:$AA,21,0)-'TRADE IN'!$F46=0,"",(VLOOKUP($C46,REV!$C:$AA,21,0)-'TRADE IN'!$F46))</f>
        <v>5899</v>
      </c>
      <c r="X46" s="46">
        <f>IF(VLOOKUP($C46,REV!$C:$AA,22,0)-'TRADE IN'!$F46=0,"",(VLOOKUP($C46,REV!$C:$AA,22,0)-'TRADE IN'!$F46))</f>
        <v>5799</v>
      </c>
      <c r="Y46" s="46">
        <f>IF(VLOOKUP($C46,REV!$C:$AA,23,0)-'TRADE IN'!$F46=0,"",(VLOOKUP($C46,REV!$C:$AA,23,0)-'TRADE IN'!$F46))</f>
        <v>5399</v>
      </c>
      <c r="Z46" s="46">
        <f>IF(VLOOKUP($C46,REV!$C:$AA,24,0)-'TRADE IN'!$F46=0,"",(VLOOKUP($C46,REV!$C:$AA,24,0)-'TRADE IN'!$F46))</f>
        <v>5399</v>
      </c>
      <c r="AA46" s="46">
        <f>IF(VLOOKUP($C46,REV!$C:$AA,25,0)-'TRADE IN'!$F46=0,"",(VLOOKUP($C46,REV!$C:$AA,25,0)-'TRADE IN'!$F46))</f>
        <v>5399</v>
      </c>
      <c r="AB46" s="45"/>
      <c r="AC46" s="45"/>
      <c r="AD46" s="45"/>
      <c r="AE46" s="45"/>
      <c r="AF46" s="45"/>
      <c r="AG46" s="45"/>
      <c r="AH46" s="45"/>
      <c r="AI46" s="45"/>
      <c r="AJ46" s="45"/>
      <c r="AK46" s="45"/>
      <c r="AL46" s="45"/>
      <c r="AM46" s="45"/>
      <c r="AN46" s="45"/>
      <c r="AO46" s="45"/>
      <c r="AP46" s="45"/>
      <c r="AQ46" s="45"/>
      <c r="AR46" s="45"/>
      <c r="AS46" s="45"/>
      <c r="AT46" s="45"/>
      <c r="AU46" s="45"/>
      <c r="AV46" s="47"/>
      <c r="AW46" s="48" t="str">
        <f>REV!AW46</f>
        <v>13.08.2026</v>
      </c>
      <c r="AX46" s="149" t="s">
        <v>68</v>
      </c>
    </row>
    <row r="47" spans="1:50" ht="22.5" customHeight="1">
      <c r="A47" s="41" t="s">
        <v>63</v>
      </c>
      <c r="B47" s="42" t="s">
        <v>64</v>
      </c>
      <c r="C47" s="43">
        <v>4015767</v>
      </c>
      <c r="D47" s="44" t="s">
        <v>112</v>
      </c>
      <c r="E47" s="44" t="s">
        <v>115</v>
      </c>
      <c r="F47" s="45">
        <v>100</v>
      </c>
      <c r="G47" s="45"/>
      <c r="H47" s="46"/>
      <c r="I47" s="46"/>
      <c r="J47" s="46">
        <f>IF(VLOOKUP($C47,REV!$C:$AA,8,0)-'TRADE IN'!$F47=0,"",(VLOOKUP($C47,REV!$C:$AA,8,0)-'TRADE IN'!$F47))</f>
        <v>6299</v>
      </c>
      <c r="K47" s="46">
        <f>IF(VLOOKUP($C47,REV!$C:$AA,9,0)-'TRADE IN'!$F47=0,"",(VLOOKUP($C47,REV!$C:$AA,9,0)-'TRADE IN'!$F47))</f>
        <v>6299</v>
      </c>
      <c r="L47" s="46">
        <f>IF(VLOOKUP($C47,REV!$C:$AA,10,0)-'TRADE IN'!$F47=0,"",(VLOOKUP($C47,REV!$C:$AA,10,0)-'TRADE IN'!$F47))</f>
        <v>6299</v>
      </c>
      <c r="M47" s="46">
        <f>IF(VLOOKUP($C47,REV!$C:$AA,11,0)-'TRADE IN'!$F47=0,"",(VLOOKUP($C47,REV!$C:$AA,11,0)-'TRADE IN'!$F47))</f>
        <v>6299</v>
      </c>
      <c r="N47" s="46">
        <f>IF(VLOOKUP($C47,REV!$C:$AA,12,0)-'TRADE IN'!$F47=0,"",(VLOOKUP($C47,REV!$C:$AA,12,0)-'TRADE IN'!$F47))</f>
        <v>6299</v>
      </c>
      <c r="O47" s="46">
        <f>IF(VLOOKUP($C47,REV!$C:$AA,13,0)-'TRADE IN'!$F47=0,"",(VLOOKUP($C47,REV!$C:$AA,13,0)-'TRADE IN'!$F47))</f>
        <v>6199</v>
      </c>
      <c r="P47" s="46">
        <f>IF(VLOOKUP($C47,REV!$C:$AA,14,0)-'TRADE IN'!$F47=0,"",(VLOOKUP($C47,REV!$C:$AA,14,0)-'TRADE IN'!$F47))</f>
        <v>6099</v>
      </c>
      <c r="Q47" s="46">
        <f>IF(VLOOKUP($C47,REV!$C:$AA,15,0)-'TRADE IN'!$F47=0,"",(VLOOKUP($C47,REV!$C:$AA,15,0)-'TRADE IN'!$F47))</f>
        <v>5899</v>
      </c>
      <c r="R47" s="46">
        <f>IF(VLOOKUP($C47,REV!$C:$AA,16,0)-'TRADE IN'!$F47=0,"",(VLOOKUP($C47,REV!$C:$AA,16,0)-'TRADE IN'!$F47))</f>
        <v>6199</v>
      </c>
      <c r="S47" s="46">
        <f>IF(VLOOKUP($C47,REV!$C:$AA,17,0)-'TRADE IN'!$F47=0,"",(VLOOKUP($C47,REV!$C:$AA,17,0)-'TRADE IN'!$F47))</f>
        <v>6099</v>
      </c>
      <c r="T47" s="46">
        <f>IF(VLOOKUP($C47,REV!$C:$AA,18,0)-'TRADE IN'!$F47=0,"",(VLOOKUP($C47,REV!$C:$AA,18,0)-'TRADE IN'!$F47))</f>
        <v>5899</v>
      </c>
      <c r="U47" s="46">
        <f>IF(VLOOKUP($C47,REV!$C:$AA,19,0)-'TRADE IN'!$F47=0,"",(VLOOKUP($C47,REV!$C:$AA,19,0)-'TRADE IN'!$F47))</f>
        <v>5899</v>
      </c>
      <c r="V47" s="46">
        <f>IF(VLOOKUP($C47,REV!$C:$AA,20,0)-'TRADE IN'!$F47=0,"",(VLOOKUP($C47,REV!$C:$AA,20,0)-'TRADE IN'!$F47))</f>
        <v>5899</v>
      </c>
      <c r="W47" s="46">
        <f>IF(VLOOKUP($C47,REV!$C:$AA,21,0)-'TRADE IN'!$F47=0,"",(VLOOKUP($C47,REV!$C:$AA,21,0)-'TRADE IN'!$F47))</f>
        <v>5899</v>
      </c>
      <c r="X47" s="46">
        <f>IF(VLOOKUP($C47,REV!$C:$AA,22,0)-'TRADE IN'!$F47=0,"",(VLOOKUP($C47,REV!$C:$AA,22,0)-'TRADE IN'!$F47))</f>
        <v>5799</v>
      </c>
      <c r="Y47" s="46">
        <f>IF(VLOOKUP($C47,REV!$C:$AA,23,0)-'TRADE IN'!$F47=0,"",(VLOOKUP($C47,REV!$C:$AA,23,0)-'TRADE IN'!$F47))</f>
        <v>5399</v>
      </c>
      <c r="Z47" s="46">
        <f>IF(VLOOKUP($C47,REV!$C:$AA,24,0)-'TRADE IN'!$F47=0,"",(VLOOKUP($C47,REV!$C:$AA,24,0)-'TRADE IN'!$F47))</f>
        <v>5399</v>
      </c>
      <c r="AA47" s="46">
        <f>IF(VLOOKUP($C47,REV!$C:$AA,25,0)-'TRADE IN'!$F47=0,"",(VLOOKUP($C47,REV!$C:$AA,25,0)-'TRADE IN'!$F47))</f>
        <v>5399</v>
      </c>
      <c r="AB47" s="45"/>
      <c r="AC47" s="45"/>
      <c r="AD47" s="45"/>
      <c r="AE47" s="45"/>
      <c r="AF47" s="45"/>
      <c r="AG47" s="45"/>
      <c r="AH47" s="45"/>
      <c r="AI47" s="45"/>
      <c r="AJ47" s="45"/>
      <c r="AK47" s="45"/>
      <c r="AL47" s="45"/>
      <c r="AM47" s="45"/>
      <c r="AN47" s="45"/>
      <c r="AO47" s="45"/>
      <c r="AP47" s="45"/>
      <c r="AQ47" s="45"/>
      <c r="AR47" s="45"/>
      <c r="AS47" s="45"/>
      <c r="AT47" s="45"/>
      <c r="AU47" s="45"/>
      <c r="AV47" s="47"/>
      <c r="AW47" s="48" t="str">
        <f>REV!AW47</f>
        <v>13.08.2026</v>
      </c>
      <c r="AX47" s="149" t="s">
        <v>68</v>
      </c>
    </row>
    <row r="48" spans="1:50" ht="22.5" customHeight="1">
      <c r="A48" s="41" t="s">
        <v>63</v>
      </c>
      <c r="B48" s="42" t="s">
        <v>64</v>
      </c>
      <c r="C48" s="43">
        <v>4015782</v>
      </c>
      <c r="D48" s="44" t="s">
        <v>112</v>
      </c>
      <c r="E48" s="44" t="s">
        <v>116</v>
      </c>
      <c r="F48" s="45">
        <v>100</v>
      </c>
      <c r="G48" s="45"/>
      <c r="H48" s="46"/>
      <c r="I48" s="46"/>
      <c r="J48" s="46">
        <f>IF(VLOOKUP($C48,REV!$C:$AA,8,0)-'TRADE IN'!$F48=0,"",(VLOOKUP($C48,REV!$C:$AA,8,0)-'TRADE IN'!$F48))</f>
        <v>6299</v>
      </c>
      <c r="K48" s="46">
        <f>IF(VLOOKUP($C48,REV!$C:$AA,9,0)-'TRADE IN'!$F48=0,"",(VLOOKUP($C48,REV!$C:$AA,9,0)-'TRADE IN'!$F48))</f>
        <v>6299</v>
      </c>
      <c r="L48" s="46">
        <f>IF(VLOOKUP($C48,REV!$C:$AA,10,0)-'TRADE IN'!$F48=0,"",(VLOOKUP($C48,REV!$C:$AA,10,0)-'TRADE IN'!$F48))</f>
        <v>6299</v>
      </c>
      <c r="M48" s="46">
        <f>IF(VLOOKUP($C48,REV!$C:$AA,11,0)-'TRADE IN'!$F48=0,"",(VLOOKUP($C48,REV!$C:$AA,11,0)-'TRADE IN'!$F48))</f>
        <v>6299</v>
      </c>
      <c r="N48" s="46">
        <f>IF(VLOOKUP($C48,REV!$C:$AA,12,0)-'TRADE IN'!$F48=0,"",(VLOOKUP($C48,REV!$C:$AA,12,0)-'TRADE IN'!$F48))</f>
        <v>6299</v>
      </c>
      <c r="O48" s="46">
        <f>IF(VLOOKUP($C48,REV!$C:$AA,13,0)-'TRADE IN'!$F48=0,"",(VLOOKUP($C48,REV!$C:$AA,13,0)-'TRADE IN'!$F48))</f>
        <v>6199</v>
      </c>
      <c r="P48" s="46">
        <f>IF(VLOOKUP($C48,REV!$C:$AA,14,0)-'TRADE IN'!$F48=0,"",(VLOOKUP($C48,REV!$C:$AA,14,0)-'TRADE IN'!$F48))</f>
        <v>6099</v>
      </c>
      <c r="Q48" s="46">
        <f>IF(VLOOKUP($C48,REV!$C:$AA,15,0)-'TRADE IN'!$F48=0,"",(VLOOKUP($C48,REV!$C:$AA,15,0)-'TRADE IN'!$F48))</f>
        <v>5899</v>
      </c>
      <c r="R48" s="46">
        <f>IF(VLOOKUP($C48,REV!$C:$AA,16,0)-'TRADE IN'!$F48=0,"",(VLOOKUP($C48,REV!$C:$AA,16,0)-'TRADE IN'!$F48))</f>
        <v>6199</v>
      </c>
      <c r="S48" s="46">
        <f>IF(VLOOKUP($C48,REV!$C:$AA,17,0)-'TRADE IN'!$F48=0,"",(VLOOKUP($C48,REV!$C:$AA,17,0)-'TRADE IN'!$F48))</f>
        <v>6099</v>
      </c>
      <c r="T48" s="46">
        <f>IF(VLOOKUP($C48,REV!$C:$AA,18,0)-'TRADE IN'!$F48=0,"",(VLOOKUP($C48,REV!$C:$AA,18,0)-'TRADE IN'!$F48))</f>
        <v>5899</v>
      </c>
      <c r="U48" s="46">
        <f>IF(VLOOKUP($C48,REV!$C:$AA,19,0)-'TRADE IN'!$F48=0,"",(VLOOKUP($C48,REV!$C:$AA,19,0)-'TRADE IN'!$F48))</f>
        <v>5899</v>
      </c>
      <c r="V48" s="46">
        <f>IF(VLOOKUP($C48,REV!$C:$AA,20,0)-'TRADE IN'!$F48=0,"",(VLOOKUP($C48,REV!$C:$AA,20,0)-'TRADE IN'!$F48))</f>
        <v>5899</v>
      </c>
      <c r="W48" s="46">
        <f>IF(VLOOKUP($C48,REV!$C:$AA,21,0)-'TRADE IN'!$F48=0,"",(VLOOKUP($C48,REV!$C:$AA,21,0)-'TRADE IN'!$F48))</f>
        <v>5899</v>
      </c>
      <c r="X48" s="46">
        <f>IF(VLOOKUP($C48,REV!$C:$AA,22,0)-'TRADE IN'!$F48=0,"",(VLOOKUP($C48,REV!$C:$AA,22,0)-'TRADE IN'!$F48))</f>
        <v>5799</v>
      </c>
      <c r="Y48" s="46">
        <f>IF(VLOOKUP($C48,REV!$C:$AA,23,0)-'TRADE IN'!$F48=0,"",(VLOOKUP($C48,REV!$C:$AA,23,0)-'TRADE IN'!$F48))</f>
        <v>5399</v>
      </c>
      <c r="Z48" s="46">
        <f>IF(VLOOKUP($C48,REV!$C:$AA,24,0)-'TRADE IN'!$F48=0,"",(VLOOKUP($C48,REV!$C:$AA,24,0)-'TRADE IN'!$F48))</f>
        <v>5399</v>
      </c>
      <c r="AA48" s="46">
        <f>IF(VLOOKUP($C48,REV!$C:$AA,25,0)-'TRADE IN'!$F48=0,"",(VLOOKUP($C48,REV!$C:$AA,25,0)-'TRADE IN'!$F48))</f>
        <v>5399</v>
      </c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  <c r="AM48" s="45"/>
      <c r="AN48" s="45"/>
      <c r="AO48" s="45"/>
      <c r="AP48" s="45"/>
      <c r="AQ48" s="45"/>
      <c r="AR48" s="45"/>
      <c r="AS48" s="45"/>
      <c r="AT48" s="45"/>
      <c r="AU48" s="45"/>
      <c r="AV48" s="47"/>
      <c r="AW48" s="48" t="str">
        <f>REV!AW48</f>
        <v>13.08.2026</v>
      </c>
      <c r="AX48" s="149" t="s">
        <v>68</v>
      </c>
    </row>
    <row r="49" spans="1:50" ht="22.5" customHeight="1">
      <c r="A49" s="41" t="s">
        <v>63</v>
      </c>
      <c r="B49" s="42" t="s">
        <v>64</v>
      </c>
      <c r="C49" s="43">
        <v>4015749</v>
      </c>
      <c r="D49" s="44" t="s">
        <v>117</v>
      </c>
      <c r="E49" s="44" t="s">
        <v>118</v>
      </c>
      <c r="F49" s="45">
        <v>100</v>
      </c>
      <c r="G49" s="45"/>
      <c r="H49" s="46"/>
      <c r="I49" s="46"/>
      <c r="J49" s="46">
        <f>IF(VLOOKUP($C49,REV!$C:$AA,8,0)-'TRADE IN'!$F49=0,"",(VLOOKUP($C49,REV!$C:$AA,8,0)-'TRADE IN'!$F49))</f>
        <v>6799</v>
      </c>
      <c r="K49" s="46">
        <f>IF(VLOOKUP($C49,REV!$C:$AA,9,0)-'TRADE IN'!$F49=0,"",(VLOOKUP($C49,REV!$C:$AA,9,0)-'TRADE IN'!$F49))</f>
        <v>6799</v>
      </c>
      <c r="L49" s="46">
        <f>IF(VLOOKUP($C49,REV!$C:$AA,10,0)-'TRADE IN'!$F49=0,"",(VLOOKUP($C49,REV!$C:$AA,10,0)-'TRADE IN'!$F49))</f>
        <v>6799</v>
      </c>
      <c r="M49" s="46">
        <f>IF(VLOOKUP($C49,REV!$C:$AA,11,0)-'TRADE IN'!$F49=0,"",(VLOOKUP($C49,REV!$C:$AA,11,0)-'TRADE IN'!$F49))</f>
        <v>6799</v>
      </c>
      <c r="N49" s="46">
        <f>IF(VLOOKUP($C49,REV!$C:$AA,12,0)-'TRADE IN'!$F49=0,"",(VLOOKUP($C49,REV!$C:$AA,12,0)-'TRADE IN'!$F49))</f>
        <v>6799</v>
      </c>
      <c r="O49" s="46">
        <f>IF(VLOOKUP($C49,REV!$C:$AA,13,0)-'TRADE IN'!$F49=0,"",(VLOOKUP($C49,REV!$C:$AA,13,0)-'TRADE IN'!$F49))</f>
        <v>6699</v>
      </c>
      <c r="P49" s="46">
        <f>IF(VLOOKUP($C49,REV!$C:$AA,14,0)-'TRADE IN'!$F49=0,"",(VLOOKUP($C49,REV!$C:$AA,14,0)-'TRADE IN'!$F49))</f>
        <v>6599</v>
      </c>
      <c r="Q49" s="46">
        <f>IF(VLOOKUP($C49,REV!$C:$AA,15,0)-'TRADE IN'!$F49=0,"",(VLOOKUP($C49,REV!$C:$AA,15,0)-'TRADE IN'!$F49))</f>
        <v>6399</v>
      </c>
      <c r="R49" s="46">
        <f>IF(VLOOKUP($C49,REV!$C:$AA,16,0)-'TRADE IN'!$F49=0,"",(VLOOKUP($C49,REV!$C:$AA,16,0)-'TRADE IN'!$F49))</f>
        <v>6699</v>
      </c>
      <c r="S49" s="46">
        <f>IF(VLOOKUP($C49,REV!$C:$AA,17,0)-'TRADE IN'!$F49=0,"",(VLOOKUP($C49,REV!$C:$AA,17,0)-'TRADE IN'!$F49))</f>
        <v>6599</v>
      </c>
      <c r="T49" s="46">
        <f>IF(VLOOKUP($C49,REV!$C:$AA,18,0)-'TRADE IN'!$F49=0,"",(VLOOKUP($C49,REV!$C:$AA,18,0)-'TRADE IN'!$F49))</f>
        <v>6399</v>
      </c>
      <c r="U49" s="46">
        <f>IF(VLOOKUP($C49,REV!$C:$AA,19,0)-'TRADE IN'!$F49=0,"",(VLOOKUP($C49,REV!$C:$AA,19,0)-'TRADE IN'!$F49))</f>
        <v>6399</v>
      </c>
      <c r="V49" s="46">
        <f>IF(VLOOKUP($C49,REV!$C:$AA,20,0)-'TRADE IN'!$F49=0,"",(VLOOKUP($C49,REV!$C:$AA,20,0)-'TRADE IN'!$F49))</f>
        <v>6399</v>
      </c>
      <c r="W49" s="46">
        <f>IF(VLOOKUP($C49,REV!$C:$AA,21,0)-'TRADE IN'!$F49=0,"",(VLOOKUP($C49,REV!$C:$AA,21,0)-'TRADE IN'!$F49))</f>
        <v>6399</v>
      </c>
      <c r="X49" s="46">
        <f>IF(VLOOKUP($C49,REV!$C:$AA,22,0)-'TRADE IN'!$F49=0,"",(VLOOKUP($C49,REV!$C:$AA,22,0)-'TRADE IN'!$F49))</f>
        <v>6299</v>
      </c>
      <c r="Y49" s="46">
        <f>IF(VLOOKUP($C49,REV!$C:$AA,23,0)-'TRADE IN'!$F49=0,"",(VLOOKUP($C49,REV!$C:$AA,23,0)-'TRADE IN'!$F49))</f>
        <v>5899</v>
      </c>
      <c r="Z49" s="46">
        <f>IF(VLOOKUP($C49,REV!$C:$AA,24,0)-'TRADE IN'!$F49=0,"",(VLOOKUP($C49,REV!$C:$AA,24,0)-'TRADE IN'!$F49))</f>
        <v>5899</v>
      </c>
      <c r="AA49" s="46">
        <f>IF(VLOOKUP($C49,REV!$C:$AA,25,0)-'TRADE IN'!$F49=0,"",(VLOOKUP($C49,REV!$C:$AA,25,0)-'TRADE IN'!$F49))</f>
        <v>5899</v>
      </c>
      <c r="AB49" s="45"/>
      <c r="AC49" s="45"/>
      <c r="AD49" s="45"/>
      <c r="AE49" s="45"/>
      <c r="AF49" s="45"/>
      <c r="AG49" s="45"/>
      <c r="AH49" s="45"/>
      <c r="AI49" s="45"/>
      <c r="AJ49" s="45"/>
      <c r="AK49" s="45"/>
      <c r="AL49" s="45"/>
      <c r="AM49" s="45"/>
      <c r="AN49" s="45"/>
      <c r="AO49" s="45"/>
      <c r="AP49" s="45"/>
      <c r="AQ49" s="45"/>
      <c r="AR49" s="45"/>
      <c r="AS49" s="45"/>
      <c r="AT49" s="45"/>
      <c r="AU49" s="45"/>
      <c r="AV49" s="47"/>
      <c r="AW49" s="48" t="str">
        <f>REV!AW49</f>
        <v>13.08.2026</v>
      </c>
      <c r="AX49" s="149" t="s">
        <v>68</v>
      </c>
    </row>
    <row r="50" spans="1:50" ht="22.5" customHeight="1">
      <c r="A50" s="41" t="s">
        <v>63</v>
      </c>
      <c r="B50" s="42" t="s">
        <v>64</v>
      </c>
      <c r="C50" s="43">
        <v>4015797</v>
      </c>
      <c r="D50" s="44" t="s">
        <v>117</v>
      </c>
      <c r="E50" s="44" t="s">
        <v>119</v>
      </c>
      <c r="F50" s="45">
        <v>100</v>
      </c>
      <c r="G50" s="45"/>
      <c r="H50" s="46"/>
      <c r="I50" s="46"/>
      <c r="J50" s="46">
        <f>IF(VLOOKUP($C50,REV!$C:$AA,8,0)-'TRADE IN'!$F50=0,"",(VLOOKUP($C50,REV!$C:$AA,8,0)-'TRADE IN'!$F50))</f>
        <v>6799</v>
      </c>
      <c r="K50" s="46">
        <f>IF(VLOOKUP($C50,REV!$C:$AA,9,0)-'TRADE IN'!$F50=0,"",(VLOOKUP($C50,REV!$C:$AA,9,0)-'TRADE IN'!$F50))</f>
        <v>6799</v>
      </c>
      <c r="L50" s="46">
        <f>IF(VLOOKUP($C50,REV!$C:$AA,10,0)-'TRADE IN'!$F50=0,"",(VLOOKUP($C50,REV!$C:$AA,10,0)-'TRADE IN'!$F50))</f>
        <v>6799</v>
      </c>
      <c r="M50" s="46">
        <f>IF(VLOOKUP($C50,REV!$C:$AA,11,0)-'TRADE IN'!$F50=0,"",(VLOOKUP($C50,REV!$C:$AA,11,0)-'TRADE IN'!$F50))</f>
        <v>6799</v>
      </c>
      <c r="N50" s="46">
        <f>IF(VLOOKUP($C50,REV!$C:$AA,12,0)-'TRADE IN'!$F50=0,"",(VLOOKUP($C50,REV!$C:$AA,12,0)-'TRADE IN'!$F50))</f>
        <v>6799</v>
      </c>
      <c r="O50" s="46">
        <f>IF(VLOOKUP($C50,REV!$C:$AA,13,0)-'TRADE IN'!$F50=0,"",(VLOOKUP($C50,REV!$C:$AA,13,0)-'TRADE IN'!$F50))</f>
        <v>6699</v>
      </c>
      <c r="P50" s="46">
        <f>IF(VLOOKUP($C50,REV!$C:$AA,14,0)-'TRADE IN'!$F50=0,"",(VLOOKUP($C50,REV!$C:$AA,14,0)-'TRADE IN'!$F50))</f>
        <v>6599</v>
      </c>
      <c r="Q50" s="46">
        <f>IF(VLOOKUP($C50,REV!$C:$AA,15,0)-'TRADE IN'!$F50=0,"",(VLOOKUP($C50,REV!$C:$AA,15,0)-'TRADE IN'!$F50))</f>
        <v>6399</v>
      </c>
      <c r="R50" s="46">
        <f>IF(VLOOKUP($C50,REV!$C:$AA,16,0)-'TRADE IN'!$F50=0,"",(VLOOKUP($C50,REV!$C:$AA,16,0)-'TRADE IN'!$F50))</f>
        <v>6699</v>
      </c>
      <c r="S50" s="46">
        <f>IF(VLOOKUP($C50,REV!$C:$AA,17,0)-'TRADE IN'!$F50=0,"",(VLOOKUP($C50,REV!$C:$AA,17,0)-'TRADE IN'!$F50))</f>
        <v>6599</v>
      </c>
      <c r="T50" s="46">
        <f>IF(VLOOKUP($C50,REV!$C:$AA,18,0)-'TRADE IN'!$F50=0,"",(VLOOKUP($C50,REV!$C:$AA,18,0)-'TRADE IN'!$F50))</f>
        <v>6399</v>
      </c>
      <c r="U50" s="46">
        <f>IF(VLOOKUP($C50,REV!$C:$AA,19,0)-'TRADE IN'!$F50=0,"",(VLOOKUP($C50,REV!$C:$AA,19,0)-'TRADE IN'!$F50))</f>
        <v>6399</v>
      </c>
      <c r="V50" s="46">
        <f>IF(VLOOKUP($C50,REV!$C:$AA,20,0)-'TRADE IN'!$F50=0,"",(VLOOKUP($C50,REV!$C:$AA,20,0)-'TRADE IN'!$F50))</f>
        <v>6399</v>
      </c>
      <c r="W50" s="46">
        <f>IF(VLOOKUP($C50,REV!$C:$AA,21,0)-'TRADE IN'!$F50=0,"",(VLOOKUP($C50,REV!$C:$AA,21,0)-'TRADE IN'!$F50))</f>
        <v>6399</v>
      </c>
      <c r="X50" s="46">
        <f>IF(VLOOKUP($C50,REV!$C:$AA,22,0)-'TRADE IN'!$F50=0,"",(VLOOKUP($C50,REV!$C:$AA,22,0)-'TRADE IN'!$F50))</f>
        <v>6299</v>
      </c>
      <c r="Y50" s="46">
        <f>IF(VLOOKUP($C50,REV!$C:$AA,23,0)-'TRADE IN'!$F50=0,"",(VLOOKUP($C50,REV!$C:$AA,23,0)-'TRADE IN'!$F50))</f>
        <v>5899</v>
      </c>
      <c r="Z50" s="46">
        <f>IF(VLOOKUP($C50,REV!$C:$AA,24,0)-'TRADE IN'!$F50=0,"",(VLOOKUP($C50,REV!$C:$AA,24,0)-'TRADE IN'!$F50))</f>
        <v>5899</v>
      </c>
      <c r="AA50" s="46">
        <f>IF(VLOOKUP($C50,REV!$C:$AA,25,0)-'TRADE IN'!$F50=0,"",(VLOOKUP($C50,REV!$C:$AA,25,0)-'TRADE IN'!$F50))</f>
        <v>5899</v>
      </c>
      <c r="AB50" s="45"/>
      <c r="AC50" s="45"/>
      <c r="AD50" s="45"/>
      <c r="AE50" s="45"/>
      <c r="AF50" s="45"/>
      <c r="AG50" s="45"/>
      <c r="AH50" s="45"/>
      <c r="AI50" s="45"/>
      <c r="AJ50" s="45"/>
      <c r="AK50" s="45"/>
      <c r="AL50" s="45"/>
      <c r="AM50" s="45"/>
      <c r="AN50" s="45"/>
      <c r="AO50" s="45"/>
      <c r="AP50" s="45"/>
      <c r="AQ50" s="45"/>
      <c r="AR50" s="45"/>
      <c r="AS50" s="45"/>
      <c r="AT50" s="45"/>
      <c r="AU50" s="45"/>
      <c r="AV50" s="47"/>
      <c r="AW50" s="48" t="str">
        <f>REV!AW50</f>
        <v>13.08.2026</v>
      </c>
      <c r="AX50" s="149" t="s">
        <v>68</v>
      </c>
    </row>
    <row r="51" spans="1:50" ht="22.5" customHeight="1">
      <c r="A51" s="41" t="s">
        <v>63</v>
      </c>
      <c r="B51" s="42" t="s">
        <v>64</v>
      </c>
      <c r="C51" s="43">
        <v>4015769</v>
      </c>
      <c r="D51" s="44" t="s">
        <v>117</v>
      </c>
      <c r="E51" s="44" t="s">
        <v>120</v>
      </c>
      <c r="F51" s="45">
        <v>100</v>
      </c>
      <c r="G51" s="45"/>
      <c r="H51" s="46"/>
      <c r="I51" s="46"/>
      <c r="J51" s="46">
        <f>IF(VLOOKUP($C51,REV!$C:$AA,8,0)-'TRADE IN'!$F51=0,"",(VLOOKUP($C51,REV!$C:$AA,8,0)-'TRADE IN'!$F51))</f>
        <v>6799</v>
      </c>
      <c r="K51" s="46">
        <f>IF(VLOOKUP($C51,REV!$C:$AA,9,0)-'TRADE IN'!$F51=0,"",(VLOOKUP($C51,REV!$C:$AA,9,0)-'TRADE IN'!$F51))</f>
        <v>6799</v>
      </c>
      <c r="L51" s="46">
        <f>IF(VLOOKUP($C51,REV!$C:$AA,10,0)-'TRADE IN'!$F51=0,"",(VLOOKUP($C51,REV!$C:$AA,10,0)-'TRADE IN'!$F51))</f>
        <v>6799</v>
      </c>
      <c r="M51" s="46">
        <f>IF(VLOOKUP($C51,REV!$C:$AA,11,0)-'TRADE IN'!$F51=0,"",(VLOOKUP($C51,REV!$C:$AA,11,0)-'TRADE IN'!$F51))</f>
        <v>6799</v>
      </c>
      <c r="N51" s="46">
        <f>IF(VLOOKUP($C51,REV!$C:$AA,12,0)-'TRADE IN'!$F51=0,"",(VLOOKUP($C51,REV!$C:$AA,12,0)-'TRADE IN'!$F51))</f>
        <v>6799</v>
      </c>
      <c r="O51" s="46">
        <f>IF(VLOOKUP($C51,REV!$C:$AA,13,0)-'TRADE IN'!$F51=0,"",(VLOOKUP($C51,REV!$C:$AA,13,0)-'TRADE IN'!$F51))</f>
        <v>6699</v>
      </c>
      <c r="P51" s="46">
        <f>IF(VLOOKUP($C51,REV!$C:$AA,14,0)-'TRADE IN'!$F51=0,"",(VLOOKUP($C51,REV!$C:$AA,14,0)-'TRADE IN'!$F51))</f>
        <v>6599</v>
      </c>
      <c r="Q51" s="46">
        <f>IF(VLOOKUP($C51,REV!$C:$AA,15,0)-'TRADE IN'!$F51=0,"",(VLOOKUP($C51,REV!$C:$AA,15,0)-'TRADE IN'!$F51))</f>
        <v>6399</v>
      </c>
      <c r="R51" s="46">
        <f>IF(VLOOKUP($C51,REV!$C:$AA,16,0)-'TRADE IN'!$F51=0,"",(VLOOKUP($C51,REV!$C:$AA,16,0)-'TRADE IN'!$F51))</f>
        <v>6699</v>
      </c>
      <c r="S51" s="46">
        <f>IF(VLOOKUP($C51,REV!$C:$AA,17,0)-'TRADE IN'!$F51=0,"",(VLOOKUP($C51,REV!$C:$AA,17,0)-'TRADE IN'!$F51))</f>
        <v>6599</v>
      </c>
      <c r="T51" s="46">
        <f>IF(VLOOKUP($C51,REV!$C:$AA,18,0)-'TRADE IN'!$F51=0,"",(VLOOKUP($C51,REV!$C:$AA,18,0)-'TRADE IN'!$F51))</f>
        <v>6399</v>
      </c>
      <c r="U51" s="46">
        <f>IF(VLOOKUP($C51,REV!$C:$AA,19,0)-'TRADE IN'!$F51=0,"",(VLOOKUP($C51,REV!$C:$AA,19,0)-'TRADE IN'!$F51))</f>
        <v>6399</v>
      </c>
      <c r="V51" s="46">
        <f>IF(VLOOKUP($C51,REV!$C:$AA,20,0)-'TRADE IN'!$F51=0,"",(VLOOKUP($C51,REV!$C:$AA,20,0)-'TRADE IN'!$F51))</f>
        <v>6399</v>
      </c>
      <c r="W51" s="46">
        <f>IF(VLOOKUP($C51,REV!$C:$AA,21,0)-'TRADE IN'!$F51=0,"",(VLOOKUP($C51,REV!$C:$AA,21,0)-'TRADE IN'!$F51))</f>
        <v>6399</v>
      </c>
      <c r="X51" s="46">
        <f>IF(VLOOKUP($C51,REV!$C:$AA,22,0)-'TRADE IN'!$F51=0,"",(VLOOKUP($C51,REV!$C:$AA,22,0)-'TRADE IN'!$F51))</f>
        <v>6299</v>
      </c>
      <c r="Y51" s="46">
        <f>IF(VLOOKUP($C51,REV!$C:$AA,23,0)-'TRADE IN'!$F51=0,"",(VLOOKUP($C51,REV!$C:$AA,23,0)-'TRADE IN'!$F51))</f>
        <v>5899</v>
      </c>
      <c r="Z51" s="46">
        <f>IF(VLOOKUP($C51,REV!$C:$AA,24,0)-'TRADE IN'!$F51=0,"",(VLOOKUP($C51,REV!$C:$AA,24,0)-'TRADE IN'!$F51))</f>
        <v>5899</v>
      </c>
      <c r="AA51" s="46">
        <f>IF(VLOOKUP($C51,REV!$C:$AA,25,0)-'TRADE IN'!$F51=0,"",(VLOOKUP($C51,REV!$C:$AA,25,0)-'TRADE IN'!$F51))</f>
        <v>5899</v>
      </c>
      <c r="AB51" s="45"/>
      <c r="AC51" s="45"/>
      <c r="AD51" s="45"/>
      <c r="AE51" s="45"/>
      <c r="AF51" s="45"/>
      <c r="AG51" s="45"/>
      <c r="AH51" s="45"/>
      <c r="AI51" s="45"/>
      <c r="AJ51" s="45"/>
      <c r="AK51" s="45"/>
      <c r="AL51" s="45"/>
      <c r="AM51" s="45"/>
      <c r="AN51" s="45"/>
      <c r="AO51" s="45"/>
      <c r="AP51" s="45"/>
      <c r="AQ51" s="45"/>
      <c r="AR51" s="45"/>
      <c r="AS51" s="45"/>
      <c r="AT51" s="45"/>
      <c r="AU51" s="45"/>
      <c r="AV51" s="47"/>
      <c r="AW51" s="48" t="str">
        <f>REV!AW51</f>
        <v>13.08.2026</v>
      </c>
      <c r="AX51" s="149" t="s">
        <v>68</v>
      </c>
    </row>
    <row r="52" spans="1:50" ht="22.5" customHeight="1">
      <c r="A52" s="41" t="s">
        <v>63</v>
      </c>
      <c r="B52" s="42" t="s">
        <v>64</v>
      </c>
      <c r="C52" s="43">
        <v>4015784</v>
      </c>
      <c r="D52" s="44" t="s">
        <v>117</v>
      </c>
      <c r="E52" s="44" t="s">
        <v>121</v>
      </c>
      <c r="F52" s="45">
        <v>100</v>
      </c>
      <c r="G52" s="45"/>
      <c r="H52" s="46"/>
      <c r="I52" s="46"/>
      <c r="J52" s="46">
        <f>IF(VLOOKUP($C52,REV!$C:$AA,8,0)-'TRADE IN'!$F52=0,"",(VLOOKUP($C52,REV!$C:$AA,8,0)-'TRADE IN'!$F52))</f>
        <v>6799</v>
      </c>
      <c r="K52" s="46">
        <f>IF(VLOOKUP($C52,REV!$C:$AA,9,0)-'TRADE IN'!$F52=0,"",(VLOOKUP($C52,REV!$C:$AA,9,0)-'TRADE IN'!$F52))</f>
        <v>6799</v>
      </c>
      <c r="L52" s="46">
        <f>IF(VLOOKUP($C52,REV!$C:$AA,10,0)-'TRADE IN'!$F52=0,"",(VLOOKUP($C52,REV!$C:$AA,10,0)-'TRADE IN'!$F52))</f>
        <v>6799</v>
      </c>
      <c r="M52" s="46">
        <f>IF(VLOOKUP($C52,REV!$C:$AA,11,0)-'TRADE IN'!$F52=0,"",(VLOOKUP($C52,REV!$C:$AA,11,0)-'TRADE IN'!$F52))</f>
        <v>6799</v>
      </c>
      <c r="N52" s="46">
        <f>IF(VLOOKUP($C52,REV!$C:$AA,12,0)-'TRADE IN'!$F52=0,"",(VLOOKUP($C52,REV!$C:$AA,12,0)-'TRADE IN'!$F52))</f>
        <v>6799</v>
      </c>
      <c r="O52" s="46">
        <f>IF(VLOOKUP($C52,REV!$C:$AA,13,0)-'TRADE IN'!$F52=0,"",(VLOOKUP($C52,REV!$C:$AA,13,0)-'TRADE IN'!$F52))</f>
        <v>6699</v>
      </c>
      <c r="P52" s="46">
        <f>IF(VLOOKUP($C52,REV!$C:$AA,14,0)-'TRADE IN'!$F52=0,"",(VLOOKUP($C52,REV!$C:$AA,14,0)-'TRADE IN'!$F52))</f>
        <v>6599</v>
      </c>
      <c r="Q52" s="46">
        <f>IF(VLOOKUP($C52,REV!$C:$AA,15,0)-'TRADE IN'!$F52=0,"",(VLOOKUP($C52,REV!$C:$AA,15,0)-'TRADE IN'!$F52))</f>
        <v>6399</v>
      </c>
      <c r="R52" s="46">
        <f>IF(VLOOKUP($C52,REV!$C:$AA,16,0)-'TRADE IN'!$F52=0,"",(VLOOKUP($C52,REV!$C:$AA,16,0)-'TRADE IN'!$F52))</f>
        <v>6699</v>
      </c>
      <c r="S52" s="46">
        <f>IF(VLOOKUP($C52,REV!$C:$AA,17,0)-'TRADE IN'!$F52=0,"",(VLOOKUP($C52,REV!$C:$AA,17,0)-'TRADE IN'!$F52))</f>
        <v>6599</v>
      </c>
      <c r="T52" s="46">
        <f>IF(VLOOKUP($C52,REV!$C:$AA,18,0)-'TRADE IN'!$F52=0,"",(VLOOKUP($C52,REV!$C:$AA,18,0)-'TRADE IN'!$F52))</f>
        <v>6399</v>
      </c>
      <c r="U52" s="46">
        <f>IF(VLOOKUP($C52,REV!$C:$AA,19,0)-'TRADE IN'!$F52=0,"",(VLOOKUP($C52,REV!$C:$AA,19,0)-'TRADE IN'!$F52))</f>
        <v>6399</v>
      </c>
      <c r="V52" s="46">
        <f>IF(VLOOKUP($C52,REV!$C:$AA,20,0)-'TRADE IN'!$F52=0,"",(VLOOKUP($C52,REV!$C:$AA,20,0)-'TRADE IN'!$F52))</f>
        <v>6399</v>
      </c>
      <c r="W52" s="46">
        <f>IF(VLOOKUP($C52,REV!$C:$AA,21,0)-'TRADE IN'!$F52=0,"",(VLOOKUP($C52,REV!$C:$AA,21,0)-'TRADE IN'!$F52))</f>
        <v>6399</v>
      </c>
      <c r="X52" s="46">
        <f>IF(VLOOKUP($C52,REV!$C:$AA,22,0)-'TRADE IN'!$F52=0,"",(VLOOKUP($C52,REV!$C:$AA,22,0)-'TRADE IN'!$F52))</f>
        <v>6299</v>
      </c>
      <c r="Y52" s="46">
        <f>IF(VLOOKUP($C52,REV!$C:$AA,23,0)-'TRADE IN'!$F52=0,"",(VLOOKUP($C52,REV!$C:$AA,23,0)-'TRADE IN'!$F52))</f>
        <v>5899</v>
      </c>
      <c r="Z52" s="46">
        <f>IF(VLOOKUP($C52,REV!$C:$AA,24,0)-'TRADE IN'!$F52=0,"",(VLOOKUP($C52,REV!$C:$AA,24,0)-'TRADE IN'!$F52))</f>
        <v>5899</v>
      </c>
      <c r="AA52" s="46">
        <f>IF(VLOOKUP($C52,REV!$C:$AA,25,0)-'TRADE IN'!$F52=0,"",(VLOOKUP($C52,REV!$C:$AA,25,0)-'TRADE IN'!$F52))</f>
        <v>5899</v>
      </c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  <c r="AN52" s="45"/>
      <c r="AO52" s="45"/>
      <c r="AP52" s="45"/>
      <c r="AQ52" s="45"/>
      <c r="AR52" s="45"/>
      <c r="AS52" s="45"/>
      <c r="AT52" s="45"/>
      <c r="AU52" s="45"/>
      <c r="AV52" s="47"/>
      <c r="AW52" s="48" t="str">
        <f>REV!AW52</f>
        <v>13.08.2026</v>
      </c>
      <c r="AX52" s="149" t="s">
        <v>68</v>
      </c>
    </row>
    <row r="53" spans="1:50" ht="22.5" customHeight="1">
      <c r="A53" s="41" t="s">
        <v>63</v>
      </c>
      <c r="B53" s="42" t="s">
        <v>64</v>
      </c>
      <c r="C53" s="43">
        <v>4015762</v>
      </c>
      <c r="D53" s="44" t="s">
        <v>122</v>
      </c>
      <c r="E53" s="44" t="s">
        <v>123</v>
      </c>
      <c r="F53" s="45">
        <v>100</v>
      </c>
      <c r="G53" s="45"/>
      <c r="H53" s="46"/>
      <c r="I53" s="46"/>
      <c r="J53" s="46">
        <f>IF(VLOOKUP($C53,REV!$C:$AA,8,0)-'TRADE IN'!$F53=0,"",(VLOOKUP($C53,REV!$C:$AA,8,0)-'TRADE IN'!$F53))</f>
        <v>7299</v>
      </c>
      <c r="K53" s="46">
        <f>IF(VLOOKUP($C53,REV!$C:$AA,9,0)-'TRADE IN'!$F53=0,"",(VLOOKUP($C53,REV!$C:$AA,9,0)-'TRADE IN'!$F53))</f>
        <v>7299</v>
      </c>
      <c r="L53" s="46">
        <f>IF(VLOOKUP($C53,REV!$C:$AA,10,0)-'TRADE IN'!$F53=0,"",(VLOOKUP($C53,REV!$C:$AA,10,0)-'TRADE IN'!$F53))</f>
        <v>7299</v>
      </c>
      <c r="M53" s="46">
        <f>IF(VLOOKUP($C53,REV!$C:$AA,11,0)-'TRADE IN'!$F53=0,"",(VLOOKUP($C53,REV!$C:$AA,11,0)-'TRADE IN'!$F53))</f>
        <v>7299</v>
      </c>
      <c r="N53" s="46">
        <f>IF(VLOOKUP($C53,REV!$C:$AA,12,0)-'TRADE IN'!$F53=0,"",(VLOOKUP($C53,REV!$C:$AA,12,0)-'TRADE IN'!$F53))</f>
        <v>7299</v>
      </c>
      <c r="O53" s="46">
        <f>IF(VLOOKUP($C53,REV!$C:$AA,13,0)-'TRADE IN'!$F53=0,"",(VLOOKUP($C53,REV!$C:$AA,13,0)-'TRADE IN'!$F53))</f>
        <v>7199</v>
      </c>
      <c r="P53" s="46">
        <f>IF(VLOOKUP($C53,REV!$C:$AA,14,0)-'TRADE IN'!$F53=0,"",(VLOOKUP($C53,REV!$C:$AA,14,0)-'TRADE IN'!$F53))</f>
        <v>7099</v>
      </c>
      <c r="Q53" s="46">
        <f>IF(VLOOKUP($C53,REV!$C:$AA,15,0)-'TRADE IN'!$F53=0,"",(VLOOKUP($C53,REV!$C:$AA,15,0)-'TRADE IN'!$F53))</f>
        <v>6899</v>
      </c>
      <c r="R53" s="46">
        <f>IF(VLOOKUP($C53,REV!$C:$AA,16,0)-'TRADE IN'!$F53=0,"",(VLOOKUP($C53,REV!$C:$AA,16,0)-'TRADE IN'!$F53))</f>
        <v>7199</v>
      </c>
      <c r="S53" s="46">
        <f>IF(VLOOKUP($C53,REV!$C:$AA,17,0)-'TRADE IN'!$F53=0,"",(VLOOKUP($C53,REV!$C:$AA,17,0)-'TRADE IN'!$F53))</f>
        <v>7099</v>
      </c>
      <c r="T53" s="46">
        <f>IF(VLOOKUP($C53,REV!$C:$AA,18,0)-'TRADE IN'!$F53=0,"",(VLOOKUP($C53,REV!$C:$AA,18,0)-'TRADE IN'!$F53))</f>
        <v>6899</v>
      </c>
      <c r="U53" s="46">
        <f>IF(VLOOKUP($C53,REV!$C:$AA,19,0)-'TRADE IN'!$F53=0,"",(VLOOKUP($C53,REV!$C:$AA,19,0)-'TRADE IN'!$F53))</f>
        <v>6899</v>
      </c>
      <c r="V53" s="46">
        <f>IF(VLOOKUP($C53,REV!$C:$AA,20,0)-'TRADE IN'!$F53=0,"",(VLOOKUP($C53,REV!$C:$AA,20,0)-'TRADE IN'!$F53))</f>
        <v>6899</v>
      </c>
      <c r="W53" s="46">
        <f>IF(VLOOKUP($C53,REV!$C:$AA,21,0)-'TRADE IN'!$F53=0,"",(VLOOKUP($C53,REV!$C:$AA,21,0)-'TRADE IN'!$F53))</f>
        <v>6899</v>
      </c>
      <c r="X53" s="46">
        <f>IF(VLOOKUP($C53,REV!$C:$AA,22,0)-'TRADE IN'!$F53=0,"",(VLOOKUP($C53,REV!$C:$AA,22,0)-'TRADE IN'!$F53))</f>
        <v>6799</v>
      </c>
      <c r="Y53" s="46">
        <f>IF(VLOOKUP($C53,REV!$C:$AA,23,0)-'TRADE IN'!$F53=0,"",(VLOOKUP($C53,REV!$C:$AA,23,0)-'TRADE IN'!$F53))</f>
        <v>6399</v>
      </c>
      <c r="Z53" s="46">
        <f>IF(VLOOKUP($C53,REV!$C:$AA,24,0)-'TRADE IN'!$F53=0,"",(VLOOKUP($C53,REV!$C:$AA,24,0)-'TRADE IN'!$F53))</f>
        <v>6399</v>
      </c>
      <c r="AA53" s="46">
        <f>IF(VLOOKUP($C53,REV!$C:$AA,25,0)-'TRADE IN'!$F53=0,"",(VLOOKUP($C53,REV!$C:$AA,25,0)-'TRADE IN'!$F53))</f>
        <v>6399</v>
      </c>
      <c r="AB53" s="45"/>
      <c r="AC53" s="45"/>
      <c r="AD53" s="45"/>
      <c r="AE53" s="45"/>
      <c r="AF53" s="45"/>
      <c r="AG53" s="45"/>
      <c r="AH53" s="45"/>
      <c r="AI53" s="45"/>
      <c r="AJ53" s="45"/>
      <c r="AK53" s="45"/>
      <c r="AL53" s="45"/>
      <c r="AM53" s="45"/>
      <c r="AN53" s="45"/>
      <c r="AO53" s="45"/>
      <c r="AP53" s="45"/>
      <c r="AQ53" s="45"/>
      <c r="AR53" s="45"/>
      <c r="AS53" s="45"/>
      <c r="AT53" s="45"/>
      <c r="AU53" s="45"/>
      <c r="AV53" s="47"/>
      <c r="AW53" s="48" t="str">
        <f>REV!AW53</f>
        <v>13.08.2026</v>
      </c>
      <c r="AX53" s="149" t="s">
        <v>68</v>
      </c>
    </row>
    <row r="54" spans="1:50" ht="22.5" customHeight="1">
      <c r="A54" s="41" t="s">
        <v>63</v>
      </c>
      <c r="B54" s="42" t="s">
        <v>64</v>
      </c>
      <c r="C54" s="43">
        <v>4015774</v>
      </c>
      <c r="D54" s="44" t="s">
        <v>122</v>
      </c>
      <c r="E54" s="44" t="s">
        <v>124</v>
      </c>
      <c r="F54" s="45">
        <v>100</v>
      </c>
      <c r="G54" s="45"/>
      <c r="H54" s="46"/>
      <c r="I54" s="46"/>
      <c r="J54" s="46">
        <f>IF(VLOOKUP($C54,REV!$C:$AA,8,0)-'TRADE IN'!$F54=0,"",(VLOOKUP($C54,REV!$C:$AA,8,0)-'TRADE IN'!$F54))</f>
        <v>7299</v>
      </c>
      <c r="K54" s="46">
        <f>IF(VLOOKUP($C54,REV!$C:$AA,9,0)-'TRADE IN'!$F54=0,"",(VLOOKUP($C54,REV!$C:$AA,9,0)-'TRADE IN'!$F54))</f>
        <v>7299</v>
      </c>
      <c r="L54" s="46">
        <f>IF(VLOOKUP($C54,REV!$C:$AA,10,0)-'TRADE IN'!$F54=0,"",(VLOOKUP($C54,REV!$C:$AA,10,0)-'TRADE IN'!$F54))</f>
        <v>7299</v>
      </c>
      <c r="M54" s="46">
        <f>IF(VLOOKUP($C54,REV!$C:$AA,11,0)-'TRADE IN'!$F54=0,"",(VLOOKUP($C54,REV!$C:$AA,11,0)-'TRADE IN'!$F54))</f>
        <v>7299</v>
      </c>
      <c r="N54" s="46">
        <f>IF(VLOOKUP($C54,REV!$C:$AA,12,0)-'TRADE IN'!$F54=0,"",(VLOOKUP($C54,REV!$C:$AA,12,0)-'TRADE IN'!$F54))</f>
        <v>7299</v>
      </c>
      <c r="O54" s="46">
        <f>IF(VLOOKUP($C54,REV!$C:$AA,13,0)-'TRADE IN'!$F54=0,"",(VLOOKUP($C54,REV!$C:$AA,13,0)-'TRADE IN'!$F54))</f>
        <v>7199</v>
      </c>
      <c r="P54" s="46">
        <f>IF(VLOOKUP($C54,REV!$C:$AA,14,0)-'TRADE IN'!$F54=0,"",(VLOOKUP($C54,REV!$C:$AA,14,0)-'TRADE IN'!$F54))</f>
        <v>7099</v>
      </c>
      <c r="Q54" s="46">
        <f>IF(VLOOKUP($C54,REV!$C:$AA,15,0)-'TRADE IN'!$F54=0,"",(VLOOKUP($C54,REV!$C:$AA,15,0)-'TRADE IN'!$F54))</f>
        <v>6899</v>
      </c>
      <c r="R54" s="46">
        <f>IF(VLOOKUP($C54,REV!$C:$AA,16,0)-'TRADE IN'!$F54=0,"",(VLOOKUP($C54,REV!$C:$AA,16,0)-'TRADE IN'!$F54))</f>
        <v>7199</v>
      </c>
      <c r="S54" s="46">
        <f>IF(VLOOKUP($C54,REV!$C:$AA,17,0)-'TRADE IN'!$F54=0,"",(VLOOKUP($C54,REV!$C:$AA,17,0)-'TRADE IN'!$F54))</f>
        <v>7099</v>
      </c>
      <c r="T54" s="46">
        <f>IF(VLOOKUP($C54,REV!$C:$AA,18,0)-'TRADE IN'!$F54=0,"",(VLOOKUP($C54,REV!$C:$AA,18,0)-'TRADE IN'!$F54))</f>
        <v>6899</v>
      </c>
      <c r="U54" s="46">
        <f>IF(VLOOKUP($C54,REV!$C:$AA,19,0)-'TRADE IN'!$F54=0,"",(VLOOKUP($C54,REV!$C:$AA,19,0)-'TRADE IN'!$F54))</f>
        <v>6899</v>
      </c>
      <c r="V54" s="46">
        <f>IF(VLOOKUP($C54,REV!$C:$AA,20,0)-'TRADE IN'!$F54=0,"",(VLOOKUP($C54,REV!$C:$AA,20,0)-'TRADE IN'!$F54))</f>
        <v>6899</v>
      </c>
      <c r="W54" s="46">
        <f>IF(VLOOKUP($C54,REV!$C:$AA,21,0)-'TRADE IN'!$F54=0,"",(VLOOKUP($C54,REV!$C:$AA,21,0)-'TRADE IN'!$F54))</f>
        <v>6899</v>
      </c>
      <c r="X54" s="46">
        <f>IF(VLOOKUP($C54,REV!$C:$AA,22,0)-'TRADE IN'!$F54=0,"",(VLOOKUP($C54,REV!$C:$AA,22,0)-'TRADE IN'!$F54))</f>
        <v>6799</v>
      </c>
      <c r="Y54" s="46">
        <f>IF(VLOOKUP($C54,REV!$C:$AA,23,0)-'TRADE IN'!$F54=0,"",(VLOOKUP($C54,REV!$C:$AA,23,0)-'TRADE IN'!$F54))</f>
        <v>6399</v>
      </c>
      <c r="Z54" s="46">
        <f>IF(VLOOKUP($C54,REV!$C:$AA,24,0)-'TRADE IN'!$F54=0,"",(VLOOKUP($C54,REV!$C:$AA,24,0)-'TRADE IN'!$F54))</f>
        <v>6399</v>
      </c>
      <c r="AA54" s="46">
        <f>IF(VLOOKUP($C54,REV!$C:$AA,25,0)-'TRADE IN'!$F54=0,"",(VLOOKUP($C54,REV!$C:$AA,25,0)-'TRADE IN'!$F54))</f>
        <v>6399</v>
      </c>
      <c r="AB54" s="45"/>
      <c r="AC54" s="45"/>
      <c r="AD54" s="45"/>
      <c r="AE54" s="45"/>
      <c r="AF54" s="45"/>
      <c r="AG54" s="45"/>
      <c r="AH54" s="45"/>
      <c r="AI54" s="45"/>
      <c r="AJ54" s="45"/>
      <c r="AK54" s="45"/>
      <c r="AL54" s="45"/>
      <c r="AM54" s="45"/>
      <c r="AN54" s="45"/>
      <c r="AO54" s="45"/>
      <c r="AP54" s="45"/>
      <c r="AQ54" s="45"/>
      <c r="AR54" s="45"/>
      <c r="AS54" s="45"/>
      <c r="AT54" s="45"/>
      <c r="AU54" s="45"/>
      <c r="AV54" s="47"/>
      <c r="AW54" s="48" t="str">
        <f>REV!AW54</f>
        <v>13.08.2026</v>
      </c>
      <c r="AX54" s="149" t="s">
        <v>68</v>
      </c>
    </row>
    <row r="55" spans="1:50" ht="22.5" customHeight="1">
      <c r="A55" s="41" t="s">
        <v>63</v>
      </c>
      <c r="B55" s="42" t="s">
        <v>64</v>
      </c>
      <c r="C55" s="43">
        <v>4015788</v>
      </c>
      <c r="D55" s="44" t="s">
        <v>122</v>
      </c>
      <c r="E55" s="44" t="s">
        <v>125</v>
      </c>
      <c r="F55" s="45">
        <v>100</v>
      </c>
      <c r="G55" s="45"/>
      <c r="H55" s="46"/>
      <c r="I55" s="46"/>
      <c r="J55" s="46">
        <f>IF(VLOOKUP($C55,REV!$C:$AA,8,0)-'TRADE IN'!$F55=0,"",(VLOOKUP($C55,REV!$C:$AA,8,0)-'TRADE IN'!$F55))</f>
        <v>7299</v>
      </c>
      <c r="K55" s="46">
        <f>IF(VLOOKUP($C55,REV!$C:$AA,9,0)-'TRADE IN'!$F55=0,"",(VLOOKUP($C55,REV!$C:$AA,9,0)-'TRADE IN'!$F55))</f>
        <v>7299</v>
      </c>
      <c r="L55" s="46">
        <f>IF(VLOOKUP($C55,REV!$C:$AA,10,0)-'TRADE IN'!$F55=0,"",(VLOOKUP($C55,REV!$C:$AA,10,0)-'TRADE IN'!$F55))</f>
        <v>7299</v>
      </c>
      <c r="M55" s="46">
        <f>IF(VLOOKUP($C55,REV!$C:$AA,11,0)-'TRADE IN'!$F55=0,"",(VLOOKUP($C55,REV!$C:$AA,11,0)-'TRADE IN'!$F55))</f>
        <v>7299</v>
      </c>
      <c r="N55" s="46">
        <f>IF(VLOOKUP($C55,REV!$C:$AA,12,0)-'TRADE IN'!$F55=0,"",(VLOOKUP($C55,REV!$C:$AA,12,0)-'TRADE IN'!$F55))</f>
        <v>7299</v>
      </c>
      <c r="O55" s="46">
        <f>IF(VLOOKUP($C55,REV!$C:$AA,13,0)-'TRADE IN'!$F55=0,"",(VLOOKUP($C55,REV!$C:$AA,13,0)-'TRADE IN'!$F55))</f>
        <v>7199</v>
      </c>
      <c r="P55" s="46">
        <f>IF(VLOOKUP($C55,REV!$C:$AA,14,0)-'TRADE IN'!$F55=0,"",(VLOOKUP($C55,REV!$C:$AA,14,0)-'TRADE IN'!$F55))</f>
        <v>7099</v>
      </c>
      <c r="Q55" s="46">
        <f>IF(VLOOKUP($C55,REV!$C:$AA,15,0)-'TRADE IN'!$F55=0,"",(VLOOKUP($C55,REV!$C:$AA,15,0)-'TRADE IN'!$F55))</f>
        <v>6899</v>
      </c>
      <c r="R55" s="46">
        <f>IF(VLOOKUP($C55,REV!$C:$AA,16,0)-'TRADE IN'!$F55=0,"",(VLOOKUP($C55,REV!$C:$AA,16,0)-'TRADE IN'!$F55))</f>
        <v>7199</v>
      </c>
      <c r="S55" s="46">
        <f>IF(VLOOKUP($C55,REV!$C:$AA,17,0)-'TRADE IN'!$F55=0,"",(VLOOKUP($C55,REV!$C:$AA,17,0)-'TRADE IN'!$F55))</f>
        <v>7099</v>
      </c>
      <c r="T55" s="46">
        <f>IF(VLOOKUP($C55,REV!$C:$AA,18,0)-'TRADE IN'!$F55=0,"",(VLOOKUP($C55,REV!$C:$AA,18,0)-'TRADE IN'!$F55))</f>
        <v>6899</v>
      </c>
      <c r="U55" s="46">
        <f>IF(VLOOKUP($C55,REV!$C:$AA,19,0)-'TRADE IN'!$F55=0,"",(VLOOKUP($C55,REV!$C:$AA,19,0)-'TRADE IN'!$F55))</f>
        <v>6899</v>
      </c>
      <c r="V55" s="46">
        <f>IF(VLOOKUP($C55,REV!$C:$AA,20,0)-'TRADE IN'!$F55=0,"",(VLOOKUP($C55,REV!$C:$AA,20,0)-'TRADE IN'!$F55))</f>
        <v>6899</v>
      </c>
      <c r="W55" s="46">
        <f>IF(VLOOKUP($C55,REV!$C:$AA,21,0)-'TRADE IN'!$F55=0,"",(VLOOKUP($C55,REV!$C:$AA,21,0)-'TRADE IN'!$F55))</f>
        <v>6899</v>
      </c>
      <c r="X55" s="46">
        <f>IF(VLOOKUP($C55,REV!$C:$AA,22,0)-'TRADE IN'!$F55=0,"",(VLOOKUP($C55,REV!$C:$AA,22,0)-'TRADE IN'!$F55))</f>
        <v>6799</v>
      </c>
      <c r="Y55" s="46">
        <f>IF(VLOOKUP($C55,REV!$C:$AA,23,0)-'TRADE IN'!$F55=0,"",(VLOOKUP($C55,REV!$C:$AA,23,0)-'TRADE IN'!$F55))</f>
        <v>6399</v>
      </c>
      <c r="Z55" s="46">
        <f>IF(VLOOKUP($C55,REV!$C:$AA,24,0)-'TRADE IN'!$F55=0,"",(VLOOKUP($C55,REV!$C:$AA,24,0)-'TRADE IN'!$F55))</f>
        <v>6399</v>
      </c>
      <c r="AA55" s="46">
        <f>IF(VLOOKUP($C55,REV!$C:$AA,25,0)-'TRADE IN'!$F55=0,"",(VLOOKUP($C55,REV!$C:$AA,25,0)-'TRADE IN'!$F55))</f>
        <v>6399</v>
      </c>
      <c r="AB55" s="45"/>
      <c r="AC55" s="45"/>
      <c r="AD55" s="45"/>
      <c r="AE55" s="45"/>
      <c r="AF55" s="45"/>
      <c r="AG55" s="45"/>
      <c r="AH55" s="45"/>
      <c r="AI55" s="45"/>
      <c r="AJ55" s="45"/>
      <c r="AK55" s="45"/>
      <c r="AL55" s="45"/>
      <c r="AM55" s="45"/>
      <c r="AN55" s="45"/>
      <c r="AO55" s="45"/>
      <c r="AP55" s="45"/>
      <c r="AQ55" s="45"/>
      <c r="AR55" s="45"/>
      <c r="AS55" s="45"/>
      <c r="AT55" s="45"/>
      <c r="AU55" s="45"/>
      <c r="AV55" s="47"/>
      <c r="AW55" s="48" t="str">
        <f>REV!AW55</f>
        <v>13.08.2026</v>
      </c>
      <c r="AX55" s="149" t="s">
        <v>68</v>
      </c>
    </row>
    <row r="56" spans="1:50" ht="22.5" customHeight="1">
      <c r="A56" s="41" t="s">
        <v>63</v>
      </c>
      <c r="B56" s="42" t="s">
        <v>64</v>
      </c>
      <c r="C56" s="43">
        <v>4015763</v>
      </c>
      <c r="D56" s="44" t="s">
        <v>126</v>
      </c>
      <c r="E56" s="44" t="s">
        <v>127</v>
      </c>
      <c r="F56" s="45">
        <v>100</v>
      </c>
      <c r="G56" s="45"/>
      <c r="H56" s="46"/>
      <c r="I56" s="46"/>
      <c r="J56" s="46">
        <f>IF(VLOOKUP($C56,REV!$C:$AA,8,0)-'TRADE IN'!$F56=0,"",(VLOOKUP($C56,REV!$C:$AA,8,0)-'TRADE IN'!$F56))</f>
        <v>7799</v>
      </c>
      <c r="K56" s="46">
        <f>IF(VLOOKUP($C56,REV!$C:$AA,9,0)-'TRADE IN'!$F56=0,"",(VLOOKUP($C56,REV!$C:$AA,9,0)-'TRADE IN'!$F56))</f>
        <v>7799</v>
      </c>
      <c r="L56" s="46">
        <f>IF(VLOOKUP($C56,REV!$C:$AA,10,0)-'TRADE IN'!$F56=0,"",(VLOOKUP($C56,REV!$C:$AA,10,0)-'TRADE IN'!$F56))</f>
        <v>7799</v>
      </c>
      <c r="M56" s="46">
        <f>IF(VLOOKUP($C56,REV!$C:$AA,11,0)-'TRADE IN'!$F56=0,"",(VLOOKUP($C56,REV!$C:$AA,11,0)-'TRADE IN'!$F56))</f>
        <v>7799</v>
      </c>
      <c r="N56" s="46">
        <f>IF(VLOOKUP($C56,REV!$C:$AA,12,0)-'TRADE IN'!$F56=0,"",(VLOOKUP($C56,REV!$C:$AA,12,0)-'TRADE IN'!$F56))</f>
        <v>7799</v>
      </c>
      <c r="O56" s="46">
        <f>IF(VLOOKUP($C56,REV!$C:$AA,13,0)-'TRADE IN'!$F56=0,"",(VLOOKUP($C56,REV!$C:$AA,13,0)-'TRADE IN'!$F56))</f>
        <v>7699</v>
      </c>
      <c r="P56" s="46">
        <f>IF(VLOOKUP($C56,REV!$C:$AA,14,0)-'TRADE IN'!$F56=0,"",(VLOOKUP($C56,REV!$C:$AA,14,0)-'TRADE IN'!$F56))</f>
        <v>7599</v>
      </c>
      <c r="Q56" s="46">
        <f>IF(VLOOKUP($C56,REV!$C:$AA,15,0)-'TRADE IN'!$F56=0,"",(VLOOKUP($C56,REV!$C:$AA,15,0)-'TRADE IN'!$F56))</f>
        <v>7399</v>
      </c>
      <c r="R56" s="46">
        <f>IF(VLOOKUP($C56,REV!$C:$AA,16,0)-'TRADE IN'!$F56=0,"",(VLOOKUP($C56,REV!$C:$AA,16,0)-'TRADE IN'!$F56))</f>
        <v>7699</v>
      </c>
      <c r="S56" s="46">
        <f>IF(VLOOKUP($C56,REV!$C:$AA,17,0)-'TRADE IN'!$F56=0,"",(VLOOKUP($C56,REV!$C:$AA,17,0)-'TRADE IN'!$F56))</f>
        <v>7599</v>
      </c>
      <c r="T56" s="46">
        <f>IF(VLOOKUP($C56,REV!$C:$AA,18,0)-'TRADE IN'!$F56=0,"",(VLOOKUP($C56,REV!$C:$AA,18,0)-'TRADE IN'!$F56))</f>
        <v>7399</v>
      </c>
      <c r="U56" s="46">
        <f>IF(VLOOKUP($C56,REV!$C:$AA,19,0)-'TRADE IN'!$F56=0,"",(VLOOKUP($C56,REV!$C:$AA,19,0)-'TRADE IN'!$F56))</f>
        <v>7399</v>
      </c>
      <c r="V56" s="46">
        <f>IF(VLOOKUP($C56,REV!$C:$AA,20,0)-'TRADE IN'!$F56=0,"",(VLOOKUP($C56,REV!$C:$AA,20,0)-'TRADE IN'!$F56))</f>
        <v>7399</v>
      </c>
      <c r="W56" s="46">
        <f>IF(VLOOKUP($C56,REV!$C:$AA,21,0)-'TRADE IN'!$F56=0,"",(VLOOKUP($C56,REV!$C:$AA,21,0)-'TRADE IN'!$F56))</f>
        <v>7399</v>
      </c>
      <c r="X56" s="46">
        <f>IF(VLOOKUP($C56,REV!$C:$AA,22,0)-'TRADE IN'!$F56=0,"",(VLOOKUP($C56,REV!$C:$AA,22,0)-'TRADE IN'!$F56))</f>
        <v>7299</v>
      </c>
      <c r="Y56" s="46">
        <f>IF(VLOOKUP($C56,REV!$C:$AA,23,0)-'TRADE IN'!$F56=0,"",(VLOOKUP($C56,REV!$C:$AA,23,0)-'TRADE IN'!$F56))</f>
        <v>6899</v>
      </c>
      <c r="Z56" s="46">
        <f>IF(VLOOKUP($C56,REV!$C:$AA,24,0)-'TRADE IN'!$F56=0,"",(VLOOKUP($C56,REV!$C:$AA,24,0)-'TRADE IN'!$F56))</f>
        <v>6899</v>
      </c>
      <c r="AA56" s="46">
        <f>IF(VLOOKUP($C56,REV!$C:$AA,25,0)-'TRADE IN'!$F56=0,"",(VLOOKUP($C56,REV!$C:$AA,25,0)-'TRADE IN'!$F56))</f>
        <v>6899</v>
      </c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  <c r="AM56" s="45"/>
      <c r="AN56" s="45"/>
      <c r="AO56" s="45"/>
      <c r="AP56" s="45"/>
      <c r="AQ56" s="45"/>
      <c r="AR56" s="45"/>
      <c r="AS56" s="45"/>
      <c r="AT56" s="45"/>
      <c r="AU56" s="45"/>
      <c r="AV56" s="47"/>
      <c r="AW56" s="48" t="str">
        <f>REV!AW56</f>
        <v>13.08.2026</v>
      </c>
      <c r="AX56" s="149" t="s">
        <v>68</v>
      </c>
    </row>
    <row r="57" spans="1:50" ht="22.5" customHeight="1">
      <c r="A57" s="41" t="s">
        <v>63</v>
      </c>
      <c r="B57" s="42" t="s">
        <v>64</v>
      </c>
      <c r="C57" s="43">
        <v>4015779</v>
      </c>
      <c r="D57" s="44" t="s">
        <v>126</v>
      </c>
      <c r="E57" s="44" t="s">
        <v>128</v>
      </c>
      <c r="F57" s="45">
        <v>100</v>
      </c>
      <c r="G57" s="45"/>
      <c r="H57" s="46"/>
      <c r="I57" s="46"/>
      <c r="J57" s="46">
        <f>IF(VLOOKUP($C57,REV!$C:$AA,8,0)-'TRADE IN'!$F57=0,"",(VLOOKUP($C57,REV!$C:$AA,8,0)-'TRADE IN'!$F57))</f>
        <v>7799</v>
      </c>
      <c r="K57" s="46">
        <f>IF(VLOOKUP($C57,REV!$C:$AA,9,0)-'TRADE IN'!$F57=0,"",(VLOOKUP($C57,REV!$C:$AA,9,0)-'TRADE IN'!$F57))</f>
        <v>7799</v>
      </c>
      <c r="L57" s="46">
        <f>IF(VLOOKUP($C57,REV!$C:$AA,10,0)-'TRADE IN'!$F57=0,"",(VLOOKUP($C57,REV!$C:$AA,10,0)-'TRADE IN'!$F57))</f>
        <v>7799</v>
      </c>
      <c r="M57" s="46">
        <f>IF(VLOOKUP($C57,REV!$C:$AA,11,0)-'TRADE IN'!$F57=0,"",(VLOOKUP($C57,REV!$C:$AA,11,0)-'TRADE IN'!$F57))</f>
        <v>7799</v>
      </c>
      <c r="N57" s="46">
        <f>IF(VLOOKUP($C57,REV!$C:$AA,12,0)-'TRADE IN'!$F57=0,"",(VLOOKUP($C57,REV!$C:$AA,12,0)-'TRADE IN'!$F57))</f>
        <v>7799</v>
      </c>
      <c r="O57" s="46">
        <f>IF(VLOOKUP($C57,REV!$C:$AA,13,0)-'TRADE IN'!$F57=0,"",(VLOOKUP($C57,REV!$C:$AA,13,0)-'TRADE IN'!$F57))</f>
        <v>7699</v>
      </c>
      <c r="P57" s="46">
        <f>IF(VLOOKUP($C57,REV!$C:$AA,14,0)-'TRADE IN'!$F57=0,"",(VLOOKUP($C57,REV!$C:$AA,14,0)-'TRADE IN'!$F57))</f>
        <v>7599</v>
      </c>
      <c r="Q57" s="46">
        <f>IF(VLOOKUP($C57,REV!$C:$AA,15,0)-'TRADE IN'!$F57=0,"",(VLOOKUP($C57,REV!$C:$AA,15,0)-'TRADE IN'!$F57))</f>
        <v>7399</v>
      </c>
      <c r="R57" s="46">
        <f>IF(VLOOKUP($C57,REV!$C:$AA,16,0)-'TRADE IN'!$F57=0,"",(VLOOKUP($C57,REV!$C:$AA,16,0)-'TRADE IN'!$F57))</f>
        <v>7699</v>
      </c>
      <c r="S57" s="46">
        <f>IF(VLOOKUP($C57,REV!$C:$AA,17,0)-'TRADE IN'!$F57=0,"",(VLOOKUP($C57,REV!$C:$AA,17,0)-'TRADE IN'!$F57))</f>
        <v>7599</v>
      </c>
      <c r="T57" s="46">
        <f>IF(VLOOKUP($C57,REV!$C:$AA,18,0)-'TRADE IN'!$F57=0,"",(VLOOKUP($C57,REV!$C:$AA,18,0)-'TRADE IN'!$F57))</f>
        <v>7399</v>
      </c>
      <c r="U57" s="46">
        <f>IF(VLOOKUP($C57,REV!$C:$AA,19,0)-'TRADE IN'!$F57=0,"",(VLOOKUP($C57,REV!$C:$AA,19,0)-'TRADE IN'!$F57))</f>
        <v>7399</v>
      </c>
      <c r="V57" s="46">
        <f>IF(VLOOKUP($C57,REV!$C:$AA,20,0)-'TRADE IN'!$F57=0,"",(VLOOKUP($C57,REV!$C:$AA,20,0)-'TRADE IN'!$F57))</f>
        <v>7399</v>
      </c>
      <c r="W57" s="46">
        <f>IF(VLOOKUP($C57,REV!$C:$AA,21,0)-'TRADE IN'!$F57=0,"",(VLOOKUP($C57,REV!$C:$AA,21,0)-'TRADE IN'!$F57))</f>
        <v>7399</v>
      </c>
      <c r="X57" s="46">
        <f>IF(VLOOKUP($C57,REV!$C:$AA,22,0)-'TRADE IN'!$F57=0,"",(VLOOKUP($C57,REV!$C:$AA,22,0)-'TRADE IN'!$F57))</f>
        <v>7299</v>
      </c>
      <c r="Y57" s="46">
        <f>IF(VLOOKUP($C57,REV!$C:$AA,23,0)-'TRADE IN'!$F57=0,"",(VLOOKUP($C57,REV!$C:$AA,23,0)-'TRADE IN'!$F57))</f>
        <v>6899</v>
      </c>
      <c r="Z57" s="46">
        <f>IF(VLOOKUP($C57,REV!$C:$AA,24,0)-'TRADE IN'!$F57=0,"",(VLOOKUP($C57,REV!$C:$AA,24,0)-'TRADE IN'!$F57))</f>
        <v>6899</v>
      </c>
      <c r="AA57" s="46">
        <f>IF(VLOOKUP($C57,REV!$C:$AA,25,0)-'TRADE IN'!$F57=0,"",(VLOOKUP($C57,REV!$C:$AA,25,0)-'TRADE IN'!$F57))</f>
        <v>6899</v>
      </c>
      <c r="AB57" s="45"/>
      <c r="AC57" s="45"/>
      <c r="AD57" s="45"/>
      <c r="AE57" s="45"/>
      <c r="AF57" s="45"/>
      <c r="AG57" s="45"/>
      <c r="AH57" s="45"/>
      <c r="AI57" s="45"/>
      <c r="AJ57" s="45"/>
      <c r="AK57" s="45"/>
      <c r="AL57" s="45"/>
      <c r="AM57" s="45"/>
      <c r="AN57" s="45"/>
      <c r="AO57" s="45"/>
      <c r="AP57" s="45"/>
      <c r="AQ57" s="45"/>
      <c r="AR57" s="45"/>
      <c r="AS57" s="45"/>
      <c r="AT57" s="45"/>
      <c r="AU57" s="45"/>
      <c r="AV57" s="47"/>
      <c r="AW57" s="48" t="str">
        <f>REV!AW57</f>
        <v>13.08.2026</v>
      </c>
      <c r="AX57" s="149" t="s">
        <v>68</v>
      </c>
    </row>
    <row r="58" spans="1:50" ht="22.5" customHeight="1">
      <c r="A58" s="41" t="s">
        <v>63</v>
      </c>
      <c r="B58" s="42" t="s">
        <v>64</v>
      </c>
      <c r="C58" s="43">
        <v>4015793</v>
      </c>
      <c r="D58" s="44" t="s">
        <v>126</v>
      </c>
      <c r="E58" s="44" t="s">
        <v>129</v>
      </c>
      <c r="F58" s="45">
        <v>100</v>
      </c>
      <c r="G58" s="45"/>
      <c r="H58" s="46"/>
      <c r="I58" s="46"/>
      <c r="J58" s="46">
        <f>IF(VLOOKUP($C58,REV!$C:$AA,8,0)-'TRADE IN'!$F58=0,"",(VLOOKUP($C58,REV!$C:$AA,8,0)-'TRADE IN'!$F58))</f>
        <v>7799</v>
      </c>
      <c r="K58" s="46">
        <f>IF(VLOOKUP($C58,REV!$C:$AA,9,0)-'TRADE IN'!$F58=0,"",(VLOOKUP($C58,REV!$C:$AA,9,0)-'TRADE IN'!$F58))</f>
        <v>7799</v>
      </c>
      <c r="L58" s="46">
        <f>IF(VLOOKUP($C58,REV!$C:$AA,10,0)-'TRADE IN'!$F58=0,"",(VLOOKUP($C58,REV!$C:$AA,10,0)-'TRADE IN'!$F58))</f>
        <v>7799</v>
      </c>
      <c r="M58" s="46">
        <f>IF(VLOOKUP($C58,REV!$C:$AA,11,0)-'TRADE IN'!$F58=0,"",(VLOOKUP($C58,REV!$C:$AA,11,0)-'TRADE IN'!$F58))</f>
        <v>7799</v>
      </c>
      <c r="N58" s="46">
        <f>IF(VLOOKUP($C58,REV!$C:$AA,12,0)-'TRADE IN'!$F58=0,"",(VLOOKUP($C58,REV!$C:$AA,12,0)-'TRADE IN'!$F58))</f>
        <v>7799</v>
      </c>
      <c r="O58" s="46">
        <f>IF(VLOOKUP($C58,REV!$C:$AA,13,0)-'TRADE IN'!$F58=0,"",(VLOOKUP($C58,REV!$C:$AA,13,0)-'TRADE IN'!$F58))</f>
        <v>7699</v>
      </c>
      <c r="P58" s="46">
        <f>IF(VLOOKUP($C58,REV!$C:$AA,14,0)-'TRADE IN'!$F58=0,"",(VLOOKUP($C58,REV!$C:$AA,14,0)-'TRADE IN'!$F58))</f>
        <v>7599</v>
      </c>
      <c r="Q58" s="46">
        <f>IF(VLOOKUP($C58,REV!$C:$AA,15,0)-'TRADE IN'!$F58=0,"",(VLOOKUP($C58,REV!$C:$AA,15,0)-'TRADE IN'!$F58))</f>
        <v>7399</v>
      </c>
      <c r="R58" s="46">
        <f>IF(VLOOKUP($C58,REV!$C:$AA,16,0)-'TRADE IN'!$F58=0,"",(VLOOKUP($C58,REV!$C:$AA,16,0)-'TRADE IN'!$F58))</f>
        <v>7699</v>
      </c>
      <c r="S58" s="46">
        <f>IF(VLOOKUP($C58,REV!$C:$AA,17,0)-'TRADE IN'!$F58=0,"",(VLOOKUP($C58,REV!$C:$AA,17,0)-'TRADE IN'!$F58))</f>
        <v>7599</v>
      </c>
      <c r="T58" s="46">
        <f>IF(VLOOKUP($C58,REV!$C:$AA,18,0)-'TRADE IN'!$F58=0,"",(VLOOKUP($C58,REV!$C:$AA,18,0)-'TRADE IN'!$F58))</f>
        <v>7399</v>
      </c>
      <c r="U58" s="46">
        <f>IF(VLOOKUP($C58,REV!$C:$AA,19,0)-'TRADE IN'!$F58=0,"",(VLOOKUP($C58,REV!$C:$AA,19,0)-'TRADE IN'!$F58))</f>
        <v>7399</v>
      </c>
      <c r="V58" s="46">
        <f>IF(VLOOKUP($C58,REV!$C:$AA,20,0)-'TRADE IN'!$F58=0,"",(VLOOKUP($C58,REV!$C:$AA,20,0)-'TRADE IN'!$F58))</f>
        <v>7399</v>
      </c>
      <c r="W58" s="46">
        <f>IF(VLOOKUP($C58,REV!$C:$AA,21,0)-'TRADE IN'!$F58=0,"",(VLOOKUP($C58,REV!$C:$AA,21,0)-'TRADE IN'!$F58))</f>
        <v>7399</v>
      </c>
      <c r="X58" s="46">
        <f>IF(VLOOKUP($C58,REV!$C:$AA,22,0)-'TRADE IN'!$F58=0,"",(VLOOKUP($C58,REV!$C:$AA,22,0)-'TRADE IN'!$F58))</f>
        <v>7299</v>
      </c>
      <c r="Y58" s="46">
        <f>IF(VLOOKUP($C58,REV!$C:$AA,23,0)-'TRADE IN'!$F58=0,"",(VLOOKUP($C58,REV!$C:$AA,23,0)-'TRADE IN'!$F58))</f>
        <v>6899</v>
      </c>
      <c r="Z58" s="46">
        <f>IF(VLOOKUP($C58,REV!$C:$AA,24,0)-'TRADE IN'!$F58=0,"",(VLOOKUP($C58,REV!$C:$AA,24,0)-'TRADE IN'!$F58))</f>
        <v>6899</v>
      </c>
      <c r="AA58" s="46">
        <f>IF(VLOOKUP($C58,REV!$C:$AA,25,0)-'TRADE IN'!$F58=0,"",(VLOOKUP($C58,REV!$C:$AA,25,0)-'TRADE IN'!$F58))</f>
        <v>6899</v>
      </c>
      <c r="AB58" s="45"/>
      <c r="AC58" s="45"/>
      <c r="AD58" s="45"/>
      <c r="AE58" s="45"/>
      <c r="AF58" s="45"/>
      <c r="AG58" s="45"/>
      <c r="AH58" s="45"/>
      <c r="AI58" s="45"/>
      <c r="AJ58" s="45"/>
      <c r="AK58" s="45"/>
      <c r="AL58" s="45"/>
      <c r="AM58" s="45"/>
      <c r="AN58" s="45"/>
      <c r="AO58" s="45"/>
      <c r="AP58" s="45"/>
      <c r="AQ58" s="45"/>
      <c r="AR58" s="45"/>
      <c r="AS58" s="45"/>
      <c r="AT58" s="45"/>
      <c r="AU58" s="45"/>
      <c r="AV58" s="47"/>
      <c r="AW58" s="48" t="str">
        <f>REV!AW58</f>
        <v>13.08.2026</v>
      </c>
      <c r="AX58" s="149" t="s">
        <v>68</v>
      </c>
    </row>
    <row r="59" spans="1:50" ht="22.5" customHeight="1">
      <c r="A59" s="41" t="s">
        <v>63</v>
      </c>
      <c r="B59" s="42" t="s">
        <v>64</v>
      </c>
      <c r="C59" s="43">
        <v>4016678</v>
      </c>
      <c r="D59" s="44" t="s">
        <v>130</v>
      </c>
      <c r="E59" s="44" t="s">
        <v>131</v>
      </c>
      <c r="F59" s="45">
        <v>100</v>
      </c>
      <c r="G59" s="45"/>
      <c r="H59" s="46"/>
      <c r="I59" s="46"/>
      <c r="J59" s="46">
        <f>IF(VLOOKUP($C59,REV!$C:$AA,8,0)-'TRADE IN'!$F59=0,"",(VLOOKUP($C59,REV!$C:$AA,8,0)-'TRADE IN'!$F59))</f>
        <v>5699</v>
      </c>
      <c r="K59" s="46">
        <f>IF(VLOOKUP($C59,REV!$C:$AA,9,0)-'TRADE IN'!$F59=0,"",(VLOOKUP($C59,REV!$C:$AA,9,0)-'TRADE IN'!$F59))</f>
        <v>5699</v>
      </c>
      <c r="L59" s="46">
        <f>IF(VLOOKUP($C59,REV!$C:$AA,10,0)-'TRADE IN'!$F59=0,"",(VLOOKUP($C59,REV!$C:$AA,10,0)-'TRADE IN'!$F59))</f>
        <v>5699</v>
      </c>
      <c r="M59" s="46">
        <f>IF(VLOOKUP($C59,REV!$C:$AA,11,0)-'TRADE IN'!$F59=0,"",(VLOOKUP($C59,REV!$C:$AA,11,0)-'TRADE IN'!$F59))</f>
        <v>5699</v>
      </c>
      <c r="N59" s="46">
        <f>IF(VLOOKUP($C59,REV!$C:$AA,12,0)-'TRADE IN'!$F59=0,"",(VLOOKUP($C59,REV!$C:$AA,12,0)-'TRADE IN'!$F59))</f>
        <v>5699</v>
      </c>
      <c r="O59" s="46">
        <f>IF(VLOOKUP($C59,REV!$C:$AA,13,0)-'TRADE IN'!$F59=0,"",(VLOOKUP($C59,REV!$C:$AA,13,0)-'TRADE IN'!$F59))</f>
        <v>5199</v>
      </c>
      <c r="P59" s="46">
        <f>IF(VLOOKUP($C59,REV!$C:$AA,14,0)-'TRADE IN'!$F59=0,"",(VLOOKUP($C59,REV!$C:$AA,14,0)-'TRADE IN'!$F59))</f>
        <v>5099</v>
      </c>
      <c r="Q59" s="46">
        <f>IF(VLOOKUP($C59,REV!$C:$AA,15,0)-'TRADE IN'!$F59=0,"",(VLOOKUP($C59,REV!$C:$AA,15,0)-'TRADE IN'!$F59))</f>
        <v>4899</v>
      </c>
      <c r="R59" s="46">
        <f>IF(VLOOKUP($C59,REV!$C:$AA,16,0)-'TRADE IN'!$F59=0,"",(VLOOKUP($C59,REV!$C:$AA,16,0)-'TRADE IN'!$F59))</f>
        <v>5199</v>
      </c>
      <c r="S59" s="46">
        <f>IF(VLOOKUP($C59,REV!$C:$AA,17,0)-'TRADE IN'!$F59=0,"",(VLOOKUP($C59,REV!$C:$AA,17,0)-'TRADE IN'!$F59))</f>
        <v>5099</v>
      </c>
      <c r="T59" s="46">
        <f>IF(VLOOKUP($C59,REV!$C:$AA,18,0)-'TRADE IN'!$F59=0,"",(VLOOKUP($C59,REV!$C:$AA,18,0)-'TRADE IN'!$F59))</f>
        <v>4899</v>
      </c>
      <c r="U59" s="46">
        <f>IF(VLOOKUP($C59,REV!$C:$AA,19,0)-'TRADE IN'!$F59=0,"",(VLOOKUP($C59,REV!$C:$AA,19,0)-'TRADE IN'!$F59))</f>
        <v>4899</v>
      </c>
      <c r="V59" s="46">
        <f>IF(VLOOKUP($C59,REV!$C:$AA,20,0)-'TRADE IN'!$F59=0,"",(VLOOKUP($C59,REV!$C:$AA,20,0)-'TRADE IN'!$F59))</f>
        <v>4899</v>
      </c>
      <c r="W59" s="46">
        <f>IF(VLOOKUP($C59,REV!$C:$AA,21,0)-'TRADE IN'!$F59=0,"",(VLOOKUP($C59,REV!$C:$AA,21,0)-'TRADE IN'!$F59))</f>
        <v>4899</v>
      </c>
      <c r="X59" s="46">
        <f>IF(VLOOKUP($C59,REV!$C:$AA,22,0)-'TRADE IN'!$F59=0,"",(VLOOKUP($C59,REV!$C:$AA,22,0)-'TRADE IN'!$F59))</f>
        <v>4799</v>
      </c>
      <c r="Y59" s="46">
        <f>IF(VLOOKUP($C59,REV!$C:$AA,23,0)-'TRADE IN'!$F59=0,"",(VLOOKUP($C59,REV!$C:$AA,23,0)-'TRADE IN'!$F59))</f>
        <v>3899</v>
      </c>
      <c r="Z59" s="46">
        <f>IF(VLOOKUP($C59,REV!$C:$AA,24,0)-'TRADE IN'!$F59=0,"",(VLOOKUP($C59,REV!$C:$AA,24,0)-'TRADE IN'!$F59))</f>
        <v>3899</v>
      </c>
      <c r="AA59" s="46">
        <f>IF(VLOOKUP($C59,REV!$C:$AA,25,0)-'TRADE IN'!$F59=0,"",(VLOOKUP($C59,REV!$C:$AA,25,0)-'TRADE IN'!$F59))</f>
        <v>3899</v>
      </c>
      <c r="AB59" s="45"/>
      <c r="AC59" s="45"/>
      <c r="AD59" s="45"/>
      <c r="AE59" s="45"/>
      <c r="AF59" s="45"/>
      <c r="AG59" s="45"/>
      <c r="AH59" s="45"/>
      <c r="AI59" s="45"/>
      <c r="AJ59" s="45"/>
      <c r="AK59" s="45"/>
      <c r="AL59" s="45"/>
      <c r="AM59" s="45"/>
      <c r="AN59" s="45"/>
      <c r="AO59" s="45"/>
      <c r="AP59" s="45"/>
      <c r="AQ59" s="45"/>
      <c r="AR59" s="45"/>
      <c r="AS59" s="45"/>
      <c r="AT59" s="45"/>
      <c r="AU59" s="45"/>
      <c r="AV59" s="47"/>
      <c r="AW59" s="48" t="str">
        <f>REV!AW59</f>
        <v>13.08.2026</v>
      </c>
      <c r="AX59" s="149" t="s">
        <v>68</v>
      </c>
    </row>
    <row r="60" spans="1:50" ht="22.5" customHeight="1">
      <c r="A60" s="41" t="s">
        <v>63</v>
      </c>
      <c r="B60" s="42" t="s">
        <v>64</v>
      </c>
      <c r="C60" s="43">
        <v>4016486</v>
      </c>
      <c r="D60" s="44" t="s">
        <v>130</v>
      </c>
      <c r="E60" s="44" t="s">
        <v>132</v>
      </c>
      <c r="F60" s="45">
        <v>100</v>
      </c>
      <c r="G60" s="45"/>
      <c r="H60" s="46"/>
      <c r="I60" s="46"/>
      <c r="J60" s="46">
        <f>IF(VLOOKUP($C60,REV!$C:$AA,8,0)-'TRADE IN'!$F60=0,"",(VLOOKUP($C60,REV!$C:$AA,8,0)-'TRADE IN'!$F60))</f>
        <v>5699</v>
      </c>
      <c r="K60" s="46">
        <f>IF(VLOOKUP($C60,REV!$C:$AA,9,0)-'TRADE IN'!$F60=0,"",(VLOOKUP($C60,REV!$C:$AA,9,0)-'TRADE IN'!$F60))</f>
        <v>5699</v>
      </c>
      <c r="L60" s="46">
        <f>IF(VLOOKUP($C60,REV!$C:$AA,10,0)-'TRADE IN'!$F60=0,"",(VLOOKUP($C60,REV!$C:$AA,10,0)-'TRADE IN'!$F60))</f>
        <v>5699</v>
      </c>
      <c r="M60" s="46">
        <f>IF(VLOOKUP($C60,REV!$C:$AA,11,0)-'TRADE IN'!$F60=0,"",(VLOOKUP($C60,REV!$C:$AA,11,0)-'TRADE IN'!$F60))</f>
        <v>5699</v>
      </c>
      <c r="N60" s="46">
        <f>IF(VLOOKUP($C60,REV!$C:$AA,12,0)-'TRADE IN'!$F60=0,"",(VLOOKUP($C60,REV!$C:$AA,12,0)-'TRADE IN'!$F60))</f>
        <v>5699</v>
      </c>
      <c r="O60" s="46">
        <f>IF(VLOOKUP($C60,REV!$C:$AA,13,0)-'TRADE IN'!$F60=0,"",(VLOOKUP($C60,REV!$C:$AA,13,0)-'TRADE IN'!$F60))</f>
        <v>5199</v>
      </c>
      <c r="P60" s="46">
        <f>IF(VLOOKUP($C60,REV!$C:$AA,14,0)-'TRADE IN'!$F60=0,"",(VLOOKUP($C60,REV!$C:$AA,14,0)-'TRADE IN'!$F60))</f>
        <v>5099</v>
      </c>
      <c r="Q60" s="46">
        <f>IF(VLOOKUP($C60,REV!$C:$AA,15,0)-'TRADE IN'!$F60=0,"",(VLOOKUP($C60,REV!$C:$AA,15,0)-'TRADE IN'!$F60))</f>
        <v>4899</v>
      </c>
      <c r="R60" s="46">
        <f>IF(VLOOKUP($C60,REV!$C:$AA,16,0)-'TRADE IN'!$F60=0,"",(VLOOKUP($C60,REV!$C:$AA,16,0)-'TRADE IN'!$F60))</f>
        <v>5199</v>
      </c>
      <c r="S60" s="46">
        <f>IF(VLOOKUP($C60,REV!$C:$AA,17,0)-'TRADE IN'!$F60=0,"",(VLOOKUP($C60,REV!$C:$AA,17,0)-'TRADE IN'!$F60))</f>
        <v>5099</v>
      </c>
      <c r="T60" s="46">
        <f>IF(VLOOKUP($C60,REV!$C:$AA,18,0)-'TRADE IN'!$F60=0,"",(VLOOKUP($C60,REV!$C:$AA,18,0)-'TRADE IN'!$F60))</f>
        <v>4899</v>
      </c>
      <c r="U60" s="46">
        <f>IF(VLOOKUP($C60,REV!$C:$AA,19,0)-'TRADE IN'!$F60=0,"",(VLOOKUP($C60,REV!$C:$AA,19,0)-'TRADE IN'!$F60))</f>
        <v>4899</v>
      </c>
      <c r="V60" s="46">
        <f>IF(VLOOKUP($C60,REV!$C:$AA,20,0)-'TRADE IN'!$F60=0,"",(VLOOKUP($C60,REV!$C:$AA,20,0)-'TRADE IN'!$F60))</f>
        <v>4899</v>
      </c>
      <c r="W60" s="46">
        <f>IF(VLOOKUP($C60,REV!$C:$AA,21,0)-'TRADE IN'!$F60=0,"",(VLOOKUP($C60,REV!$C:$AA,21,0)-'TRADE IN'!$F60))</f>
        <v>4899</v>
      </c>
      <c r="X60" s="46">
        <f>IF(VLOOKUP($C60,REV!$C:$AA,22,0)-'TRADE IN'!$F60=0,"",(VLOOKUP($C60,REV!$C:$AA,22,0)-'TRADE IN'!$F60))</f>
        <v>4799</v>
      </c>
      <c r="Y60" s="46">
        <f>IF(VLOOKUP($C60,REV!$C:$AA,23,0)-'TRADE IN'!$F60=0,"",(VLOOKUP($C60,REV!$C:$AA,23,0)-'TRADE IN'!$F60))</f>
        <v>3899</v>
      </c>
      <c r="Z60" s="46">
        <f>IF(VLOOKUP($C60,REV!$C:$AA,24,0)-'TRADE IN'!$F60=0,"",(VLOOKUP($C60,REV!$C:$AA,24,0)-'TRADE IN'!$F60))</f>
        <v>3899</v>
      </c>
      <c r="AA60" s="46">
        <f>IF(VLOOKUP($C60,REV!$C:$AA,25,0)-'TRADE IN'!$F60=0,"",(VLOOKUP($C60,REV!$C:$AA,25,0)-'TRADE IN'!$F60))</f>
        <v>3899</v>
      </c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  <c r="AM60" s="45"/>
      <c r="AN60" s="45"/>
      <c r="AO60" s="45"/>
      <c r="AP60" s="45"/>
      <c r="AQ60" s="45"/>
      <c r="AR60" s="45"/>
      <c r="AS60" s="45"/>
      <c r="AT60" s="45"/>
      <c r="AU60" s="45"/>
      <c r="AV60" s="47"/>
      <c r="AW60" s="48" t="str">
        <f>REV!AW60</f>
        <v>13.08.2026</v>
      </c>
      <c r="AX60" s="149" t="s">
        <v>68</v>
      </c>
    </row>
    <row r="61" spans="1:50" ht="22.5" customHeight="1">
      <c r="A61" s="41" t="s">
        <v>63</v>
      </c>
      <c r="B61" s="42" t="s">
        <v>64</v>
      </c>
      <c r="C61" s="43">
        <v>4016599</v>
      </c>
      <c r="D61" s="44" t="s">
        <v>130</v>
      </c>
      <c r="E61" s="44" t="s">
        <v>133</v>
      </c>
      <c r="F61" s="45">
        <v>100</v>
      </c>
      <c r="G61" s="45"/>
      <c r="H61" s="46"/>
      <c r="I61" s="46"/>
      <c r="J61" s="46">
        <f>IF(VLOOKUP($C61,REV!$C:$AA,8,0)-'TRADE IN'!$F61=0,"",(VLOOKUP($C61,REV!$C:$AA,8,0)-'TRADE IN'!$F61))</f>
        <v>5699</v>
      </c>
      <c r="K61" s="46">
        <f>IF(VLOOKUP($C61,REV!$C:$AA,9,0)-'TRADE IN'!$F61=0,"",(VLOOKUP($C61,REV!$C:$AA,9,0)-'TRADE IN'!$F61))</f>
        <v>5699</v>
      </c>
      <c r="L61" s="46">
        <f>IF(VLOOKUP($C61,REV!$C:$AA,10,0)-'TRADE IN'!$F61=0,"",(VLOOKUP($C61,REV!$C:$AA,10,0)-'TRADE IN'!$F61))</f>
        <v>5699</v>
      </c>
      <c r="M61" s="46">
        <f>IF(VLOOKUP($C61,REV!$C:$AA,11,0)-'TRADE IN'!$F61=0,"",(VLOOKUP($C61,REV!$C:$AA,11,0)-'TRADE IN'!$F61))</f>
        <v>5699</v>
      </c>
      <c r="N61" s="46">
        <f>IF(VLOOKUP($C61,REV!$C:$AA,12,0)-'TRADE IN'!$F61=0,"",(VLOOKUP($C61,REV!$C:$AA,12,0)-'TRADE IN'!$F61))</f>
        <v>5699</v>
      </c>
      <c r="O61" s="46">
        <f>IF(VLOOKUP($C61,REV!$C:$AA,13,0)-'TRADE IN'!$F61=0,"",(VLOOKUP($C61,REV!$C:$AA,13,0)-'TRADE IN'!$F61))</f>
        <v>5199</v>
      </c>
      <c r="P61" s="46">
        <f>IF(VLOOKUP($C61,REV!$C:$AA,14,0)-'TRADE IN'!$F61=0,"",(VLOOKUP($C61,REV!$C:$AA,14,0)-'TRADE IN'!$F61))</f>
        <v>5099</v>
      </c>
      <c r="Q61" s="46">
        <f>IF(VLOOKUP($C61,REV!$C:$AA,15,0)-'TRADE IN'!$F61=0,"",(VLOOKUP($C61,REV!$C:$AA,15,0)-'TRADE IN'!$F61))</f>
        <v>4899</v>
      </c>
      <c r="R61" s="46">
        <f>IF(VLOOKUP($C61,REV!$C:$AA,16,0)-'TRADE IN'!$F61=0,"",(VLOOKUP($C61,REV!$C:$AA,16,0)-'TRADE IN'!$F61))</f>
        <v>5199</v>
      </c>
      <c r="S61" s="46">
        <f>IF(VLOOKUP($C61,REV!$C:$AA,17,0)-'TRADE IN'!$F61=0,"",(VLOOKUP($C61,REV!$C:$AA,17,0)-'TRADE IN'!$F61))</f>
        <v>5099</v>
      </c>
      <c r="T61" s="46">
        <f>IF(VLOOKUP($C61,REV!$C:$AA,18,0)-'TRADE IN'!$F61=0,"",(VLOOKUP($C61,REV!$C:$AA,18,0)-'TRADE IN'!$F61))</f>
        <v>4899</v>
      </c>
      <c r="U61" s="46">
        <f>IF(VLOOKUP($C61,REV!$C:$AA,19,0)-'TRADE IN'!$F61=0,"",(VLOOKUP($C61,REV!$C:$AA,19,0)-'TRADE IN'!$F61))</f>
        <v>4899</v>
      </c>
      <c r="V61" s="46">
        <f>IF(VLOOKUP($C61,REV!$C:$AA,20,0)-'TRADE IN'!$F61=0,"",(VLOOKUP($C61,REV!$C:$AA,20,0)-'TRADE IN'!$F61))</f>
        <v>4899</v>
      </c>
      <c r="W61" s="46">
        <f>IF(VLOOKUP($C61,REV!$C:$AA,21,0)-'TRADE IN'!$F61=0,"",(VLOOKUP($C61,REV!$C:$AA,21,0)-'TRADE IN'!$F61))</f>
        <v>4899</v>
      </c>
      <c r="X61" s="46">
        <f>IF(VLOOKUP($C61,REV!$C:$AA,22,0)-'TRADE IN'!$F61=0,"",(VLOOKUP($C61,REV!$C:$AA,22,0)-'TRADE IN'!$F61))</f>
        <v>4799</v>
      </c>
      <c r="Y61" s="46">
        <f>IF(VLOOKUP($C61,REV!$C:$AA,23,0)-'TRADE IN'!$F61=0,"",(VLOOKUP($C61,REV!$C:$AA,23,0)-'TRADE IN'!$F61))</f>
        <v>3899</v>
      </c>
      <c r="Z61" s="46">
        <f>IF(VLOOKUP($C61,REV!$C:$AA,24,0)-'TRADE IN'!$F61=0,"",(VLOOKUP($C61,REV!$C:$AA,24,0)-'TRADE IN'!$F61))</f>
        <v>3899</v>
      </c>
      <c r="AA61" s="46">
        <f>IF(VLOOKUP($C61,REV!$C:$AA,25,0)-'TRADE IN'!$F61=0,"",(VLOOKUP($C61,REV!$C:$AA,25,0)-'TRADE IN'!$F61))</f>
        <v>3899</v>
      </c>
      <c r="AB61" s="45"/>
      <c r="AC61" s="45"/>
      <c r="AD61" s="45"/>
      <c r="AE61" s="45"/>
      <c r="AF61" s="45"/>
      <c r="AG61" s="45"/>
      <c r="AH61" s="45"/>
      <c r="AI61" s="45"/>
      <c r="AJ61" s="45"/>
      <c r="AK61" s="45"/>
      <c r="AL61" s="45"/>
      <c r="AM61" s="45"/>
      <c r="AN61" s="45"/>
      <c r="AO61" s="45"/>
      <c r="AP61" s="45"/>
      <c r="AQ61" s="45"/>
      <c r="AR61" s="45"/>
      <c r="AS61" s="45"/>
      <c r="AT61" s="45"/>
      <c r="AU61" s="45"/>
      <c r="AV61" s="47"/>
      <c r="AW61" s="48" t="str">
        <f>REV!AW61</f>
        <v>13.08.2026</v>
      </c>
      <c r="AX61" s="149" t="s">
        <v>68</v>
      </c>
    </row>
    <row r="62" spans="1:50" ht="22.5" customHeight="1">
      <c r="A62" s="41" t="s">
        <v>63</v>
      </c>
      <c r="B62" s="42" t="s">
        <v>64</v>
      </c>
      <c r="C62" s="43">
        <v>4016672</v>
      </c>
      <c r="D62" s="44" t="s">
        <v>130</v>
      </c>
      <c r="E62" s="44" t="s">
        <v>134</v>
      </c>
      <c r="F62" s="45">
        <v>100</v>
      </c>
      <c r="G62" s="45"/>
      <c r="H62" s="46"/>
      <c r="I62" s="46"/>
      <c r="J62" s="46">
        <f>IF(VLOOKUP($C62,REV!$C:$AA,8,0)-'TRADE IN'!$F62=0,"",(VLOOKUP($C62,REV!$C:$AA,8,0)-'TRADE IN'!$F62))</f>
        <v>5699</v>
      </c>
      <c r="K62" s="46">
        <f>IF(VLOOKUP($C62,REV!$C:$AA,9,0)-'TRADE IN'!$F62=0,"",(VLOOKUP($C62,REV!$C:$AA,9,0)-'TRADE IN'!$F62))</f>
        <v>5699</v>
      </c>
      <c r="L62" s="46">
        <f>IF(VLOOKUP($C62,REV!$C:$AA,10,0)-'TRADE IN'!$F62=0,"",(VLOOKUP($C62,REV!$C:$AA,10,0)-'TRADE IN'!$F62))</f>
        <v>5699</v>
      </c>
      <c r="M62" s="46">
        <f>IF(VLOOKUP($C62,REV!$C:$AA,11,0)-'TRADE IN'!$F62=0,"",(VLOOKUP($C62,REV!$C:$AA,11,0)-'TRADE IN'!$F62))</f>
        <v>5699</v>
      </c>
      <c r="N62" s="46">
        <f>IF(VLOOKUP($C62,REV!$C:$AA,12,0)-'TRADE IN'!$F62=0,"",(VLOOKUP($C62,REV!$C:$AA,12,0)-'TRADE IN'!$F62))</f>
        <v>5699</v>
      </c>
      <c r="O62" s="46">
        <f>IF(VLOOKUP($C62,REV!$C:$AA,13,0)-'TRADE IN'!$F62=0,"",(VLOOKUP($C62,REV!$C:$AA,13,0)-'TRADE IN'!$F62))</f>
        <v>5199</v>
      </c>
      <c r="P62" s="46">
        <f>IF(VLOOKUP($C62,REV!$C:$AA,14,0)-'TRADE IN'!$F62=0,"",(VLOOKUP($C62,REV!$C:$AA,14,0)-'TRADE IN'!$F62))</f>
        <v>5099</v>
      </c>
      <c r="Q62" s="46">
        <f>IF(VLOOKUP($C62,REV!$C:$AA,15,0)-'TRADE IN'!$F62=0,"",(VLOOKUP($C62,REV!$C:$AA,15,0)-'TRADE IN'!$F62))</f>
        <v>4899</v>
      </c>
      <c r="R62" s="46">
        <f>IF(VLOOKUP($C62,REV!$C:$AA,16,0)-'TRADE IN'!$F62=0,"",(VLOOKUP($C62,REV!$C:$AA,16,0)-'TRADE IN'!$F62))</f>
        <v>5199</v>
      </c>
      <c r="S62" s="46">
        <f>IF(VLOOKUP($C62,REV!$C:$AA,17,0)-'TRADE IN'!$F62=0,"",(VLOOKUP($C62,REV!$C:$AA,17,0)-'TRADE IN'!$F62))</f>
        <v>5099</v>
      </c>
      <c r="T62" s="46">
        <f>IF(VLOOKUP($C62,REV!$C:$AA,18,0)-'TRADE IN'!$F62=0,"",(VLOOKUP($C62,REV!$C:$AA,18,0)-'TRADE IN'!$F62))</f>
        <v>4899</v>
      </c>
      <c r="U62" s="46">
        <f>IF(VLOOKUP($C62,REV!$C:$AA,19,0)-'TRADE IN'!$F62=0,"",(VLOOKUP($C62,REV!$C:$AA,19,0)-'TRADE IN'!$F62))</f>
        <v>4899</v>
      </c>
      <c r="V62" s="46">
        <f>IF(VLOOKUP($C62,REV!$C:$AA,20,0)-'TRADE IN'!$F62=0,"",(VLOOKUP($C62,REV!$C:$AA,20,0)-'TRADE IN'!$F62))</f>
        <v>4899</v>
      </c>
      <c r="W62" s="46">
        <f>IF(VLOOKUP($C62,REV!$C:$AA,21,0)-'TRADE IN'!$F62=0,"",(VLOOKUP($C62,REV!$C:$AA,21,0)-'TRADE IN'!$F62))</f>
        <v>4899</v>
      </c>
      <c r="X62" s="46">
        <f>IF(VLOOKUP($C62,REV!$C:$AA,22,0)-'TRADE IN'!$F62=0,"",(VLOOKUP($C62,REV!$C:$AA,22,0)-'TRADE IN'!$F62))</f>
        <v>4799</v>
      </c>
      <c r="Y62" s="46">
        <f>IF(VLOOKUP($C62,REV!$C:$AA,23,0)-'TRADE IN'!$F62=0,"",(VLOOKUP($C62,REV!$C:$AA,23,0)-'TRADE IN'!$F62))</f>
        <v>3899</v>
      </c>
      <c r="Z62" s="46">
        <f>IF(VLOOKUP($C62,REV!$C:$AA,24,0)-'TRADE IN'!$F62=0,"",(VLOOKUP($C62,REV!$C:$AA,24,0)-'TRADE IN'!$F62))</f>
        <v>3899</v>
      </c>
      <c r="AA62" s="46">
        <f>IF(VLOOKUP($C62,REV!$C:$AA,25,0)-'TRADE IN'!$F62=0,"",(VLOOKUP($C62,REV!$C:$AA,25,0)-'TRADE IN'!$F62))</f>
        <v>3899</v>
      </c>
      <c r="AB62" s="45"/>
      <c r="AC62" s="45"/>
      <c r="AD62" s="45"/>
      <c r="AE62" s="45"/>
      <c r="AF62" s="45"/>
      <c r="AG62" s="45"/>
      <c r="AH62" s="45"/>
      <c r="AI62" s="45"/>
      <c r="AJ62" s="45"/>
      <c r="AK62" s="45"/>
      <c r="AL62" s="45"/>
      <c r="AM62" s="45"/>
      <c r="AN62" s="45"/>
      <c r="AO62" s="45"/>
      <c r="AP62" s="45"/>
      <c r="AQ62" s="45"/>
      <c r="AR62" s="45"/>
      <c r="AS62" s="45"/>
      <c r="AT62" s="45"/>
      <c r="AU62" s="45"/>
      <c r="AV62" s="47"/>
      <c r="AW62" s="48" t="str">
        <f>REV!AW62</f>
        <v>13.08.2026</v>
      </c>
      <c r="AX62" s="149" t="s">
        <v>68</v>
      </c>
    </row>
    <row r="63" spans="1:50" ht="22.5" customHeight="1">
      <c r="A63" s="41" t="s">
        <v>63</v>
      </c>
      <c r="B63" s="42" t="s">
        <v>64</v>
      </c>
      <c r="C63" s="43">
        <v>4016682</v>
      </c>
      <c r="D63" s="44" t="s">
        <v>130</v>
      </c>
      <c r="E63" s="44" t="s">
        <v>135</v>
      </c>
      <c r="F63" s="45">
        <v>100</v>
      </c>
      <c r="G63" s="45"/>
      <c r="H63" s="46"/>
      <c r="I63" s="46"/>
      <c r="J63" s="46">
        <f>IF(VLOOKUP($C63,REV!$C:$AA,8,0)-'TRADE IN'!$F63=0,"",(VLOOKUP($C63,REV!$C:$AA,8,0)-'TRADE IN'!$F63))</f>
        <v>5699</v>
      </c>
      <c r="K63" s="46">
        <f>IF(VLOOKUP($C63,REV!$C:$AA,9,0)-'TRADE IN'!$F63=0,"",(VLOOKUP($C63,REV!$C:$AA,9,0)-'TRADE IN'!$F63))</f>
        <v>5699</v>
      </c>
      <c r="L63" s="46">
        <f>IF(VLOOKUP($C63,REV!$C:$AA,10,0)-'TRADE IN'!$F63=0,"",(VLOOKUP($C63,REV!$C:$AA,10,0)-'TRADE IN'!$F63))</f>
        <v>5699</v>
      </c>
      <c r="M63" s="46">
        <f>IF(VLOOKUP($C63,REV!$C:$AA,11,0)-'TRADE IN'!$F63=0,"",(VLOOKUP($C63,REV!$C:$AA,11,0)-'TRADE IN'!$F63))</f>
        <v>5699</v>
      </c>
      <c r="N63" s="46">
        <f>IF(VLOOKUP($C63,REV!$C:$AA,12,0)-'TRADE IN'!$F63=0,"",(VLOOKUP($C63,REV!$C:$AA,12,0)-'TRADE IN'!$F63))</f>
        <v>5699</v>
      </c>
      <c r="O63" s="46">
        <f>IF(VLOOKUP($C63,REV!$C:$AA,13,0)-'TRADE IN'!$F63=0,"",(VLOOKUP($C63,REV!$C:$AA,13,0)-'TRADE IN'!$F63))</f>
        <v>5199</v>
      </c>
      <c r="P63" s="46">
        <f>IF(VLOOKUP($C63,REV!$C:$AA,14,0)-'TRADE IN'!$F63=0,"",(VLOOKUP($C63,REV!$C:$AA,14,0)-'TRADE IN'!$F63))</f>
        <v>5099</v>
      </c>
      <c r="Q63" s="46">
        <f>IF(VLOOKUP($C63,REV!$C:$AA,15,0)-'TRADE IN'!$F63=0,"",(VLOOKUP($C63,REV!$C:$AA,15,0)-'TRADE IN'!$F63))</f>
        <v>4899</v>
      </c>
      <c r="R63" s="46">
        <f>IF(VLOOKUP($C63,REV!$C:$AA,16,0)-'TRADE IN'!$F63=0,"",(VLOOKUP($C63,REV!$C:$AA,16,0)-'TRADE IN'!$F63))</f>
        <v>5199</v>
      </c>
      <c r="S63" s="46">
        <f>IF(VLOOKUP($C63,REV!$C:$AA,17,0)-'TRADE IN'!$F63=0,"",(VLOOKUP($C63,REV!$C:$AA,17,0)-'TRADE IN'!$F63))</f>
        <v>5099</v>
      </c>
      <c r="T63" s="46">
        <f>IF(VLOOKUP($C63,REV!$C:$AA,18,0)-'TRADE IN'!$F63=0,"",(VLOOKUP($C63,REV!$C:$AA,18,0)-'TRADE IN'!$F63))</f>
        <v>4899</v>
      </c>
      <c r="U63" s="46">
        <f>IF(VLOOKUP($C63,REV!$C:$AA,19,0)-'TRADE IN'!$F63=0,"",(VLOOKUP($C63,REV!$C:$AA,19,0)-'TRADE IN'!$F63))</f>
        <v>4899</v>
      </c>
      <c r="V63" s="46">
        <f>IF(VLOOKUP($C63,REV!$C:$AA,20,0)-'TRADE IN'!$F63=0,"",(VLOOKUP($C63,REV!$C:$AA,20,0)-'TRADE IN'!$F63))</f>
        <v>4899</v>
      </c>
      <c r="W63" s="46">
        <f>IF(VLOOKUP($C63,REV!$C:$AA,21,0)-'TRADE IN'!$F63=0,"",(VLOOKUP($C63,REV!$C:$AA,21,0)-'TRADE IN'!$F63))</f>
        <v>4899</v>
      </c>
      <c r="X63" s="46">
        <f>IF(VLOOKUP($C63,REV!$C:$AA,22,0)-'TRADE IN'!$F63=0,"",(VLOOKUP($C63,REV!$C:$AA,22,0)-'TRADE IN'!$F63))</f>
        <v>4799</v>
      </c>
      <c r="Y63" s="46">
        <f>IF(VLOOKUP($C63,REV!$C:$AA,23,0)-'TRADE IN'!$F63=0,"",(VLOOKUP($C63,REV!$C:$AA,23,0)-'TRADE IN'!$F63))</f>
        <v>3899</v>
      </c>
      <c r="Z63" s="46">
        <f>IF(VLOOKUP($C63,REV!$C:$AA,24,0)-'TRADE IN'!$F63=0,"",(VLOOKUP($C63,REV!$C:$AA,24,0)-'TRADE IN'!$F63))</f>
        <v>3899</v>
      </c>
      <c r="AA63" s="46">
        <f>IF(VLOOKUP($C63,REV!$C:$AA,25,0)-'TRADE IN'!$F63=0,"",(VLOOKUP($C63,REV!$C:$AA,25,0)-'TRADE IN'!$F63))</f>
        <v>3899</v>
      </c>
      <c r="AB63" s="45"/>
      <c r="AC63" s="45"/>
      <c r="AD63" s="45"/>
      <c r="AE63" s="45"/>
      <c r="AF63" s="45"/>
      <c r="AG63" s="45"/>
      <c r="AH63" s="45"/>
      <c r="AI63" s="45"/>
      <c r="AJ63" s="45"/>
      <c r="AK63" s="45"/>
      <c r="AL63" s="45"/>
      <c r="AM63" s="45"/>
      <c r="AN63" s="45"/>
      <c r="AO63" s="45"/>
      <c r="AP63" s="45"/>
      <c r="AQ63" s="45"/>
      <c r="AR63" s="45"/>
      <c r="AS63" s="45"/>
      <c r="AT63" s="45"/>
      <c r="AU63" s="45"/>
      <c r="AV63" s="47"/>
      <c r="AW63" s="48" t="str">
        <f>REV!AW63</f>
        <v>13.08.2026</v>
      </c>
      <c r="AX63" s="149" t="s">
        <v>68</v>
      </c>
    </row>
    <row r="64" spans="1:50" ht="22.5" customHeight="1">
      <c r="A64" s="41" t="s">
        <v>63</v>
      </c>
      <c r="B64" s="42" t="s">
        <v>64</v>
      </c>
      <c r="C64" s="43">
        <v>4016560</v>
      </c>
      <c r="D64" s="44" t="s">
        <v>136</v>
      </c>
      <c r="E64" s="44" t="s">
        <v>137</v>
      </c>
      <c r="F64" s="45">
        <v>100</v>
      </c>
      <c r="G64" s="45"/>
      <c r="H64" s="46"/>
      <c r="I64" s="46"/>
      <c r="J64" s="46">
        <f>IF(VLOOKUP($C64,REV!$C:$AA,8,0)-'TRADE IN'!$F64=0,"",(VLOOKUP($C64,REV!$C:$AA,8,0)-'TRADE IN'!$F64))</f>
        <v>5599</v>
      </c>
      <c r="K64" s="46">
        <f>IF(VLOOKUP($C64,REV!$C:$AA,9,0)-'TRADE IN'!$F64=0,"",(VLOOKUP($C64,REV!$C:$AA,9,0)-'TRADE IN'!$F64))</f>
        <v>5599</v>
      </c>
      <c r="L64" s="46">
        <f>IF(VLOOKUP($C64,REV!$C:$AA,10,0)-'TRADE IN'!$F64=0,"",(VLOOKUP($C64,REV!$C:$AA,10,0)-'TRADE IN'!$F64))</f>
        <v>5599</v>
      </c>
      <c r="M64" s="46">
        <f>IF(VLOOKUP($C64,REV!$C:$AA,11,0)-'TRADE IN'!$F64=0,"",(VLOOKUP($C64,REV!$C:$AA,11,0)-'TRADE IN'!$F64))</f>
        <v>5599</v>
      </c>
      <c r="N64" s="46">
        <f>IF(VLOOKUP($C64,REV!$C:$AA,12,0)-'TRADE IN'!$F64=0,"",(VLOOKUP($C64,REV!$C:$AA,12,0)-'TRADE IN'!$F64))</f>
        <v>5599</v>
      </c>
      <c r="O64" s="46">
        <f>IF(VLOOKUP($C64,REV!$C:$AA,13,0)-'TRADE IN'!$F64=0,"",(VLOOKUP($C64,REV!$C:$AA,13,0)-'TRADE IN'!$F64))</f>
        <v>5499</v>
      </c>
      <c r="P64" s="46">
        <f>IF(VLOOKUP($C64,REV!$C:$AA,14,0)-'TRADE IN'!$F64=0,"",(VLOOKUP($C64,REV!$C:$AA,14,0)-'TRADE IN'!$F64))</f>
        <v>5399</v>
      </c>
      <c r="Q64" s="46">
        <f>IF(VLOOKUP($C64,REV!$C:$AA,15,0)-'TRADE IN'!$F64=0,"",(VLOOKUP($C64,REV!$C:$AA,15,0)-'TRADE IN'!$F64))</f>
        <v>4699</v>
      </c>
      <c r="R64" s="46">
        <f>IF(VLOOKUP($C64,REV!$C:$AA,16,0)-'TRADE IN'!$F64=0,"",(VLOOKUP($C64,REV!$C:$AA,16,0)-'TRADE IN'!$F64))</f>
        <v>5499</v>
      </c>
      <c r="S64" s="46">
        <f>IF(VLOOKUP($C64,REV!$C:$AA,17,0)-'TRADE IN'!$F64=0,"",(VLOOKUP($C64,REV!$C:$AA,17,0)-'TRADE IN'!$F64))</f>
        <v>5399</v>
      </c>
      <c r="T64" s="46">
        <f>IF(VLOOKUP($C64,REV!$C:$AA,18,0)-'TRADE IN'!$F64=0,"",(VLOOKUP($C64,REV!$C:$AA,18,0)-'TRADE IN'!$F64))</f>
        <v>4699</v>
      </c>
      <c r="U64" s="46">
        <f>IF(VLOOKUP($C64,REV!$C:$AA,19,0)-'TRADE IN'!$F64=0,"",(VLOOKUP($C64,REV!$C:$AA,19,0)-'TRADE IN'!$F64))</f>
        <v>4699</v>
      </c>
      <c r="V64" s="46">
        <f>IF(VLOOKUP($C64,REV!$C:$AA,20,0)-'TRADE IN'!$F64=0,"",(VLOOKUP($C64,REV!$C:$AA,20,0)-'TRADE IN'!$F64))</f>
        <v>4699</v>
      </c>
      <c r="W64" s="46">
        <f>IF(VLOOKUP($C64,REV!$C:$AA,21,0)-'TRADE IN'!$F64=0,"",(VLOOKUP($C64,REV!$C:$AA,21,0)-'TRADE IN'!$F64))</f>
        <v>4699</v>
      </c>
      <c r="X64" s="46">
        <f>IF(VLOOKUP($C64,REV!$C:$AA,22,0)-'TRADE IN'!$F64=0,"",(VLOOKUP($C64,REV!$C:$AA,22,0)-'TRADE IN'!$F64))</f>
        <v>4599</v>
      </c>
      <c r="Y64" s="46">
        <f>IF(VLOOKUP($C64,REV!$C:$AA,23,0)-'TRADE IN'!$F64=0,"",(VLOOKUP($C64,REV!$C:$AA,23,0)-'TRADE IN'!$F64))</f>
        <v>4199</v>
      </c>
      <c r="Z64" s="46">
        <f>IF(VLOOKUP($C64,REV!$C:$AA,24,0)-'TRADE IN'!$F64=0,"",(VLOOKUP($C64,REV!$C:$AA,24,0)-'TRADE IN'!$F64))</f>
        <v>4199</v>
      </c>
      <c r="AA64" s="46">
        <f>IF(VLOOKUP($C64,REV!$C:$AA,25,0)-'TRADE IN'!$F64=0,"",(VLOOKUP($C64,REV!$C:$AA,25,0)-'TRADE IN'!$F64))</f>
        <v>4149</v>
      </c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  <c r="AM64" s="45"/>
      <c r="AN64" s="45"/>
      <c r="AO64" s="45"/>
      <c r="AP64" s="45"/>
      <c r="AQ64" s="45"/>
      <c r="AR64" s="45"/>
      <c r="AS64" s="45"/>
      <c r="AT64" s="45"/>
      <c r="AU64" s="45"/>
      <c r="AV64" s="47"/>
      <c r="AW64" s="48" t="str">
        <f>REV!AW64</f>
        <v>13.08.2026</v>
      </c>
      <c r="AX64" s="149" t="s">
        <v>68</v>
      </c>
    </row>
    <row r="65" spans="1:50" ht="22.5" customHeight="1">
      <c r="A65" s="41" t="s">
        <v>63</v>
      </c>
      <c r="B65" s="42" t="s">
        <v>64</v>
      </c>
      <c r="C65" s="43">
        <v>4016565</v>
      </c>
      <c r="D65" s="44" t="s">
        <v>136</v>
      </c>
      <c r="E65" s="44" t="s">
        <v>138</v>
      </c>
      <c r="F65" s="45">
        <v>100</v>
      </c>
      <c r="G65" s="45"/>
      <c r="H65" s="46"/>
      <c r="I65" s="46"/>
      <c r="J65" s="46">
        <f>IF(VLOOKUP($C65,REV!$C:$AA,8,0)-'TRADE IN'!$F65=0,"",(VLOOKUP($C65,REV!$C:$AA,8,0)-'TRADE IN'!$F65))</f>
        <v>5599</v>
      </c>
      <c r="K65" s="46">
        <f>IF(VLOOKUP($C65,REV!$C:$AA,9,0)-'TRADE IN'!$F65=0,"",(VLOOKUP($C65,REV!$C:$AA,9,0)-'TRADE IN'!$F65))</f>
        <v>5599</v>
      </c>
      <c r="L65" s="46">
        <f>IF(VLOOKUP($C65,REV!$C:$AA,10,0)-'TRADE IN'!$F65=0,"",(VLOOKUP($C65,REV!$C:$AA,10,0)-'TRADE IN'!$F65))</f>
        <v>5599</v>
      </c>
      <c r="M65" s="46">
        <f>IF(VLOOKUP($C65,REV!$C:$AA,11,0)-'TRADE IN'!$F65=0,"",(VLOOKUP($C65,REV!$C:$AA,11,0)-'TRADE IN'!$F65))</f>
        <v>5599</v>
      </c>
      <c r="N65" s="46">
        <f>IF(VLOOKUP($C65,REV!$C:$AA,12,0)-'TRADE IN'!$F65=0,"",(VLOOKUP($C65,REV!$C:$AA,12,0)-'TRADE IN'!$F65))</f>
        <v>5599</v>
      </c>
      <c r="O65" s="46">
        <f>IF(VLOOKUP($C65,REV!$C:$AA,13,0)-'TRADE IN'!$F65=0,"",(VLOOKUP($C65,REV!$C:$AA,13,0)-'TRADE IN'!$F65))</f>
        <v>5499</v>
      </c>
      <c r="P65" s="46">
        <f>IF(VLOOKUP($C65,REV!$C:$AA,14,0)-'TRADE IN'!$F65=0,"",(VLOOKUP($C65,REV!$C:$AA,14,0)-'TRADE IN'!$F65))</f>
        <v>5399</v>
      </c>
      <c r="Q65" s="46">
        <f>IF(VLOOKUP($C65,REV!$C:$AA,15,0)-'TRADE IN'!$F65=0,"",(VLOOKUP($C65,REV!$C:$AA,15,0)-'TRADE IN'!$F65))</f>
        <v>4699</v>
      </c>
      <c r="R65" s="46">
        <f>IF(VLOOKUP($C65,REV!$C:$AA,16,0)-'TRADE IN'!$F65=0,"",(VLOOKUP($C65,REV!$C:$AA,16,0)-'TRADE IN'!$F65))</f>
        <v>5499</v>
      </c>
      <c r="S65" s="46">
        <f>IF(VLOOKUP($C65,REV!$C:$AA,17,0)-'TRADE IN'!$F65=0,"",(VLOOKUP($C65,REV!$C:$AA,17,0)-'TRADE IN'!$F65))</f>
        <v>5399</v>
      </c>
      <c r="T65" s="46">
        <f>IF(VLOOKUP($C65,REV!$C:$AA,18,0)-'TRADE IN'!$F65=0,"",(VLOOKUP($C65,REV!$C:$AA,18,0)-'TRADE IN'!$F65))</f>
        <v>4699</v>
      </c>
      <c r="U65" s="46">
        <f>IF(VLOOKUP($C65,REV!$C:$AA,19,0)-'TRADE IN'!$F65=0,"",(VLOOKUP($C65,REV!$C:$AA,19,0)-'TRADE IN'!$F65))</f>
        <v>4699</v>
      </c>
      <c r="V65" s="46">
        <f>IF(VLOOKUP($C65,REV!$C:$AA,20,0)-'TRADE IN'!$F65=0,"",(VLOOKUP($C65,REV!$C:$AA,20,0)-'TRADE IN'!$F65))</f>
        <v>4699</v>
      </c>
      <c r="W65" s="46">
        <f>IF(VLOOKUP($C65,REV!$C:$AA,21,0)-'TRADE IN'!$F65=0,"",(VLOOKUP($C65,REV!$C:$AA,21,0)-'TRADE IN'!$F65))</f>
        <v>4699</v>
      </c>
      <c r="X65" s="46">
        <f>IF(VLOOKUP($C65,REV!$C:$AA,22,0)-'TRADE IN'!$F65=0,"",(VLOOKUP($C65,REV!$C:$AA,22,0)-'TRADE IN'!$F65))</f>
        <v>4599</v>
      </c>
      <c r="Y65" s="46">
        <f>IF(VLOOKUP($C65,REV!$C:$AA,23,0)-'TRADE IN'!$F65=0,"",(VLOOKUP($C65,REV!$C:$AA,23,0)-'TRADE IN'!$F65))</f>
        <v>4199</v>
      </c>
      <c r="Z65" s="46">
        <f>IF(VLOOKUP($C65,REV!$C:$AA,24,0)-'TRADE IN'!$F65=0,"",(VLOOKUP($C65,REV!$C:$AA,24,0)-'TRADE IN'!$F65))</f>
        <v>4199</v>
      </c>
      <c r="AA65" s="46">
        <f>IF(VLOOKUP($C65,REV!$C:$AA,25,0)-'TRADE IN'!$F65=0,"",(VLOOKUP($C65,REV!$C:$AA,25,0)-'TRADE IN'!$F65))</f>
        <v>4149</v>
      </c>
      <c r="AB65" s="45"/>
      <c r="AC65" s="45"/>
      <c r="AD65" s="45"/>
      <c r="AE65" s="45"/>
      <c r="AF65" s="45"/>
      <c r="AG65" s="45"/>
      <c r="AH65" s="45"/>
      <c r="AI65" s="45"/>
      <c r="AJ65" s="45"/>
      <c r="AK65" s="45"/>
      <c r="AL65" s="45"/>
      <c r="AM65" s="45"/>
      <c r="AN65" s="45"/>
      <c r="AO65" s="45"/>
      <c r="AP65" s="45"/>
      <c r="AQ65" s="45"/>
      <c r="AR65" s="45"/>
      <c r="AS65" s="45"/>
      <c r="AT65" s="45"/>
      <c r="AU65" s="45"/>
      <c r="AV65" s="47"/>
      <c r="AW65" s="48" t="str">
        <f>REV!AW65</f>
        <v>13.08.2026</v>
      </c>
      <c r="AX65" s="149" t="s">
        <v>68</v>
      </c>
    </row>
    <row r="66" spans="1:50" ht="22.5" customHeight="1">
      <c r="A66" s="41" t="s">
        <v>63</v>
      </c>
      <c r="B66" s="42" t="s">
        <v>64</v>
      </c>
      <c r="C66" s="43">
        <v>4016675</v>
      </c>
      <c r="D66" s="44" t="s">
        <v>136</v>
      </c>
      <c r="E66" s="44" t="s">
        <v>139</v>
      </c>
      <c r="F66" s="45">
        <v>100</v>
      </c>
      <c r="G66" s="45"/>
      <c r="H66" s="46"/>
      <c r="I66" s="46"/>
      <c r="J66" s="46">
        <f>IF(VLOOKUP($C66,REV!$C:$AA,8,0)-'TRADE IN'!$F66=0,"",(VLOOKUP($C66,REV!$C:$AA,8,0)-'TRADE IN'!$F66))</f>
        <v>5599</v>
      </c>
      <c r="K66" s="46">
        <f>IF(VLOOKUP($C66,REV!$C:$AA,9,0)-'TRADE IN'!$F66=0,"",(VLOOKUP($C66,REV!$C:$AA,9,0)-'TRADE IN'!$F66))</f>
        <v>5599</v>
      </c>
      <c r="L66" s="46">
        <f>IF(VLOOKUP($C66,REV!$C:$AA,10,0)-'TRADE IN'!$F66=0,"",(VLOOKUP($C66,REV!$C:$AA,10,0)-'TRADE IN'!$F66))</f>
        <v>5599</v>
      </c>
      <c r="M66" s="46">
        <f>IF(VLOOKUP($C66,REV!$C:$AA,11,0)-'TRADE IN'!$F66=0,"",(VLOOKUP($C66,REV!$C:$AA,11,0)-'TRADE IN'!$F66))</f>
        <v>5599</v>
      </c>
      <c r="N66" s="46">
        <f>IF(VLOOKUP($C66,REV!$C:$AA,12,0)-'TRADE IN'!$F66=0,"",(VLOOKUP($C66,REV!$C:$AA,12,0)-'TRADE IN'!$F66))</f>
        <v>5599</v>
      </c>
      <c r="O66" s="46">
        <f>IF(VLOOKUP($C66,REV!$C:$AA,13,0)-'TRADE IN'!$F66=0,"",(VLOOKUP($C66,REV!$C:$AA,13,0)-'TRADE IN'!$F66))</f>
        <v>5499</v>
      </c>
      <c r="P66" s="46">
        <f>IF(VLOOKUP($C66,REV!$C:$AA,14,0)-'TRADE IN'!$F66=0,"",(VLOOKUP($C66,REV!$C:$AA,14,0)-'TRADE IN'!$F66))</f>
        <v>5399</v>
      </c>
      <c r="Q66" s="46">
        <f>IF(VLOOKUP($C66,REV!$C:$AA,15,0)-'TRADE IN'!$F66=0,"",(VLOOKUP($C66,REV!$C:$AA,15,0)-'TRADE IN'!$F66))</f>
        <v>4699</v>
      </c>
      <c r="R66" s="46">
        <f>IF(VLOOKUP($C66,REV!$C:$AA,16,0)-'TRADE IN'!$F66=0,"",(VLOOKUP($C66,REV!$C:$AA,16,0)-'TRADE IN'!$F66))</f>
        <v>5499</v>
      </c>
      <c r="S66" s="46">
        <f>IF(VLOOKUP($C66,REV!$C:$AA,17,0)-'TRADE IN'!$F66=0,"",(VLOOKUP($C66,REV!$C:$AA,17,0)-'TRADE IN'!$F66))</f>
        <v>5399</v>
      </c>
      <c r="T66" s="46">
        <f>IF(VLOOKUP($C66,REV!$C:$AA,18,0)-'TRADE IN'!$F66=0,"",(VLOOKUP($C66,REV!$C:$AA,18,0)-'TRADE IN'!$F66))</f>
        <v>4699</v>
      </c>
      <c r="U66" s="46">
        <f>IF(VLOOKUP($C66,REV!$C:$AA,19,0)-'TRADE IN'!$F66=0,"",(VLOOKUP($C66,REV!$C:$AA,19,0)-'TRADE IN'!$F66))</f>
        <v>4699</v>
      </c>
      <c r="V66" s="46">
        <f>IF(VLOOKUP($C66,REV!$C:$AA,20,0)-'TRADE IN'!$F66=0,"",(VLOOKUP($C66,REV!$C:$AA,20,0)-'TRADE IN'!$F66))</f>
        <v>4699</v>
      </c>
      <c r="W66" s="46">
        <f>IF(VLOOKUP($C66,REV!$C:$AA,21,0)-'TRADE IN'!$F66=0,"",(VLOOKUP($C66,REV!$C:$AA,21,0)-'TRADE IN'!$F66))</f>
        <v>4699</v>
      </c>
      <c r="X66" s="46">
        <f>IF(VLOOKUP($C66,REV!$C:$AA,22,0)-'TRADE IN'!$F66=0,"",(VLOOKUP($C66,REV!$C:$AA,22,0)-'TRADE IN'!$F66))</f>
        <v>4599</v>
      </c>
      <c r="Y66" s="46">
        <f>IF(VLOOKUP($C66,REV!$C:$AA,23,0)-'TRADE IN'!$F66=0,"",(VLOOKUP($C66,REV!$C:$AA,23,0)-'TRADE IN'!$F66))</f>
        <v>4199</v>
      </c>
      <c r="Z66" s="46">
        <f>IF(VLOOKUP($C66,REV!$C:$AA,24,0)-'TRADE IN'!$F66=0,"",(VLOOKUP($C66,REV!$C:$AA,24,0)-'TRADE IN'!$F66))</f>
        <v>4199</v>
      </c>
      <c r="AA66" s="46">
        <f>IF(VLOOKUP($C66,REV!$C:$AA,25,0)-'TRADE IN'!$F66=0,"",(VLOOKUP($C66,REV!$C:$AA,25,0)-'TRADE IN'!$F66))</f>
        <v>4149</v>
      </c>
      <c r="AB66" s="45"/>
      <c r="AC66" s="45"/>
      <c r="AD66" s="45"/>
      <c r="AE66" s="45"/>
      <c r="AF66" s="45"/>
      <c r="AG66" s="45"/>
      <c r="AH66" s="45"/>
      <c r="AI66" s="45"/>
      <c r="AJ66" s="45"/>
      <c r="AK66" s="45"/>
      <c r="AL66" s="45"/>
      <c r="AM66" s="45"/>
      <c r="AN66" s="45"/>
      <c r="AO66" s="45"/>
      <c r="AP66" s="45"/>
      <c r="AQ66" s="45"/>
      <c r="AR66" s="45"/>
      <c r="AS66" s="45"/>
      <c r="AT66" s="45"/>
      <c r="AU66" s="45"/>
      <c r="AV66" s="47"/>
      <c r="AW66" s="48" t="str">
        <f>REV!AW66</f>
        <v>13.08.2026</v>
      </c>
      <c r="AX66" s="149" t="s">
        <v>68</v>
      </c>
    </row>
    <row r="67" spans="1:50" ht="22.5" customHeight="1">
      <c r="A67" s="41" t="s">
        <v>63</v>
      </c>
      <c r="B67" s="42" t="s">
        <v>64</v>
      </c>
      <c r="C67" s="43">
        <v>4016670</v>
      </c>
      <c r="D67" s="44" t="s">
        <v>136</v>
      </c>
      <c r="E67" s="44" t="s">
        <v>140</v>
      </c>
      <c r="F67" s="45">
        <v>100</v>
      </c>
      <c r="G67" s="45"/>
      <c r="H67" s="46"/>
      <c r="I67" s="46"/>
      <c r="J67" s="46">
        <f>IF(VLOOKUP($C67,REV!$C:$AA,8,0)-'TRADE IN'!$F67=0,"",(VLOOKUP($C67,REV!$C:$AA,8,0)-'TRADE IN'!$F67))</f>
        <v>5599</v>
      </c>
      <c r="K67" s="46">
        <f>IF(VLOOKUP($C67,REV!$C:$AA,9,0)-'TRADE IN'!$F67=0,"",(VLOOKUP($C67,REV!$C:$AA,9,0)-'TRADE IN'!$F67))</f>
        <v>5599</v>
      </c>
      <c r="L67" s="46">
        <f>IF(VLOOKUP($C67,REV!$C:$AA,10,0)-'TRADE IN'!$F67=0,"",(VLOOKUP($C67,REV!$C:$AA,10,0)-'TRADE IN'!$F67))</f>
        <v>5599</v>
      </c>
      <c r="M67" s="46">
        <f>IF(VLOOKUP($C67,REV!$C:$AA,11,0)-'TRADE IN'!$F67=0,"",(VLOOKUP($C67,REV!$C:$AA,11,0)-'TRADE IN'!$F67))</f>
        <v>5599</v>
      </c>
      <c r="N67" s="46">
        <f>IF(VLOOKUP($C67,REV!$C:$AA,12,0)-'TRADE IN'!$F67=0,"",(VLOOKUP($C67,REV!$C:$AA,12,0)-'TRADE IN'!$F67))</f>
        <v>5599</v>
      </c>
      <c r="O67" s="46">
        <f>IF(VLOOKUP($C67,REV!$C:$AA,13,0)-'TRADE IN'!$F67=0,"",(VLOOKUP($C67,REV!$C:$AA,13,0)-'TRADE IN'!$F67))</f>
        <v>5499</v>
      </c>
      <c r="P67" s="46">
        <f>IF(VLOOKUP($C67,REV!$C:$AA,14,0)-'TRADE IN'!$F67=0,"",(VLOOKUP($C67,REV!$C:$AA,14,0)-'TRADE IN'!$F67))</f>
        <v>5399</v>
      </c>
      <c r="Q67" s="46">
        <f>IF(VLOOKUP($C67,REV!$C:$AA,15,0)-'TRADE IN'!$F67=0,"",(VLOOKUP($C67,REV!$C:$AA,15,0)-'TRADE IN'!$F67))</f>
        <v>4699</v>
      </c>
      <c r="R67" s="46">
        <f>IF(VLOOKUP($C67,REV!$C:$AA,16,0)-'TRADE IN'!$F67=0,"",(VLOOKUP($C67,REV!$C:$AA,16,0)-'TRADE IN'!$F67))</f>
        <v>5499</v>
      </c>
      <c r="S67" s="46">
        <f>IF(VLOOKUP($C67,REV!$C:$AA,17,0)-'TRADE IN'!$F67=0,"",(VLOOKUP($C67,REV!$C:$AA,17,0)-'TRADE IN'!$F67))</f>
        <v>5399</v>
      </c>
      <c r="T67" s="46">
        <f>IF(VLOOKUP($C67,REV!$C:$AA,18,0)-'TRADE IN'!$F67=0,"",(VLOOKUP($C67,REV!$C:$AA,18,0)-'TRADE IN'!$F67))</f>
        <v>4699</v>
      </c>
      <c r="U67" s="46">
        <f>IF(VLOOKUP($C67,REV!$C:$AA,19,0)-'TRADE IN'!$F67=0,"",(VLOOKUP($C67,REV!$C:$AA,19,0)-'TRADE IN'!$F67))</f>
        <v>4699</v>
      </c>
      <c r="V67" s="46">
        <f>IF(VLOOKUP($C67,REV!$C:$AA,20,0)-'TRADE IN'!$F67=0,"",(VLOOKUP($C67,REV!$C:$AA,20,0)-'TRADE IN'!$F67))</f>
        <v>4699</v>
      </c>
      <c r="W67" s="46">
        <f>IF(VLOOKUP($C67,REV!$C:$AA,21,0)-'TRADE IN'!$F67=0,"",(VLOOKUP($C67,REV!$C:$AA,21,0)-'TRADE IN'!$F67))</f>
        <v>4699</v>
      </c>
      <c r="X67" s="46">
        <f>IF(VLOOKUP($C67,REV!$C:$AA,22,0)-'TRADE IN'!$F67=0,"",(VLOOKUP($C67,REV!$C:$AA,22,0)-'TRADE IN'!$F67))</f>
        <v>4599</v>
      </c>
      <c r="Y67" s="46">
        <f>IF(VLOOKUP($C67,REV!$C:$AA,23,0)-'TRADE IN'!$F67=0,"",(VLOOKUP($C67,REV!$C:$AA,23,0)-'TRADE IN'!$F67))</f>
        <v>4199</v>
      </c>
      <c r="Z67" s="46">
        <f>IF(VLOOKUP($C67,REV!$C:$AA,24,0)-'TRADE IN'!$F67=0,"",(VLOOKUP($C67,REV!$C:$AA,24,0)-'TRADE IN'!$F67))</f>
        <v>4199</v>
      </c>
      <c r="AA67" s="46">
        <f>IF(VLOOKUP($C67,REV!$C:$AA,25,0)-'TRADE IN'!$F67=0,"",(VLOOKUP($C67,REV!$C:$AA,25,0)-'TRADE IN'!$F67))</f>
        <v>4149</v>
      </c>
      <c r="AB67" s="45"/>
      <c r="AC67" s="45"/>
      <c r="AD67" s="45"/>
      <c r="AE67" s="45"/>
      <c r="AF67" s="45"/>
      <c r="AG67" s="45"/>
      <c r="AH67" s="45"/>
      <c r="AI67" s="45"/>
      <c r="AJ67" s="45"/>
      <c r="AK67" s="45"/>
      <c r="AL67" s="45"/>
      <c r="AM67" s="45"/>
      <c r="AN67" s="45"/>
      <c r="AO67" s="45"/>
      <c r="AP67" s="45"/>
      <c r="AQ67" s="45"/>
      <c r="AR67" s="45"/>
      <c r="AS67" s="45"/>
      <c r="AT67" s="45"/>
      <c r="AU67" s="45"/>
      <c r="AV67" s="47"/>
      <c r="AW67" s="48" t="str">
        <f>REV!AW67</f>
        <v>13.08.2026</v>
      </c>
      <c r="AX67" s="149" t="s">
        <v>68</v>
      </c>
    </row>
    <row r="68" spans="1:50" ht="22.5" customHeight="1">
      <c r="A68" s="41" t="s">
        <v>63</v>
      </c>
      <c r="B68" s="42" t="s">
        <v>64</v>
      </c>
      <c r="C68" s="43">
        <v>4016673</v>
      </c>
      <c r="D68" s="44" t="s">
        <v>136</v>
      </c>
      <c r="E68" s="44" t="s">
        <v>141</v>
      </c>
      <c r="F68" s="45">
        <v>100</v>
      </c>
      <c r="G68" s="45"/>
      <c r="H68" s="46"/>
      <c r="I68" s="46"/>
      <c r="J68" s="46">
        <f>IF(VLOOKUP($C68,REV!$C:$AA,8,0)-'TRADE IN'!$F68=0,"",(VLOOKUP($C68,REV!$C:$AA,8,0)-'TRADE IN'!$F68))</f>
        <v>5599</v>
      </c>
      <c r="K68" s="46">
        <f>IF(VLOOKUP($C68,REV!$C:$AA,9,0)-'TRADE IN'!$F68=0,"",(VLOOKUP($C68,REV!$C:$AA,9,0)-'TRADE IN'!$F68))</f>
        <v>5599</v>
      </c>
      <c r="L68" s="46">
        <f>IF(VLOOKUP($C68,REV!$C:$AA,10,0)-'TRADE IN'!$F68=0,"",(VLOOKUP($C68,REV!$C:$AA,10,0)-'TRADE IN'!$F68))</f>
        <v>5599</v>
      </c>
      <c r="M68" s="46">
        <f>IF(VLOOKUP($C68,REV!$C:$AA,11,0)-'TRADE IN'!$F68=0,"",(VLOOKUP($C68,REV!$C:$AA,11,0)-'TRADE IN'!$F68))</f>
        <v>5599</v>
      </c>
      <c r="N68" s="46">
        <f>IF(VLOOKUP($C68,REV!$C:$AA,12,0)-'TRADE IN'!$F68=0,"",(VLOOKUP($C68,REV!$C:$AA,12,0)-'TRADE IN'!$F68))</f>
        <v>5599</v>
      </c>
      <c r="O68" s="46">
        <f>IF(VLOOKUP($C68,REV!$C:$AA,13,0)-'TRADE IN'!$F68=0,"",(VLOOKUP($C68,REV!$C:$AA,13,0)-'TRADE IN'!$F68))</f>
        <v>5499</v>
      </c>
      <c r="P68" s="46">
        <f>IF(VLOOKUP($C68,REV!$C:$AA,14,0)-'TRADE IN'!$F68=0,"",(VLOOKUP($C68,REV!$C:$AA,14,0)-'TRADE IN'!$F68))</f>
        <v>5399</v>
      </c>
      <c r="Q68" s="46">
        <f>IF(VLOOKUP($C68,REV!$C:$AA,15,0)-'TRADE IN'!$F68=0,"",(VLOOKUP($C68,REV!$C:$AA,15,0)-'TRADE IN'!$F68))</f>
        <v>4699</v>
      </c>
      <c r="R68" s="46">
        <f>IF(VLOOKUP($C68,REV!$C:$AA,16,0)-'TRADE IN'!$F68=0,"",(VLOOKUP($C68,REV!$C:$AA,16,0)-'TRADE IN'!$F68))</f>
        <v>5499</v>
      </c>
      <c r="S68" s="46">
        <f>IF(VLOOKUP($C68,REV!$C:$AA,17,0)-'TRADE IN'!$F68=0,"",(VLOOKUP($C68,REV!$C:$AA,17,0)-'TRADE IN'!$F68))</f>
        <v>5399</v>
      </c>
      <c r="T68" s="46">
        <f>IF(VLOOKUP($C68,REV!$C:$AA,18,0)-'TRADE IN'!$F68=0,"",(VLOOKUP($C68,REV!$C:$AA,18,0)-'TRADE IN'!$F68))</f>
        <v>4699</v>
      </c>
      <c r="U68" s="46">
        <f>IF(VLOOKUP($C68,REV!$C:$AA,19,0)-'TRADE IN'!$F68=0,"",(VLOOKUP($C68,REV!$C:$AA,19,0)-'TRADE IN'!$F68))</f>
        <v>4699</v>
      </c>
      <c r="V68" s="46">
        <f>IF(VLOOKUP($C68,REV!$C:$AA,20,0)-'TRADE IN'!$F68=0,"",(VLOOKUP($C68,REV!$C:$AA,20,0)-'TRADE IN'!$F68))</f>
        <v>4699</v>
      </c>
      <c r="W68" s="46">
        <f>IF(VLOOKUP($C68,REV!$C:$AA,21,0)-'TRADE IN'!$F68=0,"",(VLOOKUP($C68,REV!$C:$AA,21,0)-'TRADE IN'!$F68))</f>
        <v>4699</v>
      </c>
      <c r="X68" s="46">
        <f>IF(VLOOKUP($C68,REV!$C:$AA,22,0)-'TRADE IN'!$F68=0,"",(VLOOKUP($C68,REV!$C:$AA,22,0)-'TRADE IN'!$F68))</f>
        <v>4599</v>
      </c>
      <c r="Y68" s="46">
        <f>IF(VLOOKUP($C68,REV!$C:$AA,23,0)-'TRADE IN'!$F68=0,"",(VLOOKUP($C68,REV!$C:$AA,23,0)-'TRADE IN'!$F68))</f>
        <v>4199</v>
      </c>
      <c r="Z68" s="46">
        <f>IF(VLOOKUP($C68,REV!$C:$AA,24,0)-'TRADE IN'!$F68=0,"",(VLOOKUP($C68,REV!$C:$AA,24,0)-'TRADE IN'!$F68))</f>
        <v>4199</v>
      </c>
      <c r="AA68" s="46">
        <f>IF(VLOOKUP($C68,REV!$C:$AA,25,0)-'TRADE IN'!$F68=0,"",(VLOOKUP($C68,REV!$C:$AA,25,0)-'TRADE IN'!$F68))</f>
        <v>4149</v>
      </c>
      <c r="AB68" s="45"/>
      <c r="AC68" s="45"/>
      <c r="AD68" s="45"/>
      <c r="AE68" s="45"/>
      <c r="AF68" s="45"/>
      <c r="AG68" s="45"/>
      <c r="AH68" s="45"/>
      <c r="AI68" s="45"/>
      <c r="AJ68" s="45"/>
      <c r="AK68" s="45"/>
      <c r="AL68" s="45"/>
      <c r="AM68" s="45"/>
      <c r="AN68" s="45"/>
      <c r="AO68" s="45"/>
      <c r="AP68" s="45"/>
      <c r="AQ68" s="45"/>
      <c r="AR68" s="45"/>
      <c r="AS68" s="45"/>
      <c r="AT68" s="45"/>
      <c r="AU68" s="45"/>
      <c r="AV68" s="47"/>
      <c r="AW68" s="48" t="str">
        <f>REV!AW68</f>
        <v>13.08.2026</v>
      </c>
      <c r="AX68" s="149" t="s">
        <v>68</v>
      </c>
    </row>
    <row r="69" spans="1:50" ht="22.5" customHeight="1">
      <c r="A69" s="41" t="s">
        <v>63</v>
      </c>
      <c r="B69" s="42" t="s">
        <v>64</v>
      </c>
      <c r="C69" s="43">
        <v>4016679</v>
      </c>
      <c r="D69" s="44" t="s">
        <v>136</v>
      </c>
      <c r="E69" s="44" t="s">
        <v>142</v>
      </c>
      <c r="F69" s="45">
        <v>100</v>
      </c>
      <c r="G69" s="45"/>
      <c r="H69" s="46"/>
      <c r="I69" s="46"/>
      <c r="J69" s="46">
        <f>IF(VLOOKUP($C69,REV!$C:$AA,8,0)-'TRADE IN'!$F69=0,"",(VLOOKUP($C69,REV!$C:$AA,8,0)-'TRADE IN'!$F69))</f>
        <v>5599</v>
      </c>
      <c r="K69" s="46">
        <f>IF(VLOOKUP($C69,REV!$C:$AA,9,0)-'TRADE IN'!$F69=0,"",(VLOOKUP($C69,REV!$C:$AA,9,0)-'TRADE IN'!$F69))</f>
        <v>5599</v>
      </c>
      <c r="L69" s="46">
        <f>IF(VLOOKUP($C69,REV!$C:$AA,10,0)-'TRADE IN'!$F69=0,"",(VLOOKUP($C69,REV!$C:$AA,10,0)-'TRADE IN'!$F69))</f>
        <v>5599</v>
      </c>
      <c r="M69" s="46">
        <f>IF(VLOOKUP($C69,REV!$C:$AA,11,0)-'TRADE IN'!$F69=0,"",(VLOOKUP($C69,REV!$C:$AA,11,0)-'TRADE IN'!$F69))</f>
        <v>5599</v>
      </c>
      <c r="N69" s="46">
        <f>IF(VLOOKUP($C69,REV!$C:$AA,12,0)-'TRADE IN'!$F69=0,"",(VLOOKUP($C69,REV!$C:$AA,12,0)-'TRADE IN'!$F69))</f>
        <v>5599</v>
      </c>
      <c r="O69" s="46">
        <f>IF(VLOOKUP($C69,REV!$C:$AA,13,0)-'TRADE IN'!$F69=0,"",(VLOOKUP($C69,REV!$C:$AA,13,0)-'TRADE IN'!$F69))</f>
        <v>5499</v>
      </c>
      <c r="P69" s="46">
        <f>IF(VLOOKUP($C69,REV!$C:$AA,14,0)-'TRADE IN'!$F69=0,"",(VLOOKUP($C69,REV!$C:$AA,14,0)-'TRADE IN'!$F69))</f>
        <v>5399</v>
      </c>
      <c r="Q69" s="46">
        <f>IF(VLOOKUP($C69,REV!$C:$AA,15,0)-'TRADE IN'!$F69=0,"",(VLOOKUP($C69,REV!$C:$AA,15,0)-'TRADE IN'!$F69))</f>
        <v>4699</v>
      </c>
      <c r="R69" s="46">
        <f>IF(VLOOKUP($C69,REV!$C:$AA,16,0)-'TRADE IN'!$F69=0,"",(VLOOKUP($C69,REV!$C:$AA,16,0)-'TRADE IN'!$F69))</f>
        <v>5499</v>
      </c>
      <c r="S69" s="46">
        <f>IF(VLOOKUP($C69,REV!$C:$AA,17,0)-'TRADE IN'!$F69=0,"",(VLOOKUP($C69,REV!$C:$AA,17,0)-'TRADE IN'!$F69))</f>
        <v>5399</v>
      </c>
      <c r="T69" s="46">
        <f>IF(VLOOKUP($C69,REV!$C:$AA,18,0)-'TRADE IN'!$F69=0,"",(VLOOKUP($C69,REV!$C:$AA,18,0)-'TRADE IN'!$F69))</f>
        <v>4699</v>
      </c>
      <c r="U69" s="46">
        <f>IF(VLOOKUP($C69,REV!$C:$AA,19,0)-'TRADE IN'!$F69=0,"",(VLOOKUP($C69,REV!$C:$AA,19,0)-'TRADE IN'!$F69))</f>
        <v>4699</v>
      </c>
      <c r="V69" s="46">
        <f>IF(VLOOKUP($C69,REV!$C:$AA,20,0)-'TRADE IN'!$F69=0,"",(VLOOKUP($C69,REV!$C:$AA,20,0)-'TRADE IN'!$F69))</f>
        <v>4699</v>
      </c>
      <c r="W69" s="46">
        <f>IF(VLOOKUP($C69,REV!$C:$AA,21,0)-'TRADE IN'!$F69=0,"",(VLOOKUP($C69,REV!$C:$AA,21,0)-'TRADE IN'!$F69))</f>
        <v>4699</v>
      </c>
      <c r="X69" s="46">
        <f>IF(VLOOKUP($C69,REV!$C:$AA,22,0)-'TRADE IN'!$F69=0,"",(VLOOKUP($C69,REV!$C:$AA,22,0)-'TRADE IN'!$F69))</f>
        <v>4599</v>
      </c>
      <c r="Y69" s="46">
        <f>IF(VLOOKUP($C69,REV!$C:$AA,23,0)-'TRADE IN'!$F69=0,"",(VLOOKUP($C69,REV!$C:$AA,23,0)-'TRADE IN'!$F69))</f>
        <v>4199</v>
      </c>
      <c r="Z69" s="46">
        <f>IF(VLOOKUP($C69,REV!$C:$AA,24,0)-'TRADE IN'!$F69=0,"",(VLOOKUP($C69,REV!$C:$AA,24,0)-'TRADE IN'!$F69))</f>
        <v>4199</v>
      </c>
      <c r="AA69" s="46">
        <f>IF(VLOOKUP($C69,REV!$C:$AA,25,0)-'TRADE IN'!$F69=0,"",(VLOOKUP($C69,REV!$C:$AA,25,0)-'TRADE IN'!$F69))</f>
        <v>4149</v>
      </c>
      <c r="AB69" s="45"/>
      <c r="AC69" s="45"/>
      <c r="AD69" s="45"/>
      <c r="AE69" s="45"/>
      <c r="AF69" s="45"/>
      <c r="AG69" s="45"/>
      <c r="AH69" s="45"/>
      <c r="AI69" s="45"/>
      <c r="AJ69" s="45"/>
      <c r="AK69" s="45"/>
      <c r="AL69" s="45"/>
      <c r="AM69" s="45"/>
      <c r="AN69" s="45"/>
      <c r="AO69" s="45"/>
      <c r="AP69" s="45"/>
      <c r="AQ69" s="45"/>
      <c r="AR69" s="45"/>
      <c r="AS69" s="45"/>
      <c r="AT69" s="45"/>
      <c r="AU69" s="45"/>
      <c r="AV69" s="47"/>
      <c r="AW69" s="48" t="str">
        <f>REV!AW69</f>
        <v>13.08.2026</v>
      </c>
      <c r="AX69" s="149" t="s">
        <v>68</v>
      </c>
    </row>
    <row r="70" spans="1:50" ht="22.5" customHeight="1">
      <c r="A70" s="41" t="s">
        <v>63</v>
      </c>
      <c r="B70" s="42" t="s">
        <v>64</v>
      </c>
      <c r="C70" s="43">
        <v>4016594</v>
      </c>
      <c r="D70" s="44" t="s">
        <v>143</v>
      </c>
      <c r="E70" s="44" t="s">
        <v>144</v>
      </c>
      <c r="F70" s="45">
        <v>100</v>
      </c>
      <c r="G70" s="45"/>
      <c r="H70" s="46"/>
      <c r="I70" s="46"/>
      <c r="J70" s="46">
        <f>IF(VLOOKUP($C70,REV!$C:$AA,8,0)-'TRADE IN'!$F70=0,"",(VLOOKUP($C70,REV!$C:$AA,8,0)-'TRADE IN'!$F70))</f>
        <v>8899</v>
      </c>
      <c r="K70" s="46">
        <f>IF(VLOOKUP($C70,REV!$C:$AA,9,0)-'TRADE IN'!$F70=0,"",(VLOOKUP($C70,REV!$C:$AA,9,0)-'TRADE IN'!$F70))</f>
        <v>8899</v>
      </c>
      <c r="L70" s="46">
        <f>IF(VLOOKUP($C70,REV!$C:$AA,10,0)-'TRADE IN'!$F70=0,"",(VLOOKUP($C70,REV!$C:$AA,10,0)-'TRADE IN'!$F70))</f>
        <v>8899</v>
      </c>
      <c r="M70" s="46">
        <f>IF(VLOOKUP($C70,REV!$C:$AA,11,0)-'TRADE IN'!$F70=0,"",(VLOOKUP($C70,REV!$C:$AA,11,0)-'TRADE IN'!$F70))</f>
        <v>8899</v>
      </c>
      <c r="N70" s="46">
        <f>IF(VLOOKUP($C70,REV!$C:$AA,12,0)-'TRADE IN'!$F70=0,"",(VLOOKUP($C70,REV!$C:$AA,12,0)-'TRADE IN'!$F70))</f>
        <v>8899</v>
      </c>
      <c r="O70" s="46">
        <f>IF(VLOOKUP($C70,REV!$C:$AA,13,0)-'TRADE IN'!$F70=0,"",(VLOOKUP($C70,REV!$C:$AA,13,0)-'TRADE IN'!$F70))</f>
        <v>8799</v>
      </c>
      <c r="P70" s="46">
        <f>IF(VLOOKUP($C70,REV!$C:$AA,14,0)-'TRADE IN'!$F70=0,"",(VLOOKUP($C70,REV!$C:$AA,14,0)-'TRADE IN'!$F70))</f>
        <v>8699</v>
      </c>
      <c r="Q70" s="46">
        <f>IF(VLOOKUP($C70,REV!$C:$AA,15,0)-'TRADE IN'!$F70=0,"",(VLOOKUP($C70,REV!$C:$AA,15,0)-'TRADE IN'!$F70))</f>
        <v>7899</v>
      </c>
      <c r="R70" s="46">
        <f>IF(VLOOKUP($C70,REV!$C:$AA,16,0)-'TRADE IN'!$F70=0,"",(VLOOKUP($C70,REV!$C:$AA,16,0)-'TRADE IN'!$F70))</f>
        <v>8799</v>
      </c>
      <c r="S70" s="46">
        <f>IF(VLOOKUP($C70,REV!$C:$AA,17,0)-'TRADE IN'!$F70=0,"",(VLOOKUP($C70,REV!$C:$AA,17,0)-'TRADE IN'!$F70))</f>
        <v>8699</v>
      </c>
      <c r="T70" s="46">
        <f>IF(VLOOKUP($C70,REV!$C:$AA,18,0)-'TRADE IN'!$F70=0,"",(VLOOKUP($C70,REV!$C:$AA,18,0)-'TRADE IN'!$F70))</f>
        <v>7899</v>
      </c>
      <c r="U70" s="46">
        <f>IF(VLOOKUP($C70,REV!$C:$AA,19,0)-'TRADE IN'!$F70=0,"",(VLOOKUP($C70,REV!$C:$AA,19,0)-'TRADE IN'!$F70))</f>
        <v>7899</v>
      </c>
      <c r="V70" s="46">
        <f>IF(VLOOKUP($C70,REV!$C:$AA,20,0)-'TRADE IN'!$F70=0,"",(VLOOKUP($C70,REV!$C:$AA,20,0)-'TRADE IN'!$F70))</f>
        <v>7599</v>
      </c>
      <c r="W70" s="46">
        <f>IF(VLOOKUP($C70,REV!$C:$AA,21,0)-'TRADE IN'!$F70=0,"",(VLOOKUP($C70,REV!$C:$AA,21,0)-'TRADE IN'!$F70))</f>
        <v>7599</v>
      </c>
      <c r="X70" s="46">
        <f>IF(VLOOKUP($C70,REV!$C:$AA,22,0)-'TRADE IN'!$F70=0,"",(VLOOKUP($C70,REV!$C:$AA,22,0)-'TRADE IN'!$F70))</f>
        <v>7599</v>
      </c>
      <c r="Y70" s="46">
        <f>IF(VLOOKUP($C70,REV!$C:$AA,23,0)-'TRADE IN'!$F70=0,"",(VLOOKUP($C70,REV!$C:$AA,23,0)-'TRADE IN'!$F70))</f>
        <v>7399</v>
      </c>
      <c r="Z70" s="46">
        <f>IF(VLOOKUP($C70,REV!$C:$AA,24,0)-'TRADE IN'!$F70=0,"",(VLOOKUP($C70,REV!$C:$AA,24,0)-'TRADE IN'!$F70))</f>
        <v>7399</v>
      </c>
      <c r="AA70" s="46">
        <f>IF(VLOOKUP($C70,REV!$C:$AA,25,0)-'TRADE IN'!$F70=0,"",(VLOOKUP($C70,REV!$C:$AA,25,0)-'TRADE IN'!$F70))</f>
        <v>7399</v>
      </c>
      <c r="AB70" s="45"/>
      <c r="AC70" s="45"/>
      <c r="AD70" s="45"/>
      <c r="AE70" s="45"/>
      <c r="AF70" s="45"/>
      <c r="AG70" s="45"/>
      <c r="AH70" s="45"/>
      <c r="AI70" s="45"/>
      <c r="AJ70" s="45"/>
      <c r="AK70" s="45"/>
      <c r="AL70" s="45"/>
      <c r="AM70" s="45"/>
      <c r="AN70" s="45"/>
      <c r="AO70" s="45"/>
      <c r="AP70" s="45"/>
      <c r="AQ70" s="45"/>
      <c r="AR70" s="45"/>
      <c r="AS70" s="45"/>
      <c r="AT70" s="45"/>
      <c r="AU70" s="45"/>
      <c r="AV70" s="47"/>
      <c r="AW70" s="48" t="str">
        <f>REV!AW70</f>
        <v>13.08.2026</v>
      </c>
      <c r="AX70" s="149" t="s">
        <v>68</v>
      </c>
    </row>
    <row r="71" spans="1:50" ht="22.5" customHeight="1">
      <c r="A71" s="41" t="s">
        <v>63</v>
      </c>
      <c r="B71" s="42" t="s">
        <v>64</v>
      </c>
      <c r="C71" s="43">
        <v>4016593</v>
      </c>
      <c r="D71" s="44" t="s">
        <v>143</v>
      </c>
      <c r="E71" s="44" t="s">
        <v>145</v>
      </c>
      <c r="F71" s="45">
        <v>100</v>
      </c>
      <c r="G71" s="45"/>
      <c r="H71" s="46"/>
      <c r="I71" s="46"/>
      <c r="J71" s="46">
        <f>IF(VLOOKUP($C71,REV!$C:$AA,8,0)-'TRADE IN'!$F71=0,"",(VLOOKUP($C71,REV!$C:$AA,8,0)-'TRADE IN'!$F71))</f>
        <v>8899</v>
      </c>
      <c r="K71" s="46">
        <f>IF(VLOOKUP($C71,REV!$C:$AA,9,0)-'TRADE IN'!$F71=0,"",(VLOOKUP($C71,REV!$C:$AA,9,0)-'TRADE IN'!$F71))</f>
        <v>8899</v>
      </c>
      <c r="L71" s="46">
        <f>IF(VLOOKUP($C71,REV!$C:$AA,10,0)-'TRADE IN'!$F71=0,"",(VLOOKUP($C71,REV!$C:$AA,10,0)-'TRADE IN'!$F71))</f>
        <v>8899</v>
      </c>
      <c r="M71" s="46">
        <f>IF(VLOOKUP($C71,REV!$C:$AA,11,0)-'TRADE IN'!$F71=0,"",(VLOOKUP($C71,REV!$C:$AA,11,0)-'TRADE IN'!$F71))</f>
        <v>8899</v>
      </c>
      <c r="N71" s="46">
        <f>IF(VLOOKUP($C71,REV!$C:$AA,12,0)-'TRADE IN'!$F71=0,"",(VLOOKUP($C71,REV!$C:$AA,12,0)-'TRADE IN'!$F71))</f>
        <v>8899</v>
      </c>
      <c r="O71" s="46">
        <f>IF(VLOOKUP($C71,REV!$C:$AA,13,0)-'TRADE IN'!$F71=0,"",(VLOOKUP($C71,REV!$C:$AA,13,0)-'TRADE IN'!$F71))</f>
        <v>8799</v>
      </c>
      <c r="P71" s="46">
        <f>IF(VLOOKUP($C71,REV!$C:$AA,14,0)-'TRADE IN'!$F71=0,"",(VLOOKUP($C71,REV!$C:$AA,14,0)-'TRADE IN'!$F71))</f>
        <v>8699</v>
      </c>
      <c r="Q71" s="46">
        <f>IF(VLOOKUP($C71,REV!$C:$AA,15,0)-'TRADE IN'!$F71=0,"",(VLOOKUP($C71,REV!$C:$AA,15,0)-'TRADE IN'!$F71))</f>
        <v>7899</v>
      </c>
      <c r="R71" s="46">
        <f>IF(VLOOKUP($C71,REV!$C:$AA,16,0)-'TRADE IN'!$F71=0,"",(VLOOKUP($C71,REV!$C:$AA,16,0)-'TRADE IN'!$F71))</f>
        <v>8799</v>
      </c>
      <c r="S71" s="46">
        <f>IF(VLOOKUP($C71,REV!$C:$AA,17,0)-'TRADE IN'!$F71=0,"",(VLOOKUP($C71,REV!$C:$AA,17,0)-'TRADE IN'!$F71))</f>
        <v>8699</v>
      </c>
      <c r="T71" s="46">
        <f>IF(VLOOKUP($C71,REV!$C:$AA,18,0)-'TRADE IN'!$F71=0,"",(VLOOKUP($C71,REV!$C:$AA,18,0)-'TRADE IN'!$F71))</f>
        <v>7899</v>
      </c>
      <c r="U71" s="46">
        <f>IF(VLOOKUP($C71,REV!$C:$AA,19,0)-'TRADE IN'!$F71=0,"",(VLOOKUP($C71,REV!$C:$AA,19,0)-'TRADE IN'!$F71))</f>
        <v>7899</v>
      </c>
      <c r="V71" s="46">
        <f>IF(VLOOKUP($C71,REV!$C:$AA,20,0)-'TRADE IN'!$F71=0,"",(VLOOKUP($C71,REV!$C:$AA,20,0)-'TRADE IN'!$F71))</f>
        <v>7599</v>
      </c>
      <c r="W71" s="46">
        <f>IF(VLOOKUP($C71,REV!$C:$AA,21,0)-'TRADE IN'!$F71=0,"",(VLOOKUP($C71,REV!$C:$AA,21,0)-'TRADE IN'!$F71))</f>
        <v>7599</v>
      </c>
      <c r="X71" s="46">
        <f>IF(VLOOKUP($C71,REV!$C:$AA,22,0)-'TRADE IN'!$F71=0,"",(VLOOKUP($C71,REV!$C:$AA,22,0)-'TRADE IN'!$F71))</f>
        <v>7599</v>
      </c>
      <c r="Y71" s="46">
        <f>IF(VLOOKUP($C71,REV!$C:$AA,23,0)-'TRADE IN'!$F71=0,"",(VLOOKUP($C71,REV!$C:$AA,23,0)-'TRADE IN'!$F71))</f>
        <v>7399</v>
      </c>
      <c r="Z71" s="46">
        <f>IF(VLOOKUP($C71,REV!$C:$AA,24,0)-'TRADE IN'!$F71=0,"",(VLOOKUP($C71,REV!$C:$AA,24,0)-'TRADE IN'!$F71))</f>
        <v>7399</v>
      </c>
      <c r="AA71" s="46">
        <f>IF(VLOOKUP($C71,REV!$C:$AA,25,0)-'TRADE IN'!$F71=0,"",(VLOOKUP($C71,REV!$C:$AA,25,0)-'TRADE IN'!$F71))</f>
        <v>7399</v>
      </c>
      <c r="AB71" s="45"/>
      <c r="AC71" s="45"/>
      <c r="AD71" s="45"/>
      <c r="AE71" s="45"/>
      <c r="AF71" s="45"/>
      <c r="AG71" s="45"/>
      <c r="AH71" s="45"/>
      <c r="AI71" s="45"/>
      <c r="AJ71" s="45"/>
      <c r="AK71" s="45"/>
      <c r="AL71" s="45"/>
      <c r="AM71" s="45"/>
      <c r="AN71" s="45"/>
      <c r="AO71" s="45"/>
      <c r="AP71" s="45"/>
      <c r="AQ71" s="45"/>
      <c r="AR71" s="45"/>
      <c r="AS71" s="45"/>
      <c r="AT71" s="45"/>
      <c r="AU71" s="45"/>
      <c r="AV71" s="47"/>
      <c r="AW71" s="48" t="str">
        <f>REV!AW71</f>
        <v>13.08.2026</v>
      </c>
      <c r="AX71" s="149" t="s">
        <v>68</v>
      </c>
    </row>
    <row r="72" spans="1:50" ht="22.5" customHeight="1">
      <c r="A72" s="41" t="s">
        <v>63</v>
      </c>
      <c r="B72" s="42" t="s">
        <v>64</v>
      </c>
      <c r="C72" s="43">
        <v>4016592</v>
      </c>
      <c r="D72" s="44" t="s">
        <v>143</v>
      </c>
      <c r="E72" s="44" t="s">
        <v>146</v>
      </c>
      <c r="F72" s="45">
        <v>100</v>
      </c>
      <c r="G72" s="45"/>
      <c r="H72" s="46"/>
      <c r="I72" s="46"/>
      <c r="J72" s="46">
        <f>IF(VLOOKUP($C72,REV!$C:$AA,8,0)-'TRADE IN'!$F72=0,"",(VLOOKUP($C72,REV!$C:$AA,8,0)-'TRADE IN'!$F72))</f>
        <v>8899</v>
      </c>
      <c r="K72" s="46">
        <f>IF(VLOOKUP($C72,REV!$C:$AA,9,0)-'TRADE IN'!$F72=0,"",(VLOOKUP($C72,REV!$C:$AA,9,0)-'TRADE IN'!$F72))</f>
        <v>8899</v>
      </c>
      <c r="L72" s="46">
        <f>IF(VLOOKUP($C72,REV!$C:$AA,10,0)-'TRADE IN'!$F72=0,"",(VLOOKUP($C72,REV!$C:$AA,10,0)-'TRADE IN'!$F72))</f>
        <v>8899</v>
      </c>
      <c r="M72" s="46">
        <f>IF(VLOOKUP($C72,REV!$C:$AA,11,0)-'TRADE IN'!$F72=0,"",(VLOOKUP($C72,REV!$C:$AA,11,0)-'TRADE IN'!$F72))</f>
        <v>8899</v>
      </c>
      <c r="N72" s="46">
        <f>IF(VLOOKUP($C72,REV!$C:$AA,12,0)-'TRADE IN'!$F72=0,"",(VLOOKUP($C72,REV!$C:$AA,12,0)-'TRADE IN'!$F72))</f>
        <v>8899</v>
      </c>
      <c r="O72" s="46">
        <f>IF(VLOOKUP($C72,REV!$C:$AA,13,0)-'TRADE IN'!$F72=0,"",(VLOOKUP($C72,REV!$C:$AA,13,0)-'TRADE IN'!$F72))</f>
        <v>8799</v>
      </c>
      <c r="P72" s="46">
        <f>IF(VLOOKUP($C72,REV!$C:$AA,14,0)-'TRADE IN'!$F72=0,"",(VLOOKUP($C72,REV!$C:$AA,14,0)-'TRADE IN'!$F72))</f>
        <v>8699</v>
      </c>
      <c r="Q72" s="46">
        <f>IF(VLOOKUP($C72,REV!$C:$AA,15,0)-'TRADE IN'!$F72=0,"",(VLOOKUP($C72,REV!$C:$AA,15,0)-'TRADE IN'!$F72))</f>
        <v>7899</v>
      </c>
      <c r="R72" s="46">
        <f>IF(VLOOKUP($C72,REV!$C:$AA,16,0)-'TRADE IN'!$F72=0,"",(VLOOKUP($C72,REV!$C:$AA,16,0)-'TRADE IN'!$F72))</f>
        <v>8799</v>
      </c>
      <c r="S72" s="46">
        <f>IF(VLOOKUP($C72,REV!$C:$AA,17,0)-'TRADE IN'!$F72=0,"",(VLOOKUP($C72,REV!$C:$AA,17,0)-'TRADE IN'!$F72))</f>
        <v>8699</v>
      </c>
      <c r="T72" s="46">
        <f>IF(VLOOKUP($C72,REV!$C:$AA,18,0)-'TRADE IN'!$F72=0,"",(VLOOKUP($C72,REV!$C:$AA,18,0)-'TRADE IN'!$F72))</f>
        <v>7899</v>
      </c>
      <c r="U72" s="46">
        <f>IF(VLOOKUP($C72,REV!$C:$AA,19,0)-'TRADE IN'!$F72=0,"",(VLOOKUP($C72,REV!$C:$AA,19,0)-'TRADE IN'!$F72))</f>
        <v>7899</v>
      </c>
      <c r="V72" s="46">
        <f>IF(VLOOKUP($C72,REV!$C:$AA,20,0)-'TRADE IN'!$F72=0,"",(VLOOKUP($C72,REV!$C:$AA,20,0)-'TRADE IN'!$F72))</f>
        <v>7599</v>
      </c>
      <c r="W72" s="46">
        <f>IF(VLOOKUP($C72,REV!$C:$AA,21,0)-'TRADE IN'!$F72=0,"",(VLOOKUP($C72,REV!$C:$AA,21,0)-'TRADE IN'!$F72))</f>
        <v>7599</v>
      </c>
      <c r="X72" s="46">
        <f>IF(VLOOKUP($C72,REV!$C:$AA,22,0)-'TRADE IN'!$F72=0,"",(VLOOKUP($C72,REV!$C:$AA,22,0)-'TRADE IN'!$F72))</f>
        <v>7599</v>
      </c>
      <c r="Y72" s="46">
        <f>IF(VLOOKUP($C72,REV!$C:$AA,23,0)-'TRADE IN'!$F72=0,"",(VLOOKUP($C72,REV!$C:$AA,23,0)-'TRADE IN'!$F72))</f>
        <v>7399</v>
      </c>
      <c r="Z72" s="46">
        <f>IF(VLOOKUP($C72,REV!$C:$AA,24,0)-'TRADE IN'!$F72=0,"",(VLOOKUP($C72,REV!$C:$AA,24,0)-'TRADE IN'!$F72))</f>
        <v>7399</v>
      </c>
      <c r="AA72" s="46">
        <f>IF(VLOOKUP($C72,REV!$C:$AA,25,0)-'TRADE IN'!$F72=0,"",(VLOOKUP($C72,REV!$C:$AA,25,0)-'TRADE IN'!$F72))</f>
        <v>7399</v>
      </c>
      <c r="AB72" s="45"/>
      <c r="AC72" s="45"/>
      <c r="AD72" s="45"/>
      <c r="AE72" s="45"/>
      <c r="AF72" s="45"/>
      <c r="AG72" s="45"/>
      <c r="AH72" s="45"/>
      <c r="AI72" s="45"/>
      <c r="AJ72" s="45"/>
      <c r="AK72" s="45"/>
      <c r="AL72" s="45"/>
      <c r="AM72" s="45"/>
      <c r="AN72" s="45"/>
      <c r="AO72" s="45"/>
      <c r="AP72" s="45"/>
      <c r="AQ72" s="45"/>
      <c r="AR72" s="45"/>
      <c r="AS72" s="45"/>
      <c r="AT72" s="45"/>
      <c r="AU72" s="45"/>
      <c r="AV72" s="47"/>
      <c r="AW72" s="48" t="str">
        <f>REV!AW72</f>
        <v>13.08.2026</v>
      </c>
      <c r="AX72" s="149" t="s">
        <v>68</v>
      </c>
    </row>
    <row r="73" spans="1:50" ht="22.5" customHeight="1">
      <c r="A73" s="41" t="s">
        <v>63</v>
      </c>
      <c r="B73" s="42" t="s">
        <v>64</v>
      </c>
      <c r="C73" s="43">
        <v>4016591</v>
      </c>
      <c r="D73" s="44" t="s">
        <v>143</v>
      </c>
      <c r="E73" s="44" t="s">
        <v>147</v>
      </c>
      <c r="F73" s="45">
        <v>100</v>
      </c>
      <c r="G73" s="45"/>
      <c r="H73" s="46"/>
      <c r="I73" s="46"/>
      <c r="J73" s="46">
        <f>IF(VLOOKUP($C73,REV!$C:$AA,8,0)-'TRADE IN'!$F73=0,"",(VLOOKUP($C73,REV!$C:$AA,8,0)-'TRADE IN'!$F73))</f>
        <v>8899</v>
      </c>
      <c r="K73" s="46">
        <f>IF(VLOOKUP($C73,REV!$C:$AA,9,0)-'TRADE IN'!$F73=0,"",(VLOOKUP($C73,REV!$C:$AA,9,0)-'TRADE IN'!$F73))</f>
        <v>8899</v>
      </c>
      <c r="L73" s="46">
        <f>IF(VLOOKUP($C73,REV!$C:$AA,10,0)-'TRADE IN'!$F73=0,"",(VLOOKUP($C73,REV!$C:$AA,10,0)-'TRADE IN'!$F73))</f>
        <v>8899</v>
      </c>
      <c r="M73" s="46">
        <f>IF(VLOOKUP($C73,REV!$C:$AA,11,0)-'TRADE IN'!$F73=0,"",(VLOOKUP($C73,REV!$C:$AA,11,0)-'TRADE IN'!$F73))</f>
        <v>8899</v>
      </c>
      <c r="N73" s="46">
        <f>IF(VLOOKUP($C73,REV!$C:$AA,12,0)-'TRADE IN'!$F73=0,"",(VLOOKUP($C73,REV!$C:$AA,12,0)-'TRADE IN'!$F73))</f>
        <v>8899</v>
      </c>
      <c r="O73" s="46">
        <f>IF(VLOOKUP($C73,REV!$C:$AA,13,0)-'TRADE IN'!$F73=0,"",(VLOOKUP($C73,REV!$C:$AA,13,0)-'TRADE IN'!$F73))</f>
        <v>8799</v>
      </c>
      <c r="P73" s="46">
        <f>IF(VLOOKUP($C73,REV!$C:$AA,14,0)-'TRADE IN'!$F73=0,"",(VLOOKUP($C73,REV!$C:$AA,14,0)-'TRADE IN'!$F73))</f>
        <v>8699</v>
      </c>
      <c r="Q73" s="46">
        <f>IF(VLOOKUP($C73,REV!$C:$AA,15,0)-'TRADE IN'!$F73=0,"",(VLOOKUP($C73,REV!$C:$AA,15,0)-'TRADE IN'!$F73))</f>
        <v>7899</v>
      </c>
      <c r="R73" s="46">
        <f>IF(VLOOKUP($C73,REV!$C:$AA,16,0)-'TRADE IN'!$F73=0,"",(VLOOKUP($C73,REV!$C:$AA,16,0)-'TRADE IN'!$F73))</f>
        <v>8799</v>
      </c>
      <c r="S73" s="46">
        <f>IF(VLOOKUP($C73,REV!$C:$AA,17,0)-'TRADE IN'!$F73=0,"",(VLOOKUP($C73,REV!$C:$AA,17,0)-'TRADE IN'!$F73))</f>
        <v>8699</v>
      </c>
      <c r="T73" s="46">
        <f>IF(VLOOKUP($C73,REV!$C:$AA,18,0)-'TRADE IN'!$F73=0,"",(VLOOKUP($C73,REV!$C:$AA,18,0)-'TRADE IN'!$F73))</f>
        <v>7899</v>
      </c>
      <c r="U73" s="46">
        <f>IF(VLOOKUP($C73,REV!$C:$AA,19,0)-'TRADE IN'!$F73=0,"",(VLOOKUP($C73,REV!$C:$AA,19,0)-'TRADE IN'!$F73))</f>
        <v>7899</v>
      </c>
      <c r="V73" s="46">
        <f>IF(VLOOKUP($C73,REV!$C:$AA,20,0)-'TRADE IN'!$F73=0,"",(VLOOKUP($C73,REV!$C:$AA,20,0)-'TRADE IN'!$F73))</f>
        <v>7599</v>
      </c>
      <c r="W73" s="46">
        <f>IF(VLOOKUP($C73,REV!$C:$AA,21,0)-'TRADE IN'!$F73=0,"",(VLOOKUP($C73,REV!$C:$AA,21,0)-'TRADE IN'!$F73))</f>
        <v>7599</v>
      </c>
      <c r="X73" s="46">
        <f>IF(VLOOKUP($C73,REV!$C:$AA,22,0)-'TRADE IN'!$F73=0,"",(VLOOKUP($C73,REV!$C:$AA,22,0)-'TRADE IN'!$F73))</f>
        <v>7599</v>
      </c>
      <c r="Y73" s="46">
        <f>IF(VLOOKUP($C73,REV!$C:$AA,23,0)-'TRADE IN'!$F73=0,"",(VLOOKUP($C73,REV!$C:$AA,23,0)-'TRADE IN'!$F73))</f>
        <v>7399</v>
      </c>
      <c r="Z73" s="46">
        <f>IF(VLOOKUP($C73,REV!$C:$AA,24,0)-'TRADE IN'!$F73=0,"",(VLOOKUP($C73,REV!$C:$AA,24,0)-'TRADE IN'!$F73))</f>
        <v>7399</v>
      </c>
      <c r="AA73" s="46">
        <f>IF(VLOOKUP($C73,REV!$C:$AA,25,0)-'TRADE IN'!$F73=0,"",(VLOOKUP($C73,REV!$C:$AA,25,0)-'TRADE IN'!$F73))</f>
        <v>7399</v>
      </c>
      <c r="AB73" s="45"/>
      <c r="AC73" s="45"/>
      <c r="AD73" s="45"/>
      <c r="AE73" s="45"/>
      <c r="AF73" s="45"/>
      <c r="AG73" s="45"/>
      <c r="AH73" s="45"/>
      <c r="AI73" s="45"/>
      <c r="AJ73" s="45"/>
      <c r="AK73" s="45"/>
      <c r="AL73" s="45"/>
      <c r="AM73" s="45"/>
      <c r="AN73" s="45"/>
      <c r="AO73" s="45"/>
      <c r="AP73" s="45"/>
      <c r="AQ73" s="45"/>
      <c r="AR73" s="45"/>
      <c r="AS73" s="45"/>
      <c r="AT73" s="45"/>
      <c r="AU73" s="45"/>
      <c r="AV73" s="47"/>
      <c r="AW73" s="48" t="str">
        <f>REV!AW73</f>
        <v>13.08.2026</v>
      </c>
      <c r="AX73" s="149" t="s">
        <v>68</v>
      </c>
    </row>
    <row r="74" spans="1:50" ht="22.5" customHeight="1">
      <c r="A74" s="41" t="s">
        <v>63</v>
      </c>
      <c r="B74" s="42" t="s">
        <v>64</v>
      </c>
      <c r="C74" s="43">
        <v>4016595</v>
      </c>
      <c r="D74" s="44" t="s">
        <v>148</v>
      </c>
      <c r="E74" s="44" t="s">
        <v>149</v>
      </c>
      <c r="F74" s="45">
        <v>100</v>
      </c>
      <c r="G74" s="45"/>
      <c r="H74" s="46"/>
      <c r="I74" s="46"/>
      <c r="J74" s="46">
        <f>IF(VLOOKUP($C74,REV!$C:$AA,8,0)-'TRADE IN'!$F74=0,"",(VLOOKUP($C74,REV!$C:$AA,8,0)-'TRADE IN'!$F74))</f>
        <v>9599</v>
      </c>
      <c r="K74" s="46">
        <f>IF(VLOOKUP($C74,REV!$C:$AA,9,0)-'TRADE IN'!$F74=0,"",(VLOOKUP($C74,REV!$C:$AA,9,0)-'TRADE IN'!$F74))</f>
        <v>9599</v>
      </c>
      <c r="L74" s="46">
        <f>IF(VLOOKUP($C74,REV!$C:$AA,10,0)-'TRADE IN'!$F74=0,"",(VLOOKUP($C74,REV!$C:$AA,10,0)-'TRADE IN'!$F74))</f>
        <v>9599</v>
      </c>
      <c r="M74" s="46">
        <f>IF(VLOOKUP($C74,REV!$C:$AA,11,0)-'TRADE IN'!$F74=0,"",(VLOOKUP($C74,REV!$C:$AA,11,0)-'TRADE IN'!$F74))</f>
        <v>9599</v>
      </c>
      <c r="N74" s="46">
        <f>IF(VLOOKUP($C74,REV!$C:$AA,12,0)-'TRADE IN'!$F74=0,"",(VLOOKUP($C74,REV!$C:$AA,12,0)-'TRADE IN'!$F74))</f>
        <v>9599</v>
      </c>
      <c r="O74" s="46">
        <f>IF(VLOOKUP($C74,REV!$C:$AA,13,0)-'TRADE IN'!$F74=0,"",(VLOOKUP($C74,REV!$C:$AA,13,0)-'TRADE IN'!$F74))</f>
        <v>9499</v>
      </c>
      <c r="P74" s="46">
        <f>IF(VLOOKUP($C74,REV!$C:$AA,14,0)-'TRADE IN'!$F74=0,"",(VLOOKUP($C74,REV!$C:$AA,14,0)-'TRADE IN'!$F74))</f>
        <v>9399</v>
      </c>
      <c r="Q74" s="46">
        <f>IF(VLOOKUP($C74,REV!$C:$AA,15,0)-'TRADE IN'!$F74=0,"",(VLOOKUP($C74,REV!$C:$AA,15,0)-'TRADE IN'!$F74))</f>
        <v>8599</v>
      </c>
      <c r="R74" s="46">
        <f>IF(VLOOKUP($C74,REV!$C:$AA,16,0)-'TRADE IN'!$F74=0,"",(VLOOKUP($C74,REV!$C:$AA,16,0)-'TRADE IN'!$F74))</f>
        <v>9499</v>
      </c>
      <c r="S74" s="46">
        <f>IF(VLOOKUP($C74,REV!$C:$AA,17,0)-'TRADE IN'!$F74=0,"",(VLOOKUP($C74,REV!$C:$AA,17,0)-'TRADE IN'!$F74))</f>
        <v>9399</v>
      </c>
      <c r="T74" s="46">
        <f>IF(VLOOKUP($C74,REV!$C:$AA,18,0)-'TRADE IN'!$F74=0,"",(VLOOKUP($C74,REV!$C:$AA,18,0)-'TRADE IN'!$F74))</f>
        <v>8599</v>
      </c>
      <c r="U74" s="46">
        <f>IF(VLOOKUP($C74,REV!$C:$AA,19,0)-'TRADE IN'!$F74=0,"",(VLOOKUP($C74,REV!$C:$AA,19,0)-'TRADE IN'!$F74))</f>
        <v>8599</v>
      </c>
      <c r="V74" s="46">
        <f>IF(VLOOKUP($C74,REV!$C:$AA,20,0)-'TRADE IN'!$F74=0,"",(VLOOKUP($C74,REV!$C:$AA,20,0)-'TRADE IN'!$F74))</f>
        <v>8299</v>
      </c>
      <c r="W74" s="46">
        <f>IF(VLOOKUP($C74,REV!$C:$AA,21,0)-'TRADE IN'!$F74=0,"",(VLOOKUP($C74,REV!$C:$AA,21,0)-'TRADE IN'!$F74))</f>
        <v>8299</v>
      </c>
      <c r="X74" s="46">
        <f>IF(VLOOKUP($C74,REV!$C:$AA,22,0)-'TRADE IN'!$F74=0,"",(VLOOKUP($C74,REV!$C:$AA,22,0)-'TRADE IN'!$F74))</f>
        <v>8299</v>
      </c>
      <c r="Y74" s="46">
        <f>IF(VLOOKUP($C74,REV!$C:$AA,23,0)-'TRADE IN'!$F74=0,"",(VLOOKUP($C74,REV!$C:$AA,23,0)-'TRADE IN'!$F74))</f>
        <v>8099</v>
      </c>
      <c r="Z74" s="46">
        <f>IF(VLOOKUP($C74,REV!$C:$AA,24,0)-'TRADE IN'!$F74=0,"",(VLOOKUP($C74,REV!$C:$AA,24,0)-'TRADE IN'!$F74))</f>
        <v>8099</v>
      </c>
      <c r="AA74" s="46">
        <f>IF(VLOOKUP($C74,REV!$C:$AA,25,0)-'TRADE IN'!$F74=0,"",(VLOOKUP($C74,REV!$C:$AA,25,0)-'TRADE IN'!$F74))</f>
        <v>8099</v>
      </c>
      <c r="AB74" s="45"/>
      <c r="AC74" s="45"/>
      <c r="AD74" s="45"/>
      <c r="AE74" s="45"/>
      <c r="AF74" s="45"/>
      <c r="AG74" s="45"/>
      <c r="AH74" s="45"/>
      <c r="AI74" s="45"/>
      <c r="AJ74" s="45"/>
      <c r="AK74" s="45"/>
      <c r="AL74" s="45"/>
      <c r="AM74" s="45"/>
      <c r="AN74" s="45"/>
      <c r="AO74" s="45"/>
      <c r="AP74" s="45"/>
      <c r="AQ74" s="45"/>
      <c r="AR74" s="45"/>
      <c r="AS74" s="45"/>
      <c r="AT74" s="45"/>
      <c r="AU74" s="45"/>
      <c r="AV74" s="47"/>
      <c r="AW74" s="48" t="str">
        <f>REV!AW74</f>
        <v>13.08.2026</v>
      </c>
      <c r="AX74" s="149" t="s">
        <v>68</v>
      </c>
    </row>
    <row r="75" spans="1:50" ht="22.5" customHeight="1">
      <c r="A75" s="41" t="s">
        <v>63</v>
      </c>
      <c r="B75" s="42" t="s">
        <v>64</v>
      </c>
      <c r="C75" s="43">
        <v>4016596</v>
      </c>
      <c r="D75" s="44" t="s">
        <v>148</v>
      </c>
      <c r="E75" s="44" t="s">
        <v>150</v>
      </c>
      <c r="F75" s="45">
        <v>100</v>
      </c>
      <c r="G75" s="45"/>
      <c r="H75" s="46"/>
      <c r="I75" s="46"/>
      <c r="J75" s="46">
        <f>IF(VLOOKUP($C75,REV!$C:$AA,8,0)-'TRADE IN'!$F75=0,"",(VLOOKUP($C75,REV!$C:$AA,8,0)-'TRADE IN'!$F75))</f>
        <v>9599</v>
      </c>
      <c r="K75" s="46">
        <f>IF(VLOOKUP($C75,REV!$C:$AA,9,0)-'TRADE IN'!$F75=0,"",(VLOOKUP($C75,REV!$C:$AA,9,0)-'TRADE IN'!$F75))</f>
        <v>9599</v>
      </c>
      <c r="L75" s="46">
        <f>IF(VLOOKUP($C75,REV!$C:$AA,10,0)-'TRADE IN'!$F75=0,"",(VLOOKUP($C75,REV!$C:$AA,10,0)-'TRADE IN'!$F75))</f>
        <v>9599</v>
      </c>
      <c r="M75" s="46">
        <f>IF(VLOOKUP($C75,REV!$C:$AA,11,0)-'TRADE IN'!$F75=0,"",(VLOOKUP($C75,REV!$C:$AA,11,0)-'TRADE IN'!$F75))</f>
        <v>9599</v>
      </c>
      <c r="N75" s="46">
        <f>IF(VLOOKUP($C75,REV!$C:$AA,12,0)-'TRADE IN'!$F75=0,"",(VLOOKUP($C75,REV!$C:$AA,12,0)-'TRADE IN'!$F75))</f>
        <v>9599</v>
      </c>
      <c r="O75" s="46">
        <f>IF(VLOOKUP($C75,REV!$C:$AA,13,0)-'TRADE IN'!$F75=0,"",(VLOOKUP($C75,REV!$C:$AA,13,0)-'TRADE IN'!$F75))</f>
        <v>9499</v>
      </c>
      <c r="P75" s="46">
        <f>IF(VLOOKUP($C75,REV!$C:$AA,14,0)-'TRADE IN'!$F75=0,"",(VLOOKUP($C75,REV!$C:$AA,14,0)-'TRADE IN'!$F75))</f>
        <v>9399</v>
      </c>
      <c r="Q75" s="46">
        <f>IF(VLOOKUP($C75,REV!$C:$AA,15,0)-'TRADE IN'!$F75=0,"",(VLOOKUP($C75,REV!$C:$AA,15,0)-'TRADE IN'!$F75))</f>
        <v>8599</v>
      </c>
      <c r="R75" s="46">
        <f>IF(VLOOKUP($C75,REV!$C:$AA,16,0)-'TRADE IN'!$F75=0,"",(VLOOKUP($C75,REV!$C:$AA,16,0)-'TRADE IN'!$F75))</f>
        <v>9499</v>
      </c>
      <c r="S75" s="46">
        <f>IF(VLOOKUP($C75,REV!$C:$AA,17,0)-'TRADE IN'!$F75=0,"",(VLOOKUP($C75,REV!$C:$AA,17,0)-'TRADE IN'!$F75))</f>
        <v>9399</v>
      </c>
      <c r="T75" s="46">
        <f>IF(VLOOKUP($C75,REV!$C:$AA,18,0)-'TRADE IN'!$F75=0,"",(VLOOKUP($C75,REV!$C:$AA,18,0)-'TRADE IN'!$F75))</f>
        <v>8599</v>
      </c>
      <c r="U75" s="46">
        <f>IF(VLOOKUP($C75,REV!$C:$AA,19,0)-'TRADE IN'!$F75=0,"",(VLOOKUP($C75,REV!$C:$AA,19,0)-'TRADE IN'!$F75))</f>
        <v>8599</v>
      </c>
      <c r="V75" s="46">
        <f>IF(VLOOKUP($C75,REV!$C:$AA,20,0)-'TRADE IN'!$F75=0,"",(VLOOKUP($C75,REV!$C:$AA,20,0)-'TRADE IN'!$F75))</f>
        <v>8299</v>
      </c>
      <c r="W75" s="46">
        <f>IF(VLOOKUP($C75,REV!$C:$AA,21,0)-'TRADE IN'!$F75=0,"",(VLOOKUP($C75,REV!$C:$AA,21,0)-'TRADE IN'!$F75))</f>
        <v>8299</v>
      </c>
      <c r="X75" s="46">
        <f>IF(VLOOKUP($C75,REV!$C:$AA,22,0)-'TRADE IN'!$F75=0,"",(VLOOKUP($C75,REV!$C:$AA,22,0)-'TRADE IN'!$F75))</f>
        <v>8299</v>
      </c>
      <c r="Y75" s="46">
        <f>IF(VLOOKUP($C75,REV!$C:$AA,23,0)-'TRADE IN'!$F75=0,"",(VLOOKUP($C75,REV!$C:$AA,23,0)-'TRADE IN'!$F75))</f>
        <v>8099</v>
      </c>
      <c r="Z75" s="46">
        <f>IF(VLOOKUP($C75,REV!$C:$AA,24,0)-'TRADE IN'!$F75=0,"",(VLOOKUP($C75,REV!$C:$AA,24,0)-'TRADE IN'!$F75))</f>
        <v>8099</v>
      </c>
      <c r="AA75" s="46">
        <f>IF(VLOOKUP($C75,REV!$C:$AA,25,0)-'TRADE IN'!$F75=0,"",(VLOOKUP($C75,REV!$C:$AA,25,0)-'TRADE IN'!$F75))</f>
        <v>8099</v>
      </c>
      <c r="AB75" s="45"/>
      <c r="AC75" s="45"/>
      <c r="AD75" s="45"/>
      <c r="AE75" s="45"/>
      <c r="AF75" s="45"/>
      <c r="AG75" s="45"/>
      <c r="AH75" s="45"/>
      <c r="AI75" s="45"/>
      <c r="AJ75" s="45"/>
      <c r="AK75" s="45"/>
      <c r="AL75" s="45"/>
      <c r="AM75" s="45"/>
      <c r="AN75" s="45"/>
      <c r="AO75" s="45"/>
      <c r="AP75" s="45"/>
      <c r="AQ75" s="45"/>
      <c r="AR75" s="45"/>
      <c r="AS75" s="45"/>
      <c r="AT75" s="45"/>
      <c r="AU75" s="45"/>
      <c r="AV75" s="47"/>
      <c r="AW75" s="48" t="str">
        <f>REV!AW75</f>
        <v>13.08.2026</v>
      </c>
      <c r="AX75" s="149" t="s">
        <v>68</v>
      </c>
    </row>
    <row r="76" spans="1:50" ht="22.5" customHeight="1">
      <c r="A76" s="41" t="s">
        <v>63</v>
      </c>
      <c r="B76" s="42" t="s">
        <v>64</v>
      </c>
      <c r="C76" s="43">
        <v>4016508</v>
      </c>
      <c r="D76" s="44" t="s">
        <v>148</v>
      </c>
      <c r="E76" s="44" t="s">
        <v>151</v>
      </c>
      <c r="F76" s="45">
        <v>100</v>
      </c>
      <c r="G76" s="45"/>
      <c r="H76" s="46"/>
      <c r="I76" s="46"/>
      <c r="J76" s="46">
        <f>IF(VLOOKUP($C76,REV!$C:$AA,8,0)-'TRADE IN'!$F76=0,"",(VLOOKUP($C76,REV!$C:$AA,8,0)-'TRADE IN'!$F76))</f>
        <v>9599</v>
      </c>
      <c r="K76" s="46">
        <f>IF(VLOOKUP($C76,REV!$C:$AA,9,0)-'TRADE IN'!$F76=0,"",(VLOOKUP($C76,REV!$C:$AA,9,0)-'TRADE IN'!$F76))</f>
        <v>9599</v>
      </c>
      <c r="L76" s="46">
        <f>IF(VLOOKUP($C76,REV!$C:$AA,10,0)-'TRADE IN'!$F76=0,"",(VLOOKUP($C76,REV!$C:$AA,10,0)-'TRADE IN'!$F76))</f>
        <v>9599</v>
      </c>
      <c r="M76" s="46">
        <f>IF(VLOOKUP($C76,REV!$C:$AA,11,0)-'TRADE IN'!$F76=0,"",(VLOOKUP($C76,REV!$C:$AA,11,0)-'TRADE IN'!$F76))</f>
        <v>9599</v>
      </c>
      <c r="N76" s="46">
        <f>IF(VLOOKUP($C76,REV!$C:$AA,12,0)-'TRADE IN'!$F76=0,"",(VLOOKUP($C76,REV!$C:$AA,12,0)-'TRADE IN'!$F76))</f>
        <v>9599</v>
      </c>
      <c r="O76" s="46">
        <f>IF(VLOOKUP($C76,REV!$C:$AA,13,0)-'TRADE IN'!$F76=0,"",(VLOOKUP($C76,REV!$C:$AA,13,0)-'TRADE IN'!$F76))</f>
        <v>9499</v>
      </c>
      <c r="P76" s="46">
        <f>IF(VLOOKUP($C76,REV!$C:$AA,14,0)-'TRADE IN'!$F76=0,"",(VLOOKUP($C76,REV!$C:$AA,14,0)-'TRADE IN'!$F76))</f>
        <v>9399</v>
      </c>
      <c r="Q76" s="46">
        <f>IF(VLOOKUP($C76,REV!$C:$AA,15,0)-'TRADE IN'!$F76=0,"",(VLOOKUP($C76,REV!$C:$AA,15,0)-'TRADE IN'!$F76))</f>
        <v>8599</v>
      </c>
      <c r="R76" s="46">
        <f>IF(VLOOKUP($C76,REV!$C:$AA,16,0)-'TRADE IN'!$F76=0,"",(VLOOKUP($C76,REV!$C:$AA,16,0)-'TRADE IN'!$F76))</f>
        <v>9499</v>
      </c>
      <c r="S76" s="46">
        <f>IF(VLOOKUP($C76,REV!$C:$AA,17,0)-'TRADE IN'!$F76=0,"",(VLOOKUP($C76,REV!$C:$AA,17,0)-'TRADE IN'!$F76))</f>
        <v>9399</v>
      </c>
      <c r="T76" s="46">
        <f>IF(VLOOKUP($C76,REV!$C:$AA,18,0)-'TRADE IN'!$F76=0,"",(VLOOKUP($C76,REV!$C:$AA,18,0)-'TRADE IN'!$F76))</f>
        <v>8599</v>
      </c>
      <c r="U76" s="46">
        <f>IF(VLOOKUP($C76,REV!$C:$AA,19,0)-'TRADE IN'!$F76=0,"",(VLOOKUP($C76,REV!$C:$AA,19,0)-'TRADE IN'!$F76))</f>
        <v>8599</v>
      </c>
      <c r="V76" s="46">
        <f>IF(VLOOKUP($C76,REV!$C:$AA,20,0)-'TRADE IN'!$F76=0,"",(VLOOKUP($C76,REV!$C:$AA,20,0)-'TRADE IN'!$F76))</f>
        <v>8299</v>
      </c>
      <c r="W76" s="46">
        <f>IF(VLOOKUP($C76,REV!$C:$AA,21,0)-'TRADE IN'!$F76=0,"",(VLOOKUP($C76,REV!$C:$AA,21,0)-'TRADE IN'!$F76))</f>
        <v>8299</v>
      </c>
      <c r="X76" s="46">
        <f>IF(VLOOKUP($C76,REV!$C:$AA,22,0)-'TRADE IN'!$F76=0,"",(VLOOKUP($C76,REV!$C:$AA,22,0)-'TRADE IN'!$F76))</f>
        <v>8299</v>
      </c>
      <c r="Y76" s="46">
        <f>IF(VLOOKUP($C76,REV!$C:$AA,23,0)-'TRADE IN'!$F76=0,"",(VLOOKUP($C76,REV!$C:$AA,23,0)-'TRADE IN'!$F76))</f>
        <v>8099</v>
      </c>
      <c r="Z76" s="46">
        <f>IF(VLOOKUP($C76,REV!$C:$AA,24,0)-'TRADE IN'!$F76=0,"",(VLOOKUP($C76,REV!$C:$AA,24,0)-'TRADE IN'!$F76))</f>
        <v>8099</v>
      </c>
      <c r="AA76" s="46">
        <f>IF(VLOOKUP($C76,REV!$C:$AA,25,0)-'TRADE IN'!$F76=0,"",(VLOOKUP($C76,REV!$C:$AA,25,0)-'TRADE IN'!$F76))</f>
        <v>8099</v>
      </c>
      <c r="AB76" s="45"/>
      <c r="AC76" s="45"/>
      <c r="AD76" s="45"/>
      <c r="AE76" s="45"/>
      <c r="AF76" s="45"/>
      <c r="AG76" s="45"/>
      <c r="AH76" s="45"/>
      <c r="AI76" s="45"/>
      <c r="AJ76" s="45"/>
      <c r="AK76" s="45"/>
      <c r="AL76" s="45"/>
      <c r="AM76" s="45"/>
      <c r="AN76" s="45"/>
      <c r="AO76" s="45"/>
      <c r="AP76" s="45"/>
      <c r="AQ76" s="45"/>
      <c r="AR76" s="45"/>
      <c r="AS76" s="45"/>
      <c r="AT76" s="45"/>
      <c r="AU76" s="45"/>
      <c r="AV76" s="47"/>
      <c r="AW76" s="48" t="str">
        <f>REV!AW76</f>
        <v>13.08.2026</v>
      </c>
      <c r="AX76" s="149" t="s">
        <v>68</v>
      </c>
    </row>
    <row r="77" spans="1:50" ht="22.5" customHeight="1">
      <c r="A77" s="41" t="s">
        <v>63</v>
      </c>
      <c r="B77" s="42" t="s">
        <v>64</v>
      </c>
      <c r="C77" s="43">
        <v>4016507</v>
      </c>
      <c r="D77" s="44" t="s">
        <v>148</v>
      </c>
      <c r="E77" s="44" t="s">
        <v>152</v>
      </c>
      <c r="F77" s="45">
        <v>100</v>
      </c>
      <c r="G77" s="45"/>
      <c r="H77" s="46"/>
      <c r="I77" s="46"/>
      <c r="J77" s="46">
        <f>IF(VLOOKUP($C77,REV!$C:$AA,8,0)-'TRADE IN'!$F77=0,"",(VLOOKUP($C77,REV!$C:$AA,8,0)-'TRADE IN'!$F77))</f>
        <v>9599</v>
      </c>
      <c r="K77" s="46">
        <f>IF(VLOOKUP($C77,REV!$C:$AA,9,0)-'TRADE IN'!$F77=0,"",(VLOOKUP($C77,REV!$C:$AA,9,0)-'TRADE IN'!$F77))</f>
        <v>9599</v>
      </c>
      <c r="L77" s="46">
        <f>IF(VLOOKUP($C77,REV!$C:$AA,10,0)-'TRADE IN'!$F77=0,"",(VLOOKUP($C77,REV!$C:$AA,10,0)-'TRADE IN'!$F77))</f>
        <v>9599</v>
      </c>
      <c r="M77" s="46">
        <f>IF(VLOOKUP($C77,REV!$C:$AA,11,0)-'TRADE IN'!$F77=0,"",(VLOOKUP($C77,REV!$C:$AA,11,0)-'TRADE IN'!$F77))</f>
        <v>9599</v>
      </c>
      <c r="N77" s="46">
        <f>IF(VLOOKUP($C77,REV!$C:$AA,12,0)-'TRADE IN'!$F77=0,"",(VLOOKUP($C77,REV!$C:$AA,12,0)-'TRADE IN'!$F77))</f>
        <v>9599</v>
      </c>
      <c r="O77" s="46">
        <f>IF(VLOOKUP($C77,REV!$C:$AA,13,0)-'TRADE IN'!$F77=0,"",(VLOOKUP($C77,REV!$C:$AA,13,0)-'TRADE IN'!$F77))</f>
        <v>9499</v>
      </c>
      <c r="P77" s="46">
        <f>IF(VLOOKUP($C77,REV!$C:$AA,14,0)-'TRADE IN'!$F77=0,"",(VLOOKUP($C77,REV!$C:$AA,14,0)-'TRADE IN'!$F77))</f>
        <v>9399</v>
      </c>
      <c r="Q77" s="46">
        <f>IF(VLOOKUP($C77,REV!$C:$AA,15,0)-'TRADE IN'!$F77=0,"",(VLOOKUP($C77,REV!$C:$AA,15,0)-'TRADE IN'!$F77))</f>
        <v>8599</v>
      </c>
      <c r="R77" s="46">
        <f>IF(VLOOKUP($C77,REV!$C:$AA,16,0)-'TRADE IN'!$F77=0,"",(VLOOKUP($C77,REV!$C:$AA,16,0)-'TRADE IN'!$F77))</f>
        <v>9499</v>
      </c>
      <c r="S77" s="46">
        <f>IF(VLOOKUP($C77,REV!$C:$AA,17,0)-'TRADE IN'!$F77=0,"",(VLOOKUP($C77,REV!$C:$AA,17,0)-'TRADE IN'!$F77))</f>
        <v>9399</v>
      </c>
      <c r="T77" s="46">
        <f>IF(VLOOKUP($C77,REV!$C:$AA,18,0)-'TRADE IN'!$F77=0,"",(VLOOKUP($C77,REV!$C:$AA,18,0)-'TRADE IN'!$F77))</f>
        <v>8599</v>
      </c>
      <c r="U77" s="46">
        <f>IF(VLOOKUP($C77,REV!$C:$AA,19,0)-'TRADE IN'!$F77=0,"",(VLOOKUP($C77,REV!$C:$AA,19,0)-'TRADE IN'!$F77))</f>
        <v>8599</v>
      </c>
      <c r="V77" s="46">
        <f>IF(VLOOKUP($C77,REV!$C:$AA,20,0)-'TRADE IN'!$F77=0,"",(VLOOKUP($C77,REV!$C:$AA,20,0)-'TRADE IN'!$F77))</f>
        <v>8299</v>
      </c>
      <c r="W77" s="46">
        <f>IF(VLOOKUP($C77,REV!$C:$AA,21,0)-'TRADE IN'!$F77=0,"",(VLOOKUP($C77,REV!$C:$AA,21,0)-'TRADE IN'!$F77))</f>
        <v>8299</v>
      </c>
      <c r="X77" s="46">
        <f>IF(VLOOKUP($C77,REV!$C:$AA,22,0)-'TRADE IN'!$F77=0,"",(VLOOKUP($C77,REV!$C:$AA,22,0)-'TRADE IN'!$F77))</f>
        <v>8299</v>
      </c>
      <c r="Y77" s="46">
        <f>IF(VLOOKUP($C77,REV!$C:$AA,23,0)-'TRADE IN'!$F77=0,"",(VLOOKUP($C77,REV!$C:$AA,23,0)-'TRADE IN'!$F77))</f>
        <v>8099</v>
      </c>
      <c r="Z77" s="46">
        <f>IF(VLOOKUP($C77,REV!$C:$AA,24,0)-'TRADE IN'!$F77=0,"",(VLOOKUP($C77,REV!$C:$AA,24,0)-'TRADE IN'!$F77))</f>
        <v>8099</v>
      </c>
      <c r="AA77" s="46">
        <f>IF(VLOOKUP($C77,REV!$C:$AA,25,0)-'TRADE IN'!$F77=0,"",(VLOOKUP($C77,REV!$C:$AA,25,0)-'TRADE IN'!$F77))</f>
        <v>8099</v>
      </c>
      <c r="AB77" s="45"/>
      <c r="AC77" s="45"/>
      <c r="AD77" s="45"/>
      <c r="AE77" s="45"/>
      <c r="AF77" s="45"/>
      <c r="AG77" s="45"/>
      <c r="AH77" s="45"/>
      <c r="AI77" s="45"/>
      <c r="AJ77" s="45"/>
      <c r="AK77" s="45"/>
      <c r="AL77" s="45"/>
      <c r="AM77" s="45"/>
      <c r="AN77" s="45"/>
      <c r="AO77" s="45"/>
      <c r="AP77" s="45"/>
      <c r="AQ77" s="45"/>
      <c r="AR77" s="45"/>
      <c r="AS77" s="45"/>
      <c r="AT77" s="45"/>
      <c r="AU77" s="45"/>
      <c r="AV77" s="47"/>
      <c r="AW77" s="48" t="str">
        <f>REV!AW77</f>
        <v>13.08.2026</v>
      </c>
      <c r="AX77" s="149" t="s">
        <v>68</v>
      </c>
    </row>
    <row r="78" spans="1:50" ht="22.5" customHeight="1">
      <c r="A78" s="41" t="s">
        <v>63</v>
      </c>
      <c r="B78" s="42" t="s">
        <v>64</v>
      </c>
      <c r="C78" s="43">
        <v>4016598</v>
      </c>
      <c r="D78" s="44" t="s">
        <v>153</v>
      </c>
      <c r="E78" s="44" t="s">
        <v>154</v>
      </c>
      <c r="F78" s="45">
        <v>100</v>
      </c>
      <c r="G78" s="45"/>
      <c r="H78" s="46"/>
      <c r="I78" s="46"/>
      <c r="J78" s="46">
        <f>IF(VLOOKUP($C78,REV!$C:$AA,8,0)-'TRADE IN'!$F78=0,"",(VLOOKUP($C78,REV!$C:$AA,8,0)-'TRADE IN'!$F78))</f>
        <v>11699</v>
      </c>
      <c r="K78" s="46">
        <f>IF(VLOOKUP($C78,REV!$C:$AA,9,0)-'TRADE IN'!$F78=0,"",(VLOOKUP($C78,REV!$C:$AA,9,0)-'TRADE IN'!$F78))</f>
        <v>11699</v>
      </c>
      <c r="L78" s="46">
        <f>IF(VLOOKUP($C78,REV!$C:$AA,10,0)-'TRADE IN'!$F78=0,"",(VLOOKUP($C78,REV!$C:$AA,10,0)-'TRADE IN'!$F78))</f>
        <v>11699</v>
      </c>
      <c r="M78" s="46">
        <f>IF(VLOOKUP($C78,REV!$C:$AA,11,0)-'TRADE IN'!$F78=0,"",(VLOOKUP($C78,REV!$C:$AA,11,0)-'TRADE IN'!$F78))</f>
        <v>11699</v>
      </c>
      <c r="N78" s="46">
        <f>IF(VLOOKUP($C78,REV!$C:$AA,12,0)-'TRADE IN'!$F78=0,"",(VLOOKUP($C78,REV!$C:$AA,12,0)-'TRADE IN'!$F78))</f>
        <v>11699</v>
      </c>
      <c r="O78" s="46">
        <f>IF(VLOOKUP($C78,REV!$C:$AA,13,0)-'TRADE IN'!$F78=0,"",(VLOOKUP($C78,REV!$C:$AA,13,0)-'TRADE IN'!$F78))</f>
        <v>11599</v>
      </c>
      <c r="P78" s="46">
        <f>IF(VLOOKUP($C78,REV!$C:$AA,14,0)-'TRADE IN'!$F78=0,"",(VLOOKUP($C78,REV!$C:$AA,14,0)-'TRADE IN'!$F78))</f>
        <v>11499</v>
      </c>
      <c r="Q78" s="46">
        <f>IF(VLOOKUP($C78,REV!$C:$AA,15,0)-'TRADE IN'!$F78=0,"",(VLOOKUP($C78,REV!$C:$AA,15,0)-'TRADE IN'!$F78))</f>
        <v>10699</v>
      </c>
      <c r="R78" s="46">
        <f>IF(VLOOKUP($C78,REV!$C:$AA,16,0)-'TRADE IN'!$F78=0,"",(VLOOKUP($C78,REV!$C:$AA,16,0)-'TRADE IN'!$F78))</f>
        <v>11599</v>
      </c>
      <c r="S78" s="46">
        <f>IF(VLOOKUP($C78,REV!$C:$AA,17,0)-'TRADE IN'!$F78=0,"",(VLOOKUP($C78,REV!$C:$AA,17,0)-'TRADE IN'!$F78))</f>
        <v>11499</v>
      </c>
      <c r="T78" s="46">
        <f>IF(VLOOKUP($C78,REV!$C:$AA,18,0)-'TRADE IN'!$F78=0,"",(VLOOKUP($C78,REV!$C:$AA,18,0)-'TRADE IN'!$F78))</f>
        <v>10699</v>
      </c>
      <c r="U78" s="46">
        <f>IF(VLOOKUP($C78,REV!$C:$AA,19,0)-'TRADE IN'!$F78=0,"",(VLOOKUP($C78,REV!$C:$AA,19,0)-'TRADE IN'!$F78))</f>
        <v>10699</v>
      </c>
      <c r="V78" s="46">
        <f>IF(VLOOKUP($C78,REV!$C:$AA,20,0)-'TRADE IN'!$F78=0,"",(VLOOKUP($C78,REV!$C:$AA,20,0)-'TRADE IN'!$F78))</f>
        <v>10699</v>
      </c>
      <c r="W78" s="46">
        <f>IF(VLOOKUP($C78,REV!$C:$AA,21,0)-'TRADE IN'!$F78=0,"",(VLOOKUP($C78,REV!$C:$AA,21,0)-'TRADE IN'!$F78))</f>
        <v>10599</v>
      </c>
      <c r="X78" s="46">
        <f>IF(VLOOKUP($C78,REV!$C:$AA,22,0)-'TRADE IN'!$F78=0,"",(VLOOKUP($C78,REV!$C:$AA,22,0)-'TRADE IN'!$F78))</f>
        <v>10599</v>
      </c>
      <c r="Y78" s="46">
        <f>IF(VLOOKUP($C78,REV!$C:$AA,23,0)-'TRADE IN'!$F78=0,"",(VLOOKUP($C78,REV!$C:$AA,23,0)-'TRADE IN'!$F78))</f>
        <v>9599</v>
      </c>
      <c r="Z78" s="46">
        <f>IF(VLOOKUP($C78,REV!$C:$AA,24,0)-'TRADE IN'!$F78=0,"",(VLOOKUP($C78,REV!$C:$AA,24,0)-'TRADE IN'!$F78))</f>
        <v>9499</v>
      </c>
      <c r="AA78" s="46">
        <f>IF(VLOOKUP($C78,REV!$C:$AA,25,0)-'TRADE IN'!$F78=0,"",(VLOOKUP($C78,REV!$C:$AA,25,0)-'TRADE IN'!$F78))</f>
        <v>9499</v>
      </c>
      <c r="AB78" s="45"/>
      <c r="AC78" s="45"/>
      <c r="AD78" s="45"/>
      <c r="AE78" s="45"/>
      <c r="AF78" s="45"/>
      <c r="AG78" s="45"/>
      <c r="AH78" s="45"/>
      <c r="AI78" s="45"/>
      <c r="AJ78" s="45"/>
      <c r="AK78" s="45"/>
      <c r="AL78" s="45"/>
      <c r="AM78" s="45"/>
      <c r="AN78" s="45"/>
      <c r="AO78" s="45"/>
      <c r="AP78" s="45"/>
      <c r="AQ78" s="45"/>
      <c r="AR78" s="45"/>
      <c r="AS78" s="45"/>
      <c r="AT78" s="45"/>
      <c r="AU78" s="45"/>
      <c r="AV78" s="47"/>
      <c r="AW78" s="48" t="str">
        <f>REV!AW78</f>
        <v>13.08.2026</v>
      </c>
      <c r="AX78" s="149" t="s">
        <v>68</v>
      </c>
    </row>
    <row r="79" spans="1:50" ht="22.5" customHeight="1">
      <c r="A79" s="41" t="s">
        <v>63</v>
      </c>
      <c r="B79" s="42" t="s">
        <v>64</v>
      </c>
      <c r="C79" s="43">
        <v>4016606</v>
      </c>
      <c r="D79" s="44" t="s">
        <v>155</v>
      </c>
      <c r="E79" s="44" t="s">
        <v>156</v>
      </c>
      <c r="F79" s="45">
        <v>100</v>
      </c>
      <c r="G79" s="45"/>
      <c r="H79" s="46"/>
      <c r="I79" s="46"/>
      <c r="J79" s="46">
        <f>IF(VLOOKUP($C79,REV!$C:$AA,8,0)-'TRADE IN'!$F79=0,"",(VLOOKUP($C79,REV!$C:$AA,8,0)-'TRADE IN'!$F79))</f>
        <v>10799</v>
      </c>
      <c r="K79" s="46">
        <f>IF(VLOOKUP($C79,REV!$C:$AA,9,0)-'TRADE IN'!$F79=0,"",(VLOOKUP($C79,REV!$C:$AA,9,0)-'TRADE IN'!$F79))</f>
        <v>10799</v>
      </c>
      <c r="L79" s="46">
        <f>IF(VLOOKUP($C79,REV!$C:$AA,10,0)-'TRADE IN'!$F79=0,"",(VLOOKUP($C79,REV!$C:$AA,10,0)-'TRADE IN'!$F79))</f>
        <v>10799</v>
      </c>
      <c r="M79" s="46">
        <f>IF(VLOOKUP($C79,REV!$C:$AA,11,0)-'TRADE IN'!$F79=0,"",(VLOOKUP($C79,REV!$C:$AA,11,0)-'TRADE IN'!$F79))</f>
        <v>10799</v>
      </c>
      <c r="N79" s="46">
        <f>IF(VLOOKUP($C79,REV!$C:$AA,12,0)-'TRADE IN'!$F79=0,"",(VLOOKUP($C79,REV!$C:$AA,12,0)-'TRADE IN'!$F79))</f>
        <v>10799</v>
      </c>
      <c r="O79" s="46">
        <f>IF(VLOOKUP($C79,REV!$C:$AA,13,0)-'TRADE IN'!$F79=0,"",(VLOOKUP($C79,REV!$C:$AA,13,0)-'TRADE IN'!$F79))</f>
        <v>10499</v>
      </c>
      <c r="P79" s="46">
        <f>IF(VLOOKUP($C79,REV!$C:$AA,14,0)-'TRADE IN'!$F79=0,"",(VLOOKUP($C79,REV!$C:$AA,14,0)-'TRADE IN'!$F79))</f>
        <v>10399</v>
      </c>
      <c r="Q79" s="46">
        <f>IF(VLOOKUP($C79,REV!$C:$AA,15,0)-'TRADE IN'!$F79=0,"",(VLOOKUP($C79,REV!$C:$AA,15,0)-'TRADE IN'!$F79))</f>
        <v>9699</v>
      </c>
      <c r="R79" s="46">
        <f>IF(VLOOKUP($C79,REV!$C:$AA,16,0)-'TRADE IN'!$F79=0,"",(VLOOKUP($C79,REV!$C:$AA,16,0)-'TRADE IN'!$F79))</f>
        <v>10499</v>
      </c>
      <c r="S79" s="46">
        <f>IF(VLOOKUP($C79,REV!$C:$AA,17,0)-'TRADE IN'!$F79=0,"",(VLOOKUP($C79,REV!$C:$AA,17,0)-'TRADE IN'!$F79))</f>
        <v>10399</v>
      </c>
      <c r="T79" s="46">
        <f>IF(VLOOKUP($C79,REV!$C:$AA,18,0)-'TRADE IN'!$F79=0,"",(VLOOKUP($C79,REV!$C:$AA,18,0)-'TRADE IN'!$F79))</f>
        <v>9699</v>
      </c>
      <c r="U79" s="46">
        <f>IF(VLOOKUP($C79,REV!$C:$AA,19,0)-'TRADE IN'!$F79=0,"",(VLOOKUP($C79,REV!$C:$AA,19,0)-'TRADE IN'!$F79))</f>
        <v>9699</v>
      </c>
      <c r="V79" s="46">
        <f>IF(VLOOKUP($C79,REV!$C:$AA,20,0)-'TRADE IN'!$F79=0,"",(VLOOKUP($C79,REV!$C:$AA,20,0)-'TRADE IN'!$F79))</f>
        <v>9699</v>
      </c>
      <c r="W79" s="46">
        <f>IF(VLOOKUP($C79,REV!$C:$AA,21,0)-'TRADE IN'!$F79=0,"",(VLOOKUP($C79,REV!$C:$AA,21,0)-'TRADE IN'!$F79))</f>
        <v>9699</v>
      </c>
      <c r="X79" s="46">
        <f>IF(VLOOKUP($C79,REV!$C:$AA,22,0)-'TRADE IN'!$F79=0,"",(VLOOKUP($C79,REV!$C:$AA,22,0)-'TRADE IN'!$F79))</f>
        <v>9499</v>
      </c>
      <c r="Y79" s="46">
        <f>IF(VLOOKUP($C79,REV!$C:$AA,23,0)-'TRADE IN'!$F79=0,"",(VLOOKUP($C79,REV!$C:$AA,23,0)-'TRADE IN'!$F79))</f>
        <v>8899</v>
      </c>
      <c r="Z79" s="46">
        <f>IF(VLOOKUP($C79,REV!$C:$AA,24,0)-'TRADE IN'!$F79=0,"",(VLOOKUP($C79,REV!$C:$AA,24,0)-'TRADE IN'!$F79))</f>
        <v>8899</v>
      </c>
      <c r="AA79" s="46">
        <f>IF(VLOOKUP($C79,REV!$C:$AA,25,0)-'TRADE IN'!$F79=0,"",(VLOOKUP($C79,REV!$C:$AA,25,0)-'TRADE IN'!$F79))</f>
        <v>8899</v>
      </c>
      <c r="AB79" s="45"/>
      <c r="AC79" s="45"/>
      <c r="AD79" s="45"/>
      <c r="AE79" s="45"/>
      <c r="AF79" s="45"/>
      <c r="AG79" s="45"/>
      <c r="AH79" s="45"/>
      <c r="AI79" s="45"/>
      <c r="AJ79" s="45"/>
      <c r="AK79" s="45"/>
      <c r="AL79" s="45"/>
      <c r="AM79" s="45"/>
      <c r="AN79" s="45"/>
      <c r="AO79" s="45"/>
      <c r="AP79" s="45"/>
      <c r="AQ79" s="45"/>
      <c r="AR79" s="45"/>
      <c r="AS79" s="45"/>
      <c r="AT79" s="45"/>
      <c r="AU79" s="45"/>
      <c r="AV79" s="47"/>
      <c r="AW79" s="48" t="str">
        <f>REV!AW79</f>
        <v>13.08.2026</v>
      </c>
      <c r="AX79" s="149" t="s">
        <v>68</v>
      </c>
    </row>
    <row r="80" spans="1:50" ht="22.5" customHeight="1">
      <c r="A80" s="41" t="s">
        <v>63</v>
      </c>
      <c r="B80" s="42" t="s">
        <v>64</v>
      </c>
      <c r="C80" s="43">
        <v>4016618</v>
      </c>
      <c r="D80" s="44" t="s">
        <v>155</v>
      </c>
      <c r="E80" s="44" t="s">
        <v>157</v>
      </c>
      <c r="F80" s="45">
        <v>100</v>
      </c>
      <c r="G80" s="45"/>
      <c r="H80" s="46"/>
      <c r="I80" s="46"/>
      <c r="J80" s="46">
        <f>IF(VLOOKUP($C80,REV!$C:$AA,8,0)-'TRADE IN'!$F80=0,"",(VLOOKUP($C80,REV!$C:$AA,8,0)-'TRADE IN'!$F80))</f>
        <v>10799</v>
      </c>
      <c r="K80" s="46">
        <f>IF(VLOOKUP($C80,REV!$C:$AA,9,0)-'TRADE IN'!$F80=0,"",(VLOOKUP($C80,REV!$C:$AA,9,0)-'TRADE IN'!$F80))</f>
        <v>10799</v>
      </c>
      <c r="L80" s="46">
        <f>IF(VLOOKUP($C80,REV!$C:$AA,10,0)-'TRADE IN'!$F80=0,"",(VLOOKUP($C80,REV!$C:$AA,10,0)-'TRADE IN'!$F80))</f>
        <v>10799</v>
      </c>
      <c r="M80" s="46">
        <f>IF(VLOOKUP($C80,REV!$C:$AA,11,0)-'TRADE IN'!$F80=0,"",(VLOOKUP($C80,REV!$C:$AA,11,0)-'TRADE IN'!$F80))</f>
        <v>10799</v>
      </c>
      <c r="N80" s="46">
        <f>IF(VLOOKUP($C80,REV!$C:$AA,12,0)-'TRADE IN'!$F80=0,"",(VLOOKUP($C80,REV!$C:$AA,12,0)-'TRADE IN'!$F80))</f>
        <v>10799</v>
      </c>
      <c r="O80" s="46">
        <f>IF(VLOOKUP($C80,REV!$C:$AA,13,0)-'TRADE IN'!$F80=0,"",(VLOOKUP($C80,REV!$C:$AA,13,0)-'TRADE IN'!$F80))</f>
        <v>10499</v>
      </c>
      <c r="P80" s="46">
        <f>IF(VLOOKUP($C80,REV!$C:$AA,14,0)-'TRADE IN'!$F80=0,"",(VLOOKUP($C80,REV!$C:$AA,14,0)-'TRADE IN'!$F80))</f>
        <v>10399</v>
      </c>
      <c r="Q80" s="46">
        <f>IF(VLOOKUP($C80,REV!$C:$AA,15,0)-'TRADE IN'!$F80=0,"",(VLOOKUP($C80,REV!$C:$AA,15,0)-'TRADE IN'!$F80))</f>
        <v>9699</v>
      </c>
      <c r="R80" s="46">
        <f>IF(VLOOKUP($C80,REV!$C:$AA,16,0)-'TRADE IN'!$F80=0,"",(VLOOKUP($C80,REV!$C:$AA,16,0)-'TRADE IN'!$F80))</f>
        <v>10499</v>
      </c>
      <c r="S80" s="46">
        <f>IF(VLOOKUP($C80,REV!$C:$AA,17,0)-'TRADE IN'!$F80=0,"",(VLOOKUP($C80,REV!$C:$AA,17,0)-'TRADE IN'!$F80))</f>
        <v>10399</v>
      </c>
      <c r="T80" s="46">
        <f>IF(VLOOKUP($C80,REV!$C:$AA,18,0)-'TRADE IN'!$F80=0,"",(VLOOKUP($C80,REV!$C:$AA,18,0)-'TRADE IN'!$F80))</f>
        <v>9699</v>
      </c>
      <c r="U80" s="46">
        <f>IF(VLOOKUP($C80,REV!$C:$AA,19,0)-'TRADE IN'!$F80=0,"",(VLOOKUP($C80,REV!$C:$AA,19,0)-'TRADE IN'!$F80))</f>
        <v>9699</v>
      </c>
      <c r="V80" s="46">
        <f>IF(VLOOKUP($C80,REV!$C:$AA,20,0)-'TRADE IN'!$F80=0,"",(VLOOKUP($C80,REV!$C:$AA,20,0)-'TRADE IN'!$F80))</f>
        <v>9699</v>
      </c>
      <c r="W80" s="46">
        <f>IF(VLOOKUP($C80,REV!$C:$AA,21,0)-'TRADE IN'!$F80=0,"",(VLOOKUP($C80,REV!$C:$AA,21,0)-'TRADE IN'!$F80))</f>
        <v>9699</v>
      </c>
      <c r="X80" s="46">
        <f>IF(VLOOKUP($C80,REV!$C:$AA,22,0)-'TRADE IN'!$F80=0,"",(VLOOKUP($C80,REV!$C:$AA,22,0)-'TRADE IN'!$F80))</f>
        <v>9499</v>
      </c>
      <c r="Y80" s="46">
        <f>IF(VLOOKUP($C80,REV!$C:$AA,23,0)-'TRADE IN'!$F80=0,"",(VLOOKUP($C80,REV!$C:$AA,23,0)-'TRADE IN'!$F80))</f>
        <v>8899</v>
      </c>
      <c r="Z80" s="46">
        <f>IF(VLOOKUP($C80,REV!$C:$AA,24,0)-'TRADE IN'!$F80=0,"",(VLOOKUP($C80,REV!$C:$AA,24,0)-'TRADE IN'!$F80))</f>
        <v>8899</v>
      </c>
      <c r="AA80" s="46">
        <f>IF(VLOOKUP($C80,REV!$C:$AA,25,0)-'TRADE IN'!$F80=0,"",(VLOOKUP($C80,REV!$C:$AA,25,0)-'TRADE IN'!$F80))</f>
        <v>8899</v>
      </c>
      <c r="AB80" s="45"/>
      <c r="AC80" s="45"/>
      <c r="AD80" s="45"/>
      <c r="AE80" s="45"/>
      <c r="AF80" s="45"/>
      <c r="AG80" s="45"/>
      <c r="AH80" s="45"/>
      <c r="AI80" s="45"/>
      <c r="AJ80" s="45"/>
      <c r="AK80" s="45"/>
      <c r="AL80" s="45"/>
      <c r="AM80" s="45"/>
      <c r="AN80" s="45"/>
      <c r="AO80" s="45"/>
      <c r="AP80" s="45"/>
      <c r="AQ80" s="45"/>
      <c r="AR80" s="45"/>
      <c r="AS80" s="45"/>
      <c r="AT80" s="45"/>
      <c r="AU80" s="45"/>
      <c r="AV80" s="47"/>
      <c r="AW80" s="48" t="str">
        <f>REV!AW80</f>
        <v>13.08.2026</v>
      </c>
      <c r="AX80" s="149" t="s">
        <v>68</v>
      </c>
    </row>
    <row r="81" spans="1:50" ht="22.5" customHeight="1">
      <c r="A81" s="41" t="s">
        <v>63</v>
      </c>
      <c r="B81" s="42" t="s">
        <v>64</v>
      </c>
      <c r="C81" s="43">
        <v>4016617</v>
      </c>
      <c r="D81" s="44" t="s">
        <v>155</v>
      </c>
      <c r="E81" s="44" t="s">
        <v>158</v>
      </c>
      <c r="F81" s="45">
        <v>100</v>
      </c>
      <c r="G81" s="45"/>
      <c r="H81" s="46"/>
      <c r="I81" s="46"/>
      <c r="J81" s="46">
        <f>IF(VLOOKUP($C81,REV!$C:$AA,8,0)-'TRADE IN'!$F81=0,"",(VLOOKUP($C81,REV!$C:$AA,8,0)-'TRADE IN'!$F81))</f>
        <v>10799</v>
      </c>
      <c r="K81" s="46">
        <f>IF(VLOOKUP($C81,REV!$C:$AA,9,0)-'TRADE IN'!$F81=0,"",(VLOOKUP($C81,REV!$C:$AA,9,0)-'TRADE IN'!$F81))</f>
        <v>10799</v>
      </c>
      <c r="L81" s="46">
        <f>IF(VLOOKUP($C81,REV!$C:$AA,10,0)-'TRADE IN'!$F81=0,"",(VLOOKUP($C81,REV!$C:$AA,10,0)-'TRADE IN'!$F81))</f>
        <v>10799</v>
      </c>
      <c r="M81" s="46">
        <f>IF(VLOOKUP($C81,REV!$C:$AA,11,0)-'TRADE IN'!$F81=0,"",(VLOOKUP($C81,REV!$C:$AA,11,0)-'TRADE IN'!$F81))</f>
        <v>10799</v>
      </c>
      <c r="N81" s="46">
        <f>IF(VLOOKUP($C81,REV!$C:$AA,12,0)-'TRADE IN'!$F81=0,"",(VLOOKUP($C81,REV!$C:$AA,12,0)-'TRADE IN'!$F81))</f>
        <v>10799</v>
      </c>
      <c r="O81" s="46">
        <f>IF(VLOOKUP($C81,REV!$C:$AA,13,0)-'TRADE IN'!$F81=0,"",(VLOOKUP($C81,REV!$C:$AA,13,0)-'TRADE IN'!$F81))</f>
        <v>10499</v>
      </c>
      <c r="P81" s="46">
        <f>IF(VLOOKUP($C81,REV!$C:$AA,14,0)-'TRADE IN'!$F81=0,"",(VLOOKUP($C81,REV!$C:$AA,14,0)-'TRADE IN'!$F81))</f>
        <v>10399</v>
      </c>
      <c r="Q81" s="46">
        <f>IF(VLOOKUP($C81,REV!$C:$AA,15,0)-'TRADE IN'!$F81=0,"",(VLOOKUP($C81,REV!$C:$AA,15,0)-'TRADE IN'!$F81))</f>
        <v>9699</v>
      </c>
      <c r="R81" s="46">
        <f>IF(VLOOKUP($C81,REV!$C:$AA,16,0)-'TRADE IN'!$F81=0,"",(VLOOKUP($C81,REV!$C:$AA,16,0)-'TRADE IN'!$F81))</f>
        <v>10499</v>
      </c>
      <c r="S81" s="46">
        <f>IF(VLOOKUP($C81,REV!$C:$AA,17,0)-'TRADE IN'!$F81=0,"",(VLOOKUP($C81,REV!$C:$AA,17,0)-'TRADE IN'!$F81))</f>
        <v>10399</v>
      </c>
      <c r="T81" s="46">
        <f>IF(VLOOKUP($C81,REV!$C:$AA,18,0)-'TRADE IN'!$F81=0,"",(VLOOKUP($C81,REV!$C:$AA,18,0)-'TRADE IN'!$F81))</f>
        <v>9699</v>
      </c>
      <c r="U81" s="46">
        <f>IF(VLOOKUP($C81,REV!$C:$AA,19,0)-'TRADE IN'!$F81=0,"",(VLOOKUP($C81,REV!$C:$AA,19,0)-'TRADE IN'!$F81))</f>
        <v>9699</v>
      </c>
      <c r="V81" s="46">
        <f>IF(VLOOKUP($C81,REV!$C:$AA,20,0)-'TRADE IN'!$F81=0,"",(VLOOKUP($C81,REV!$C:$AA,20,0)-'TRADE IN'!$F81))</f>
        <v>9699</v>
      </c>
      <c r="W81" s="46">
        <f>IF(VLOOKUP($C81,REV!$C:$AA,21,0)-'TRADE IN'!$F81=0,"",(VLOOKUP($C81,REV!$C:$AA,21,0)-'TRADE IN'!$F81))</f>
        <v>9699</v>
      </c>
      <c r="X81" s="46">
        <f>IF(VLOOKUP($C81,REV!$C:$AA,22,0)-'TRADE IN'!$F81=0,"",(VLOOKUP($C81,REV!$C:$AA,22,0)-'TRADE IN'!$F81))</f>
        <v>9499</v>
      </c>
      <c r="Y81" s="46">
        <f>IF(VLOOKUP($C81,REV!$C:$AA,23,0)-'TRADE IN'!$F81=0,"",(VLOOKUP($C81,REV!$C:$AA,23,0)-'TRADE IN'!$F81))</f>
        <v>8899</v>
      </c>
      <c r="Z81" s="46">
        <f>IF(VLOOKUP($C81,REV!$C:$AA,24,0)-'TRADE IN'!$F81=0,"",(VLOOKUP($C81,REV!$C:$AA,24,0)-'TRADE IN'!$F81))</f>
        <v>8899</v>
      </c>
      <c r="AA81" s="46">
        <f>IF(VLOOKUP($C81,REV!$C:$AA,25,0)-'TRADE IN'!$F81=0,"",(VLOOKUP($C81,REV!$C:$AA,25,0)-'TRADE IN'!$F81))</f>
        <v>8899</v>
      </c>
      <c r="AB81" s="45"/>
      <c r="AC81" s="45"/>
      <c r="AD81" s="45"/>
      <c r="AE81" s="45"/>
      <c r="AF81" s="45"/>
      <c r="AG81" s="45"/>
      <c r="AH81" s="45"/>
      <c r="AI81" s="45"/>
      <c r="AJ81" s="45"/>
      <c r="AK81" s="45"/>
      <c r="AL81" s="45"/>
      <c r="AM81" s="45"/>
      <c r="AN81" s="45"/>
      <c r="AO81" s="45"/>
      <c r="AP81" s="45"/>
      <c r="AQ81" s="45"/>
      <c r="AR81" s="45"/>
      <c r="AS81" s="45"/>
      <c r="AT81" s="45"/>
      <c r="AU81" s="45"/>
      <c r="AV81" s="47"/>
      <c r="AW81" s="48" t="str">
        <f>REV!AW81</f>
        <v>13.08.2026</v>
      </c>
      <c r="AX81" s="149" t="s">
        <v>68</v>
      </c>
    </row>
    <row r="82" spans="1:50" ht="22.5" customHeight="1">
      <c r="A82" s="41" t="s">
        <v>63</v>
      </c>
      <c r="B82" s="42" t="s">
        <v>64</v>
      </c>
      <c r="C82" s="43">
        <v>4016605</v>
      </c>
      <c r="D82" s="44" t="s">
        <v>155</v>
      </c>
      <c r="E82" s="44" t="s">
        <v>159</v>
      </c>
      <c r="F82" s="45">
        <v>100</v>
      </c>
      <c r="G82" s="45"/>
      <c r="H82" s="46"/>
      <c r="I82" s="46"/>
      <c r="J82" s="46">
        <f>IF(VLOOKUP($C82,REV!$C:$AA,8,0)-'TRADE IN'!$F82=0,"",(VLOOKUP($C82,REV!$C:$AA,8,0)-'TRADE IN'!$F82))</f>
        <v>10799</v>
      </c>
      <c r="K82" s="46">
        <f>IF(VLOOKUP($C82,REV!$C:$AA,9,0)-'TRADE IN'!$F82=0,"",(VLOOKUP($C82,REV!$C:$AA,9,0)-'TRADE IN'!$F82))</f>
        <v>10799</v>
      </c>
      <c r="L82" s="46">
        <f>IF(VLOOKUP($C82,REV!$C:$AA,10,0)-'TRADE IN'!$F82=0,"",(VLOOKUP($C82,REV!$C:$AA,10,0)-'TRADE IN'!$F82))</f>
        <v>10799</v>
      </c>
      <c r="M82" s="46">
        <f>IF(VLOOKUP($C82,REV!$C:$AA,11,0)-'TRADE IN'!$F82=0,"",(VLOOKUP($C82,REV!$C:$AA,11,0)-'TRADE IN'!$F82))</f>
        <v>10799</v>
      </c>
      <c r="N82" s="46">
        <f>IF(VLOOKUP($C82,REV!$C:$AA,12,0)-'TRADE IN'!$F82=0,"",(VLOOKUP($C82,REV!$C:$AA,12,0)-'TRADE IN'!$F82))</f>
        <v>10799</v>
      </c>
      <c r="O82" s="46">
        <f>IF(VLOOKUP($C82,REV!$C:$AA,13,0)-'TRADE IN'!$F82=0,"",(VLOOKUP($C82,REV!$C:$AA,13,0)-'TRADE IN'!$F82))</f>
        <v>10499</v>
      </c>
      <c r="P82" s="46">
        <f>IF(VLOOKUP($C82,REV!$C:$AA,14,0)-'TRADE IN'!$F82=0,"",(VLOOKUP($C82,REV!$C:$AA,14,0)-'TRADE IN'!$F82))</f>
        <v>10399</v>
      </c>
      <c r="Q82" s="46">
        <f>IF(VLOOKUP($C82,REV!$C:$AA,15,0)-'TRADE IN'!$F82=0,"",(VLOOKUP($C82,REV!$C:$AA,15,0)-'TRADE IN'!$F82))</f>
        <v>9699</v>
      </c>
      <c r="R82" s="46">
        <f>IF(VLOOKUP($C82,REV!$C:$AA,16,0)-'TRADE IN'!$F82=0,"",(VLOOKUP($C82,REV!$C:$AA,16,0)-'TRADE IN'!$F82))</f>
        <v>10499</v>
      </c>
      <c r="S82" s="46">
        <f>IF(VLOOKUP($C82,REV!$C:$AA,17,0)-'TRADE IN'!$F82=0,"",(VLOOKUP($C82,REV!$C:$AA,17,0)-'TRADE IN'!$F82))</f>
        <v>10399</v>
      </c>
      <c r="T82" s="46">
        <f>IF(VLOOKUP($C82,REV!$C:$AA,18,0)-'TRADE IN'!$F82=0,"",(VLOOKUP($C82,REV!$C:$AA,18,0)-'TRADE IN'!$F82))</f>
        <v>9699</v>
      </c>
      <c r="U82" s="46">
        <f>IF(VLOOKUP($C82,REV!$C:$AA,19,0)-'TRADE IN'!$F82=0,"",(VLOOKUP($C82,REV!$C:$AA,19,0)-'TRADE IN'!$F82))</f>
        <v>9699</v>
      </c>
      <c r="V82" s="46">
        <f>IF(VLOOKUP($C82,REV!$C:$AA,20,0)-'TRADE IN'!$F82=0,"",(VLOOKUP($C82,REV!$C:$AA,20,0)-'TRADE IN'!$F82))</f>
        <v>9699</v>
      </c>
      <c r="W82" s="46">
        <f>IF(VLOOKUP($C82,REV!$C:$AA,21,0)-'TRADE IN'!$F82=0,"",(VLOOKUP($C82,REV!$C:$AA,21,0)-'TRADE IN'!$F82))</f>
        <v>9699</v>
      </c>
      <c r="X82" s="46">
        <f>IF(VLOOKUP($C82,REV!$C:$AA,22,0)-'TRADE IN'!$F82=0,"",(VLOOKUP($C82,REV!$C:$AA,22,0)-'TRADE IN'!$F82))</f>
        <v>9499</v>
      </c>
      <c r="Y82" s="46">
        <f>IF(VLOOKUP($C82,REV!$C:$AA,23,0)-'TRADE IN'!$F82=0,"",(VLOOKUP($C82,REV!$C:$AA,23,0)-'TRADE IN'!$F82))</f>
        <v>8899</v>
      </c>
      <c r="Z82" s="46">
        <f>IF(VLOOKUP($C82,REV!$C:$AA,24,0)-'TRADE IN'!$F82=0,"",(VLOOKUP($C82,REV!$C:$AA,24,0)-'TRADE IN'!$F82))</f>
        <v>8899</v>
      </c>
      <c r="AA82" s="46">
        <f>IF(VLOOKUP($C82,REV!$C:$AA,25,0)-'TRADE IN'!$F82=0,"",(VLOOKUP($C82,REV!$C:$AA,25,0)-'TRADE IN'!$F82))</f>
        <v>8899</v>
      </c>
      <c r="AB82" s="45"/>
      <c r="AC82" s="45"/>
      <c r="AD82" s="45"/>
      <c r="AE82" s="45"/>
      <c r="AF82" s="45"/>
      <c r="AG82" s="45"/>
      <c r="AH82" s="45"/>
      <c r="AI82" s="45"/>
      <c r="AJ82" s="45"/>
      <c r="AK82" s="45"/>
      <c r="AL82" s="45"/>
      <c r="AM82" s="45"/>
      <c r="AN82" s="45"/>
      <c r="AO82" s="45"/>
      <c r="AP82" s="45"/>
      <c r="AQ82" s="45"/>
      <c r="AR82" s="45"/>
      <c r="AS82" s="45"/>
      <c r="AT82" s="45"/>
      <c r="AU82" s="45"/>
      <c r="AV82" s="47"/>
      <c r="AW82" s="48" t="str">
        <f>REV!AW82</f>
        <v>13.08.2026</v>
      </c>
      <c r="AX82" s="149" t="s">
        <v>68</v>
      </c>
    </row>
    <row r="83" spans="1:50" ht="22.5" customHeight="1">
      <c r="A83" s="41" t="s">
        <v>63</v>
      </c>
      <c r="B83" s="42" t="s">
        <v>64</v>
      </c>
      <c r="C83" s="43">
        <v>4016613</v>
      </c>
      <c r="D83" s="44" t="s">
        <v>160</v>
      </c>
      <c r="E83" s="44" t="s">
        <v>161</v>
      </c>
      <c r="F83" s="45">
        <v>100</v>
      </c>
      <c r="G83" s="45"/>
      <c r="H83" s="46"/>
      <c r="I83" s="46"/>
      <c r="J83" s="46">
        <f>IF(VLOOKUP($C83,REV!$C:$AA,8,0)-'TRADE IN'!$F83=0,"",(VLOOKUP($C83,REV!$C:$AA,8,0)-'TRADE IN'!$F83))</f>
        <v>11899</v>
      </c>
      <c r="K83" s="46">
        <f>IF(VLOOKUP($C83,REV!$C:$AA,9,0)-'TRADE IN'!$F83=0,"",(VLOOKUP($C83,REV!$C:$AA,9,0)-'TRADE IN'!$F83))</f>
        <v>11899</v>
      </c>
      <c r="L83" s="46">
        <f>IF(VLOOKUP($C83,REV!$C:$AA,10,0)-'TRADE IN'!$F83=0,"",(VLOOKUP($C83,REV!$C:$AA,10,0)-'TRADE IN'!$F83))</f>
        <v>11899</v>
      </c>
      <c r="M83" s="46">
        <f>IF(VLOOKUP($C83,REV!$C:$AA,11,0)-'TRADE IN'!$F83=0,"",(VLOOKUP($C83,REV!$C:$AA,11,0)-'TRADE IN'!$F83))</f>
        <v>11899</v>
      </c>
      <c r="N83" s="46">
        <f>IF(VLOOKUP($C83,REV!$C:$AA,12,0)-'TRADE IN'!$F83=0,"",(VLOOKUP($C83,REV!$C:$AA,12,0)-'TRADE IN'!$F83))</f>
        <v>11899</v>
      </c>
      <c r="O83" s="46">
        <f>IF(VLOOKUP($C83,REV!$C:$AA,13,0)-'TRADE IN'!$F83=0,"",(VLOOKUP($C83,REV!$C:$AA,13,0)-'TRADE IN'!$F83))</f>
        <v>11599</v>
      </c>
      <c r="P83" s="46">
        <f>IF(VLOOKUP($C83,REV!$C:$AA,14,0)-'TRADE IN'!$F83=0,"",(VLOOKUP($C83,REV!$C:$AA,14,0)-'TRADE IN'!$F83))</f>
        <v>11499</v>
      </c>
      <c r="Q83" s="46">
        <f>IF(VLOOKUP($C83,REV!$C:$AA,15,0)-'TRADE IN'!$F83=0,"",(VLOOKUP($C83,REV!$C:$AA,15,0)-'TRADE IN'!$F83))</f>
        <v>10899</v>
      </c>
      <c r="R83" s="46">
        <f>IF(VLOOKUP($C83,REV!$C:$AA,16,0)-'TRADE IN'!$F83=0,"",(VLOOKUP($C83,REV!$C:$AA,16,0)-'TRADE IN'!$F83))</f>
        <v>11599</v>
      </c>
      <c r="S83" s="46">
        <f>IF(VLOOKUP($C83,REV!$C:$AA,17,0)-'TRADE IN'!$F83=0,"",(VLOOKUP($C83,REV!$C:$AA,17,0)-'TRADE IN'!$F83))</f>
        <v>11499</v>
      </c>
      <c r="T83" s="46">
        <f>IF(VLOOKUP($C83,REV!$C:$AA,18,0)-'TRADE IN'!$F83=0,"",(VLOOKUP($C83,REV!$C:$AA,18,0)-'TRADE IN'!$F83))</f>
        <v>10899</v>
      </c>
      <c r="U83" s="46">
        <f>IF(VLOOKUP($C83,REV!$C:$AA,19,0)-'TRADE IN'!$F83=0,"",(VLOOKUP($C83,REV!$C:$AA,19,0)-'TRADE IN'!$F83))</f>
        <v>10899</v>
      </c>
      <c r="V83" s="46">
        <f>IF(VLOOKUP($C83,REV!$C:$AA,20,0)-'TRADE IN'!$F83=0,"",(VLOOKUP($C83,REV!$C:$AA,20,0)-'TRADE IN'!$F83))</f>
        <v>10899</v>
      </c>
      <c r="W83" s="46">
        <f>IF(VLOOKUP($C83,REV!$C:$AA,21,0)-'TRADE IN'!$F83=0,"",(VLOOKUP($C83,REV!$C:$AA,21,0)-'TRADE IN'!$F83))</f>
        <v>10899</v>
      </c>
      <c r="X83" s="46">
        <f>IF(VLOOKUP($C83,REV!$C:$AA,22,0)-'TRADE IN'!$F83=0,"",(VLOOKUP($C83,REV!$C:$AA,22,0)-'TRADE IN'!$F83))</f>
        <v>10699</v>
      </c>
      <c r="Y83" s="46">
        <f>IF(VLOOKUP($C83,REV!$C:$AA,23,0)-'TRADE IN'!$F83=0,"",(VLOOKUP($C83,REV!$C:$AA,23,0)-'TRADE IN'!$F83))</f>
        <v>10199</v>
      </c>
      <c r="Z83" s="46">
        <f>IF(VLOOKUP($C83,REV!$C:$AA,24,0)-'TRADE IN'!$F83=0,"",(VLOOKUP($C83,REV!$C:$AA,24,0)-'TRADE IN'!$F83))</f>
        <v>10199</v>
      </c>
      <c r="AA83" s="46">
        <f>IF(VLOOKUP($C83,REV!$C:$AA,25,0)-'TRADE IN'!$F83=0,"",(VLOOKUP($C83,REV!$C:$AA,25,0)-'TRADE IN'!$F83))</f>
        <v>10199</v>
      </c>
      <c r="AB83" s="45"/>
      <c r="AC83" s="45"/>
      <c r="AD83" s="45"/>
      <c r="AE83" s="45"/>
      <c r="AF83" s="45"/>
      <c r="AG83" s="45"/>
      <c r="AH83" s="45"/>
      <c r="AI83" s="45"/>
      <c r="AJ83" s="45"/>
      <c r="AK83" s="45"/>
      <c r="AL83" s="45"/>
      <c r="AM83" s="45"/>
      <c r="AN83" s="45"/>
      <c r="AO83" s="45"/>
      <c r="AP83" s="45"/>
      <c r="AQ83" s="45"/>
      <c r="AR83" s="45"/>
      <c r="AS83" s="45"/>
      <c r="AT83" s="45"/>
      <c r="AU83" s="45"/>
      <c r="AV83" s="47"/>
      <c r="AW83" s="48" t="str">
        <f>REV!AW83</f>
        <v>13.08.2026</v>
      </c>
      <c r="AX83" s="149" t="s">
        <v>68</v>
      </c>
    </row>
    <row r="84" spans="1:50" ht="22.5" customHeight="1">
      <c r="A84" s="41" t="s">
        <v>63</v>
      </c>
      <c r="B84" s="42" t="s">
        <v>64</v>
      </c>
      <c r="C84" s="43">
        <v>4016619</v>
      </c>
      <c r="D84" s="44" t="s">
        <v>160</v>
      </c>
      <c r="E84" s="44" t="s">
        <v>162</v>
      </c>
      <c r="F84" s="45">
        <v>100</v>
      </c>
      <c r="G84" s="45"/>
      <c r="H84" s="46"/>
      <c r="I84" s="46"/>
      <c r="J84" s="46">
        <f>IF(VLOOKUP($C84,REV!$C:$AA,8,0)-'TRADE IN'!$F84=0,"",(VLOOKUP($C84,REV!$C:$AA,8,0)-'TRADE IN'!$F84))</f>
        <v>11899</v>
      </c>
      <c r="K84" s="46">
        <f>IF(VLOOKUP($C84,REV!$C:$AA,9,0)-'TRADE IN'!$F84=0,"",(VLOOKUP($C84,REV!$C:$AA,9,0)-'TRADE IN'!$F84))</f>
        <v>11899</v>
      </c>
      <c r="L84" s="46">
        <f>IF(VLOOKUP($C84,REV!$C:$AA,10,0)-'TRADE IN'!$F84=0,"",(VLOOKUP($C84,REV!$C:$AA,10,0)-'TRADE IN'!$F84))</f>
        <v>11899</v>
      </c>
      <c r="M84" s="46">
        <f>IF(VLOOKUP($C84,REV!$C:$AA,11,0)-'TRADE IN'!$F84=0,"",(VLOOKUP($C84,REV!$C:$AA,11,0)-'TRADE IN'!$F84))</f>
        <v>11899</v>
      </c>
      <c r="N84" s="46">
        <f>IF(VLOOKUP($C84,REV!$C:$AA,12,0)-'TRADE IN'!$F84=0,"",(VLOOKUP($C84,REV!$C:$AA,12,0)-'TRADE IN'!$F84))</f>
        <v>11899</v>
      </c>
      <c r="O84" s="46">
        <f>IF(VLOOKUP($C84,REV!$C:$AA,13,0)-'TRADE IN'!$F84=0,"",(VLOOKUP($C84,REV!$C:$AA,13,0)-'TRADE IN'!$F84))</f>
        <v>11599</v>
      </c>
      <c r="P84" s="46">
        <f>IF(VLOOKUP($C84,REV!$C:$AA,14,0)-'TRADE IN'!$F84=0,"",(VLOOKUP($C84,REV!$C:$AA,14,0)-'TRADE IN'!$F84))</f>
        <v>11499</v>
      </c>
      <c r="Q84" s="46">
        <f>IF(VLOOKUP($C84,REV!$C:$AA,15,0)-'TRADE IN'!$F84=0,"",(VLOOKUP($C84,REV!$C:$AA,15,0)-'TRADE IN'!$F84))</f>
        <v>10899</v>
      </c>
      <c r="R84" s="46">
        <f>IF(VLOOKUP($C84,REV!$C:$AA,16,0)-'TRADE IN'!$F84=0,"",(VLOOKUP($C84,REV!$C:$AA,16,0)-'TRADE IN'!$F84))</f>
        <v>11599</v>
      </c>
      <c r="S84" s="46">
        <f>IF(VLOOKUP($C84,REV!$C:$AA,17,0)-'TRADE IN'!$F84=0,"",(VLOOKUP($C84,REV!$C:$AA,17,0)-'TRADE IN'!$F84))</f>
        <v>11499</v>
      </c>
      <c r="T84" s="46">
        <f>IF(VLOOKUP($C84,REV!$C:$AA,18,0)-'TRADE IN'!$F84=0,"",(VLOOKUP($C84,REV!$C:$AA,18,0)-'TRADE IN'!$F84))</f>
        <v>10899</v>
      </c>
      <c r="U84" s="46">
        <f>IF(VLOOKUP($C84,REV!$C:$AA,19,0)-'TRADE IN'!$F84=0,"",(VLOOKUP($C84,REV!$C:$AA,19,0)-'TRADE IN'!$F84))</f>
        <v>10899</v>
      </c>
      <c r="V84" s="46">
        <f>IF(VLOOKUP($C84,REV!$C:$AA,20,0)-'TRADE IN'!$F84=0,"",(VLOOKUP($C84,REV!$C:$AA,20,0)-'TRADE IN'!$F84))</f>
        <v>10899</v>
      </c>
      <c r="W84" s="46">
        <f>IF(VLOOKUP($C84,REV!$C:$AA,21,0)-'TRADE IN'!$F84=0,"",(VLOOKUP($C84,REV!$C:$AA,21,0)-'TRADE IN'!$F84))</f>
        <v>10899</v>
      </c>
      <c r="X84" s="46">
        <f>IF(VLOOKUP($C84,REV!$C:$AA,22,0)-'TRADE IN'!$F84=0,"",(VLOOKUP($C84,REV!$C:$AA,22,0)-'TRADE IN'!$F84))</f>
        <v>10699</v>
      </c>
      <c r="Y84" s="46">
        <f>IF(VLOOKUP($C84,REV!$C:$AA,23,0)-'TRADE IN'!$F84=0,"",(VLOOKUP($C84,REV!$C:$AA,23,0)-'TRADE IN'!$F84))</f>
        <v>10199</v>
      </c>
      <c r="Z84" s="46">
        <f>IF(VLOOKUP($C84,REV!$C:$AA,24,0)-'TRADE IN'!$F84=0,"",(VLOOKUP($C84,REV!$C:$AA,24,0)-'TRADE IN'!$F84))</f>
        <v>10199</v>
      </c>
      <c r="AA84" s="46">
        <f>IF(VLOOKUP($C84,REV!$C:$AA,25,0)-'TRADE IN'!$F84=0,"",(VLOOKUP($C84,REV!$C:$AA,25,0)-'TRADE IN'!$F84))</f>
        <v>10199</v>
      </c>
      <c r="AB84" s="45"/>
      <c r="AC84" s="45"/>
      <c r="AD84" s="45"/>
      <c r="AE84" s="45"/>
      <c r="AF84" s="45"/>
      <c r="AG84" s="45"/>
      <c r="AH84" s="45"/>
      <c r="AI84" s="45"/>
      <c r="AJ84" s="45"/>
      <c r="AK84" s="45"/>
      <c r="AL84" s="45"/>
      <c r="AM84" s="45"/>
      <c r="AN84" s="45"/>
      <c r="AO84" s="45"/>
      <c r="AP84" s="45"/>
      <c r="AQ84" s="45"/>
      <c r="AR84" s="45"/>
      <c r="AS84" s="45"/>
      <c r="AT84" s="45"/>
      <c r="AU84" s="45"/>
      <c r="AV84" s="47"/>
      <c r="AW84" s="48" t="str">
        <f>REV!AW84</f>
        <v>13.08.2026</v>
      </c>
      <c r="AX84" s="149" t="s">
        <v>68</v>
      </c>
    </row>
    <row r="85" spans="1:50" ht="22.5" customHeight="1">
      <c r="A85" s="41" t="s">
        <v>63</v>
      </c>
      <c r="B85" s="42" t="s">
        <v>64</v>
      </c>
      <c r="C85" s="43">
        <v>4016609</v>
      </c>
      <c r="D85" s="44" t="s">
        <v>160</v>
      </c>
      <c r="E85" s="44" t="s">
        <v>163</v>
      </c>
      <c r="F85" s="45">
        <v>100</v>
      </c>
      <c r="G85" s="45"/>
      <c r="H85" s="46"/>
      <c r="I85" s="46"/>
      <c r="J85" s="46">
        <f>IF(VLOOKUP($C85,REV!$C:$AA,8,0)-'TRADE IN'!$F85=0,"",(VLOOKUP($C85,REV!$C:$AA,8,0)-'TRADE IN'!$F85))</f>
        <v>11899</v>
      </c>
      <c r="K85" s="46">
        <f>IF(VLOOKUP($C85,REV!$C:$AA,9,0)-'TRADE IN'!$F85=0,"",(VLOOKUP($C85,REV!$C:$AA,9,0)-'TRADE IN'!$F85))</f>
        <v>11899</v>
      </c>
      <c r="L85" s="46">
        <f>IF(VLOOKUP($C85,REV!$C:$AA,10,0)-'TRADE IN'!$F85=0,"",(VLOOKUP($C85,REV!$C:$AA,10,0)-'TRADE IN'!$F85))</f>
        <v>11899</v>
      </c>
      <c r="M85" s="46">
        <f>IF(VLOOKUP($C85,REV!$C:$AA,11,0)-'TRADE IN'!$F85=0,"",(VLOOKUP($C85,REV!$C:$AA,11,0)-'TRADE IN'!$F85))</f>
        <v>11899</v>
      </c>
      <c r="N85" s="46">
        <f>IF(VLOOKUP($C85,REV!$C:$AA,12,0)-'TRADE IN'!$F85=0,"",(VLOOKUP($C85,REV!$C:$AA,12,0)-'TRADE IN'!$F85))</f>
        <v>11899</v>
      </c>
      <c r="O85" s="46">
        <f>IF(VLOOKUP($C85,REV!$C:$AA,13,0)-'TRADE IN'!$F85=0,"",(VLOOKUP($C85,REV!$C:$AA,13,0)-'TRADE IN'!$F85))</f>
        <v>11599</v>
      </c>
      <c r="P85" s="46">
        <f>IF(VLOOKUP($C85,REV!$C:$AA,14,0)-'TRADE IN'!$F85=0,"",(VLOOKUP($C85,REV!$C:$AA,14,0)-'TRADE IN'!$F85))</f>
        <v>11499</v>
      </c>
      <c r="Q85" s="46">
        <f>IF(VLOOKUP($C85,REV!$C:$AA,15,0)-'TRADE IN'!$F85=0,"",(VLOOKUP($C85,REV!$C:$AA,15,0)-'TRADE IN'!$F85))</f>
        <v>10899</v>
      </c>
      <c r="R85" s="46">
        <f>IF(VLOOKUP($C85,REV!$C:$AA,16,0)-'TRADE IN'!$F85=0,"",(VLOOKUP($C85,REV!$C:$AA,16,0)-'TRADE IN'!$F85))</f>
        <v>11599</v>
      </c>
      <c r="S85" s="46">
        <f>IF(VLOOKUP($C85,REV!$C:$AA,17,0)-'TRADE IN'!$F85=0,"",(VLOOKUP($C85,REV!$C:$AA,17,0)-'TRADE IN'!$F85))</f>
        <v>11499</v>
      </c>
      <c r="T85" s="46">
        <f>IF(VLOOKUP($C85,REV!$C:$AA,18,0)-'TRADE IN'!$F85=0,"",(VLOOKUP($C85,REV!$C:$AA,18,0)-'TRADE IN'!$F85))</f>
        <v>10899</v>
      </c>
      <c r="U85" s="46">
        <f>IF(VLOOKUP($C85,REV!$C:$AA,19,0)-'TRADE IN'!$F85=0,"",(VLOOKUP($C85,REV!$C:$AA,19,0)-'TRADE IN'!$F85))</f>
        <v>10899</v>
      </c>
      <c r="V85" s="46">
        <f>IF(VLOOKUP($C85,REV!$C:$AA,20,0)-'TRADE IN'!$F85=0,"",(VLOOKUP($C85,REV!$C:$AA,20,0)-'TRADE IN'!$F85))</f>
        <v>10899</v>
      </c>
      <c r="W85" s="46">
        <f>IF(VLOOKUP($C85,REV!$C:$AA,21,0)-'TRADE IN'!$F85=0,"",(VLOOKUP($C85,REV!$C:$AA,21,0)-'TRADE IN'!$F85))</f>
        <v>10899</v>
      </c>
      <c r="X85" s="46">
        <f>IF(VLOOKUP($C85,REV!$C:$AA,22,0)-'TRADE IN'!$F85=0,"",(VLOOKUP($C85,REV!$C:$AA,22,0)-'TRADE IN'!$F85))</f>
        <v>10699</v>
      </c>
      <c r="Y85" s="46">
        <f>IF(VLOOKUP($C85,REV!$C:$AA,23,0)-'TRADE IN'!$F85=0,"",(VLOOKUP($C85,REV!$C:$AA,23,0)-'TRADE IN'!$F85))</f>
        <v>10199</v>
      </c>
      <c r="Z85" s="46">
        <f>IF(VLOOKUP($C85,REV!$C:$AA,24,0)-'TRADE IN'!$F85=0,"",(VLOOKUP($C85,REV!$C:$AA,24,0)-'TRADE IN'!$F85))</f>
        <v>10199</v>
      </c>
      <c r="AA85" s="46">
        <f>IF(VLOOKUP($C85,REV!$C:$AA,25,0)-'TRADE IN'!$F85=0,"",(VLOOKUP($C85,REV!$C:$AA,25,0)-'TRADE IN'!$F85))</f>
        <v>10199</v>
      </c>
      <c r="AB85" s="45"/>
      <c r="AC85" s="45"/>
      <c r="AD85" s="45"/>
      <c r="AE85" s="45"/>
      <c r="AF85" s="45"/>
      <c r="AG85" s="45"/>
      <c r="AH85" s="45"/>
      <c r="AI85" s="45"/>
      <c r="AJ85" s="45"/>
      <c r="AK85" s="45"/>
      <c r="AL85" s="45"/>
      <c r="AM85" s="45"/>
      <c r="AN85" s="45"/>
      <c r="AO85" s="45"/>
      <c r="AP85" s="45"/>
      <c r="AQ85" s="45"/>
      <c r="AR85" s="45"/>
      <c r="AS85" s="45"/>
      <c r="AT85" s="45"/>
      <c r="AU85" s="45"/>
      <c r="AV85" s="47"/>
      <c r="AW85" s="48" t="str">
        <f>REV!AW85</f>
        <v>13.08.2026</v>
      </c>
      <c r="AX85" s="149" t="s">
        <v>68</v>
      </c>
    </row>
    <row r="86" spans="1:50" ht="22.5" customHeight="1">
      <c r="A86" s="41" t="s">
        <v>63</v>
      </c>
      <c r="B86" s="42" t="s">
        <v>64</v>
      </c>
      <c r="C86" s="43">
        <v>4016916</v>
      </c>
      <c r="D86" s="44" t="s">
        <v>164</v>
      </c>
      <c r="E86" s="44" t="s">
        <v>165</v>
      </c>
      <c r="F86" s="45">
        <v>100</v>
      </c>
      <c r="G86" s="45"/>
      <c r="H86" s="46"/>
      <c r="I86" s="46"/>
      <c r="J86" s="46">
        <f>IF(VLOOKUP($C86,REV!$C:$AA,8,0)-'TRADE IN'!$F86=0,"",(VLOOKUP($C86,REV!$C:$AA,8,0)-'TRADE IN'!$F86))</f>
        <v>4699</v>
      </c>
      <c r="K86" s="46">
        <f>IF(VLOOKUP($C86,REV!$C:$AA,9,0)-'TRADE IN'!$F86=0,"",(VLOOKUP($C86,REV!$C:$AA,9,0)-'TRADE IN'!$F86))</f>
        <v>4699</v>
      </c>
      <c r="L86" s="46">
        <f>IF(VLOOKUP($C86,REV!$C:$AA,10,0)-'TRADE IN'!$F86=0,"",(VLOOKUP($C86,REV!$C:$AA,10,0)-'TRADE IN'!$F86))</f>
        <v>4699</v>
      </c>
      <c r="M86" s="46">
        <f>IF(VLOOKUP($C86,REV!$C:$AA,11,0)-'TRADE IN'!$F86=0,"",(VLOOKUP($C86,REV!$C:$AA,11,0)-'TRADE IN'!$F86))</f>
        <v>4699</v>
      </c>
      <c r="N86" s="46">
        <f>IF(VLOOKUP($C86,REV!$C:$AA,12,0)-'TRADE IN'!$F86=0,"",(VLOOKUP($C86,REV!$C:$AA,12,0)-'TRADE IN'!$F86))</f>
        <v>4699</v>
      </c>
      <c r="O86" s="46">
        <f>IF(VLOOKUP($C86,REV!$C:$AA,13,0)-'TRADE IN'!$F86=0,"",(VLOOKUP($C86,REV!$C:$AA,13,0)-'TRADE IN'!$F86))</f>
        <v>4599</v>
      </c>
      <c r="P86" s="46">
        <f>IF(VLOOKUP($C86,REV!$C:$AA,14,0)-'TRADE IN'!$F86=0,"",(VLOOKUP($C86,REV!$C:$AA,14,0)-'TRADE IN'!$F86))</f>
        <v>4499</v>
      </c>
      <c r="Q86" s="46">
        <f>IF(VLOOKUP($C86,REV!$C:$AA,15,0)-'TRADE IN'!$F86=0,"",(VLOOKUP($C86,REV!$C:$AA,15,0)-'TRADE IN'!$F86))</f>
        <v>3499</v>
      </c>
      <c r="R86" s="46">
        <f>IF(VLOOKUP($C86,REV!$C:$AA,16,0)-'TRADE IN'!$F86=0,"",(VLOOKUP($C86,REV!$C:$AA,16,0)-'TRADE IN'!$F86))</f>
        <v>4599</v>
      </c>
      <c r="S86" s="46">
        <f>IF(VLOOKUP($C86,REV!$C:$AA,17,0)-'TRADE IN'!$F86=0,"",(VLOOKUP($C86,REV!$C:$AA,17,0)-'TRADE IN'!$F86))</f>
        <v>4499</v>
      </c>
      <c r="T86" s="46">
        <f>IF(VLOOKUP($C86,REV!$C:$AA,18,0)-'TRADE IN'!$F86=0,"",(VLOOKUP($C86,REV!$C:$AA,18,0)-'TRADE IN'!$F86))</f>
        <v>3499</v>
      </c>
      <c r="U86" s="46">
        <f>IF(VLOOKUP($C86,REV!$C:$AA,19,0)-'TRADE IN'!$F86=0,"",(VLOOKUP($C86,REV!$C:$AA,19,0)-'TRADE IN'!$F86))</f>
        <v>3499</v>
      </c>
      <c r="V86" s="46">
        <f>IF(VLOOKUP($C86,REV!$C:$AA,20,0)-'TRADE IN'!$F86=0,"",(VLOOKUP($C86,REV!$C:$AA,20,0)-'TRADE IN'!$F86))</f>
        <v>3499</v>
      </c>
      <c r="W86" s="46">
        <f>IF(VLOOKUP($C86,REV!$C:$AA,21,0)-'TRADE IN'!$F86=0,"",(VLOOKUP($C86,REV!$C:$AA,21,0)-'TRADE IN'!$F86))</f>
        <v>3499</v>
      </c>
      <c r="X86" s="46">
        <f>IF(VLOOKUP($C86,REV!$C:$AA,22,0)-'TRADE IN'!$F86=0,"",(VLOOKUP($C86,REV!$C:$AA,22,0)-'TRADE IN'!$F86))</f>
        <v>3399</v>
      </c>
      <c r="Y86" s="46">
        <f>IF(VLOOKUP($C86,REV!$C:$AA,23,0)-'TRADE IN'!$F86=0,"",(VLOOKUP($C86,REV!$C:$AA,23,0)-'TRADE IN'!$F86))</f>
        <v>2699</v>
      </c>
      <c r="Z86" s="46">
        <f>IF(VLOOKUP($C86,REV!$C:$AA,24,0)-'TRADE IN'!$F86=0,"",(VLOOKUP($C86,REV!$C:$AA,24,0)-'TRADE IN'!$F86))</f>
        <v>2699</v>
      </c>
      <c r="AA86" s="46">
        <f>IF(VLOOKUP($C86,REV!$C:$AA,25,0)-'TRADE IN'!$F86=0,"",(VLOOKUP($C86,REV!$C:$AA,25,0)-'TRADE IN'!$F86))</f>
        <v>2649</v>
      </c>
      <c r="AB86" s="45">
        <f>IF(VLOOKUP($C86,REV!$C:$AL,27,0)-'TRADE IN'!$F86=0,"",(VLOOKUP($C86,REV!$C:$AL,27,0)-'TRADE IN'!$F86))</f>
        <v>4699</v>
      </c>
      <c r="AC86" s="45">
        <f>IF(VLOOKUP($C86,REV!$C:$AL,28,0)-'TRADE IN'!$F86=0,"",(VLOOKUP($C86,REV!$C:$AL,28,0)-'TRADE IN'!$F86))</f>
        <v>4699</v>
      </c>
      <c r="AD86" s="45">
        <f>IF(VLOOKUP($C86,REV!$C:$AL,29,0)-'TRADE IN'!$F86=0,"",(VLOOKUP($C86,REV!$C:$AL,29,0)-'TRADE IN'!$F86))</f>
        <v>4599</v>
      </c>
      <c r="AE86" s="45">
        <f>IF(VLOOKUP($C86,REV!$C:$AL,30,0)-'TRADE IN'!$F86=0,"",(VLOOKUP($C86,REV!$C:$AL,30,0)-'TRADE IN'!$F86))</f>
        <v>4499</v>
      </c>
      <c r="AF86" s="45">
        <f>IF(VLOOKUP($C86,REV!$C:$AL,31,0)-'TRADE IN'!$F86=0,"",(VLOOKUP($C86,REV!$C:$AL,31,0)-'TRADE IN'!$F86))</f>
        <v>4499</v>
      </c>
      <c r="AG86" s="45">
        <f>IF(VLOOKUP($C86,REV!$C:$AL,31,0)-'TRADE IN'!$F86=0,"",(VLOOKUP($C86,REV!$C:$AL,31,0)-'TRADE IN'!$F86))</f>
        <v>4499</v>
      </c>
      <c r="AH86" s="45">
        <f>IF(VLOOKUP($C86,REV!$C:$AL,32,0)-'TRADE IN'!$F86=0,"",(VLOOKUP($C86,REV!$C:$AL,32,0)-'TRADE IN'!$F86))</f>
        <v>3499</v>
      </c>
      <c r="AI86" s="45">
        <f>IF(VLOOKUP($C86,REV!$C:$AL,33,0)-'TRADE IN'!$F86=0,"",(VLOOKUP($C86,REV!$C:$AL,33,0)-'TRADE IN'!$F86))</f>
        <v>3499</v>
      </c>
      <c r="AJ86" s="45">
        <f>IF(VLOOKUP($C86,REV!$C:$AL,34,0)-'TRADE IN'!$F86=0,"",(VLOOKUP($C86,REV!$C:$AL,34,0)-'TRADE IN'!$F86))</f>
        <v>3499</v>
      </c>
      <c r="AK86" s="45">
        <f>IF(VLOOKUP($C86,REV!$C:$AL,35,0)-'TRADE IN'!$F86=0,"",(VLOOKUP($C86,REV!$C:$AL,35,0)-'TRADE IN'!$F86))</f>
        <v>3499</v>
      </c>
      <c r="AL86" s="45">
        <f>IF(VLOOKUP($C86,REV!$C:$AL,36,0)-'TRADE IN'!$F86=0,"",(VLOOKUP($C86,REV!$C:$AL,36,0)-'TRADE IN'!$F86))</f>
        <v>2699</v>
      </c>
      <c r="AM86" s="45"/>
      <c r="AN86" s="45"/>
      <c r="AO86" s="45"/>
      <c r="AP86" s="45"/>
      <c r="AQ86" s="45"/>
      <c r="AR86" s="45"/>
      <c r="AS86" s="45"/>
      <c r="AT86" s="45"/>
      <c r="AU86" s="45"/>
      <c r="AV86" s="47"/>
      <c r="AW86" s="48" t="str">
        <f>REV!AW86</f>
        <v>13.08.2026</v>
      </c>
      <c r="AX86" s="149" t="s">
        <v>68</v>
      </c>
    </row>
    <row r="87" spans="1:50" ht="22.5" customHeight="1">
      <c r="A87" s="41" t="s">
        <v>63</v>
      </c>
      <c r="B87" s="42" t="s">
        <v>64</v>
      </c>
      <c r="C87" s="43">
        <v>4016917</v>
      </c>
      <c r="D87" s="44" t="s">
        <v>164</v>
      </c>
      <c r="E87" s="44" t="s">
        <v>166</v>
      </c>
      <c r="F87" s="45">
        <v>100</v>
      </c>
      <c r="G87" s="45"/>
      <c r="H87" s="46"/>
      <c r="I87" s="46"/>
      <c r="J87" s="46">
        <f>IF(VLOOKUP($C87,REV!$C:$AA,8,0)-'TRADE IN'!$F87=0,"",(VLOOKUP($C87,REV!$C:$AA,8,0)-'TRADE IN'!$F87))</f>
        <v>4699</v>
      </c>
      <c r="K87" s="46">
        <f>IF(VLOOKUP($C87,REV!$C:$AA,9,0)-'TRADE IN'!$F87=0,"",(VLOOKUP($C87,REV!$C:$AA,9,0)-'TRADE IN'!$F87))</f>
        <v>4699</v>
      </c>
      <c r="L87" s="46">
        <f>IF(VLOOKUP($C87,REV!$C:$AA,10,0)-'TRADE IN'!$F87=0,"",(VLOOKUP($C87,REV!$C:$AA,10,0)-'TRADE IN'!$F87))</f>
        <v>4699</v>
      </c>
      <c r="M87" s="46">
        <f>IF(VLOOKUP($C87,REV!$C:$AA,11,0)-'TRADE IN'!$F87=0,"",(VLOOKUP($C87,REV!$C:$AA,11,0)-'TRADE IN'!$F87))</f>
        <v>4699</v>
      </c>
      <c r="N87" s="46">
        <f>IF(VLOOKUP($C87,REV!$C:$AA,12,0)-'TRADE IN'!$F87=0,"",(VLOOKUP($C87,REV!$C:$AA,12,0)-'TRADE IN'!$F87))</f>
        <v>4699</v>
      </c>
      <c r="O87" s="46">
        <f>IF(VLOOKUP($C87,REV!$C:$AA,13,0)-'TRADE IN'!$F87=0,"",(VLOOKUP($C87,REV!$C:$AA,13,0)-'TRADE IN'!$F87))</f>
        <v>4599</v>
      </c>
      <c r="P87" s="46">
        <f>IF(VLOOKUP($C87,REV!$C:$AA,14,0)-'TRADE IN'!$F87=0,"",(VLOOKUP($C87,REV!$C:$AA,14,0)-'TRADE IN'!$F87))</f>
        <v>4499</v>
      </c>
      <c r="Q87" s="46">
        <f>IF(VLOOKUP($C87,REV!$C:$AA,15,0)-'TRADE IN'!$F87=0,"",(VLOOKUP($C87,REV!$C:$AA,15,0)-'TRADE IN'!$F87))</f>
        <v>3499</v>
      </c>
      <c r="R87" s="46">
        <f>IF(VLOOKUP($C87,REV!$C:$AA,16,0)-'TRADE IN'!$F87=0,"",(VLOOKUP($C87,REV!$C:$AA,16,0)-'TRADE IN'!$F87))</f>
        <v>4599</v>
      </c>
      <c r="S87" s="46">
        <f>IF(VLOOKUP($C87,REV!$C:$AA,17,0)-'TRADE IN'!$F87=0,"",(VLOOKUP($C87,REV!$C:$AA,17,0)-'TRADE IN'!$F87))</f>
        <v>4499</v>
      </c>
      <c r="T87" s="46">
        <f>IF(VLOOKUP($C87,REV!$C:$AA,18,0)-'TRADE IN'!$F87=0,"",(VLOOKUP($C87,REV!$C:$AA,18,0)-'TRADE IN'!$F87))</f>
        <v>3499</v>
      </c>
      <c r="U87" s="46">
        <f>IF(VLOOKUP($C87,REV!$C:$AA,19,0)-'TRADE IN'!$F87=0,"",(VLOOKUP($C87,REV!$C:$AA,19,0)-'TRADE IN'!$F87))</f>
        <v>3499</v>
      </c>
      <c r="V87" s="46">
        <f>IF(VLOOKUP($C87,REV!$C:$AA,20,0)-'TRADE IN'!$F87=0,"",(VLOOKUP($C87,REV!$C:$AA,20,0)-'TRADE IN'!$F87))</f>
        <v>3499</v>
      </c>
      <c r="W87" s="46">
        <f>IF(VLOOKUP($C87,REV!$C:$AA,21,0)-'TRADE IN'!$F87=0,"",(VLOOKUP($C87,REV!$C:$AA,21,0)-'TRADE IN'!$F87))</f>
        <v>3499</v>
      </c>
      <c r="X87" s="46">
        <f>IF(VLOOKUP($C87,REV!$C:$AA,22,0)-'TRADE IN'!$F87=0,"",(VLOOKUP($C87,REV!$C:$AA,22,0)-'TRADE IN'!$F87))</f>
        <v>3399</v>
      </c>
      <c r="Y87" s="46">
        <f>IF(VLOOKUP($C87,REV!$C:$AA,23,0)-'TRADE IN'!$F87=0,"",(VLOOKUP($C87,REV!$C:$AA,23,0)-'TRADE IN'!$F87))</f>
        <v>2699</v>
      </c>
      <c r="Z87" s="46">
        <f>IF(VLOOKUP($C87,REV!$C:$AA,24,0)-'TRADE IN'!$F87=0,"",(VLOOKUP($C87,REV!$C:$AA,24,0)-'TRADE IN'!$F87))</f>
        <v>2699</v>
      </c>
      <c r="AA87" s="46">
        <f>IF(VLOOKUP($C87,REV!$C:$AA,25,0)-'TRADE IN'!$F87=0,"",(VLOOKUP($C87,REV!$C:$AA,25,0)-'TRADE IN'!$F87))</f>
        <v>2649</v>
      </c>
      <c r="AB87" s="45">
        <f>IF(VLOOKUP($C87,REV!$C:$AL,27,0)-'TRADE IN'!$F87=0,"",(VLOOKUP($C87,REV!$C:$AL,27,0)-'TRADE IN'!$F87))</f>
        <v>4699</v>
      </c>
      <c r="AC87" s="45">
        <f>IF(VLOOKUP($C87,REV!$C:$AL,28,0)-'TRADE IN'!$F87=0,"",(VLOOKUP($C87,REV!$C:$AL,28,0)-'TRADE IN'!$F87))</f>
        <v>4699</v>
      </c>
      <c r="AD87" s="45">
        <f>IF(VLOOKUP($C87,REV!$C:$AL,29,0)-'TRADE IN'!$F87=0,"",(VLOOKUP($C87,REV!$C:$AL,29,0)-'TRADE IN'!$F87))</f>
        <v>4599</v>
      </c>
      <c r="AE87" s="45">
        <f>IF(VLOOKUP($C87,REV!$C:$AL,30,0)-'TRADE IN'!$F87=0,"",(VLOOKUP($C87,REV!$C:$AL,30,0)-'TRADE IN'!$F87))</f>
        <v>4499</v>
      </c>
      <c r="AF87" s="45">
        <f>IF(VLOOKUP($C87,REV!$C:$AL,31,0)-'TRADE IN'!$F87=0,"",(VLOOKUP($C87,REV!$C:$AL,31,0)-'TRADE IN'!$F87))</f>
        <v>4499</v>
      </c>
      <c r="AG87" s="45">
        <f>IF(VLOOKUP($C87,REV!$C:$AL,31,0)-'TRADE IN'!$F87=0,"",(VLOOKUP($C87,REV!$C:$AL,31,0)-'TRADE IN'!$F87))</f>
        <v>4499</v>
      </c>
      <c r="AH87" s="45">
        <f>IF(VLOOKUP($C87,REV!$C:$AL,32,0)-'TRADE IN'!$F87=0,"",(VLOOKUP($C87,REV!$C:$AL,32,0)-'TRADE IN'!$F87))</f>
        <v>3499</v>
      </c>
      <c r="AI87" s="45">
        <f>IF(VLOOKUP($C87,REV!$C:$AL,33,0)-'TRADE IN'!$F87=0,"",(VLOOKUP($C87,REV!$C:$AL,33,0)-'TRADE IN'!$F87))</f>
        <v>3499</v>
      </c>
      <c r="AJ87" s="45">
        <f>IF(VLOOKUP($C87,REV!$C:$AL,34,0)-'TRADE IN'!$F87=0,"",(VLOOKUP($C87,REV!$C:$AL,34,0)-'TRADE IN'!$F87))</f>
        <v>3499</v>
      </c>
      <c r="AK87" s="45">
        <f>IF(VLOOKUP($C87,REV!$C:$AL,35,0)-'TRADE IN'!$F87=0,"",(VLOOKUP($C87,REV!$C:$AL,35,0)-'TRADE IN'!$F87))</f>
        <v>3499</v>
      </c>
      <c r="AL87" s="45">
        <f>IF(VLOOKUP($C87,REV!$C:$AL,36,0)-'TRADE IN'!$F87=0,"",(VLOOKUP($C87,REV!$C:$AL,36,0)-'TRADE IN'!$F87))</f>
        <v>2699</v>
      </c>
      <c r="AM87" s="45"/>
      <c r="AN87" s="45"/>
      <c r="AO87" s="45"/>
      <c r="AP87" s="45"/>
      <c r="AQ87" s="45"/>
      <c r="AR87" s="45"/>
      <c r="AS87" s="45"/>
      <c r="AT87" s="45"/>
      <c r="AU87" s="45"/>
      <c r="AV87" s="47"/>
      <c r="AW87" s="48" t="str">
        <f>REV!AW87</f>
        <v>13.08.2026</v>
      </c>
      <c r="AX87" s="149" t="s">
        <v>68</v>
      </c>
    </row>
    <row r="88" spans="1:50" ht="22.5" customHeight="1">
      <c r="A88" s="41" t="s">
        <v>63</v>
      </c>
      <c r="B88" s="42" t="s">
        <v>64</v>
      </c>
      <c r="C88" s="43">
        <v>4017449</v>
      </c>
      <c r="D88" s="44" t="s">
        <v>167</v>
      </c>
      <c r="E88" s="44" t="s">
        <v>168</v>
      </c>
      <c r="F88" s="45">
        <v>100</v>
      </c>
      <c r="G88" s="45"/>
      <c r="H88" s="45"/>
      <c r="I88" s="45"/>
      <c r="J88" s="46">
        <f>IF(VLOOKUP($C88,REV!$C:$AA,8,0)-'TRADE IN'!$F88=0,"",(VLOOKUP($C88,REV!$C:$AA,8,0)-'TRADE IN'!$F88))</f>
        <v>6299</v>
      </c>
      <c r="K88" s="46">
        <f>IF(VLOOKUP($C88,REV!$C:$AA,9,0)-'TRADE IN'!$F88=0,"",(VLOOKUP($C88,REV!$C:$AA,9,0)-'TRADE IN'!$F88))</f>
        <v>6299</v>
      </c>
      <c r="L88" s="46">
        <f>IF(VLOOKUP($C88,REV!$C:$AA,10,0)-'TRADE IN'!$F88=0,"",(VLOOKUP($C88,REV!$C:$AA,10,0)-'TRADE IN'!$F88))</f>
        <v>6299</v>
      </c>
      <c r="M88" s="46">
        <f>IF(VLOOKUP($C88,REV!$C:$AA,11,0)-'TRADE IN'!$F88=0,"",(VLOOKUP($C88,REV!$C:$AA,11,0)-'TRADE IN'!$F88))</f>
        <v>6299</v>
      </c>
      <c r="N88" s="46">
        <f>IF(VLOOKUP($C88,REV!$C:$AA,12,0)-'TRADE IN'!$F88=0,"",(VLOOKUP($C88,REV!$C:$AA,12,0)-'TRADE IN'!$F88))</f>
        <v>6299</v>
      </c>
      <c r="O88" s="46">
        <f>IF(VLOOKUP($C88,REV!$C:$AA,13,0)-'TRADE IN'!$F88=0,"",(VLOOKUP($C88,REV!$C:$AA,13,0)-'TRADE IN'!$F88))</f>
        <v>6199</v>
      </c>
      <c r="P88" s="46">
        <f>IF(VLOOKUP($C88,REV!$C:$AA,14,0)-'TRADE IN'!$F88=0,"",(VLOOKUP($C88,REV!$C:$AA,14,0)-'TRADE IN'!$F88))</f>
        <v>6099</v>
      </c>
      <c r="Q88" s="46">
        <f>IF(VLOOKUP($C88,REV!$C:$AA,15,0)-'TRADE IN'!$F88=0,"",(VLOOKUP($C88,REV!$C:$AA,15,0)-'TRADE IN'!$F88))</f>
        <v>5399</v>
      </c>
      <c r="R88" s="46">
        <f>IF(VLOOKUP($C88,REV!$C:$AA,16,0)-'TRADE IN'!$F88=0,"",(VLOOKUP($C88,REV!$C:$AA,16,0)-'TRADE IN'!$F88))</f>
        <v>6199</v>
      </c>
      <c r="S88" s="46">
        <f>IF(VLOOKUP($C88,REV!$C:$AA,17,0)-'TRADE IN'!$F88=0,"",(VLOOKUP($C88,REV!$C:$AA,17,0)-'TRADE IN'!$F88))</f>
        <v>6099</v>
      </c>
      <c r="T88" s="46">
        <f>IF(VLOOKUP($C88,REV!$C:$AA,18,0)-'TRADE IN'!$F88=0,"",(VLOOKUP($C88,REV!$C:$AA,18,0)-'TRADE IN'!$F88))</f>
        <v>5399</v>
      </c>
      <c r="U88" s="46">
        <f>IF(VLOOKUP($C88,REV!$C:$AA,19,0)-'TRADE IN'!$F88=0,"",(VLOOKUP($C88,REV!$C:$AA,19,0)-'TRADE IN'!$F88))</f>
        <v>5399</v>
      </c>
      <c r="V88" s="46">
        <f>IF(VLOOKUP($C88,REV!$C:$AA,20,0)-'TRADE IN'!$F88=0,"",(VLOOKUP($C88,REV!$C:$AA,20,0)-'TRADE IN'!$F88))</f>
        <v>5399</v>
      </c>
      <c r="W88" s="46">
        <f>IF(VLOOKUP($C88,REV!$C:$AA,21,0)-'TRADE IN'!$F88=0,"",(VLOOKUP($C88,REV!$C:$AA,21,0)-'TRADE IN'!$F88))</f>
        <v>5399</v>
      </c>
      <c r="X88" s="46">
        <f>IF(VLOOKUP($C88,REV!$C:$AA,22,0)-'TRADE IN'!$F88=0,"",(VLOOKUP($C88,REV!$C:$AA,22,0)-'TRADE IN'!$F88))</f>
        <v>5299</v>
      </c>
      <c r="Y88" s="46">
        <f>IF(VLOOKUP($C88,REV!$C:$AA,23,0)-'TRADE IN'!$F88=0,"",(VLOOKUP($C88,REV!$C:$AA,23,0)-'TRADE IN'!$F88))</f>
        <v>4899</v>
      </c>
      <c r="Z88" s="46">
        <f>IF(VLOOKUP($C88,REV!$C:$AA,24,0)-'TRADE IN'!$F88=0,"",(VLOOKUP($C88,REV!$C:$AA,24,0)-'TRADE IN'!$F88))</f>
        <v>4899</v>
      </c>
      <c r="AA88" s="46">
        <f>IF(VLOOKUP($C88,REV!$C:$AA,25,0)-'TRADE IN'!$F88=0,"",(VLOOKUP($C88,REV!$C:$AA,25,0)-'TRADE IN'!$F88))</f>
        <v>4849</v>
      </c>
      <c r="AB88" s="45">
        <f>IF(VLOOKUP($C88,REV!$C:$AL,27,0)-'TRADE IN'!$F88=0,"",(VLOOKUP($C88,REV!$C:$AL,27,0)-'TRADE IN'!$F88))</f>
        <v>6299</v>
      </c>
      <c r="AC88" s="45">
        <f>IF(VLOOKUP($C88,REV!$C:$AL,28,0)-'TRADE IN'!$F88=0,"",(VLOOKUP($C88,REV!$C:$AL,28,0)-'TRADE IN'!$F88))</f>
        <v>6299</v>
      </c>
      <c r="AD88" s="45">
        <f>IF(VLOOKUP($C88,REV!$C:$AL,29,0)-'TRADE IN'!$F88=0,"",(VLOOKUP($C88,REV!$C:$AL,29,0)-'TRADE IN'!$F88))</f>
        <v>6199</v>
      </c>
      <c r="AE88" s="45">
        <f>IF(VLOOKUP($C88,REV!$C:$AL,30,0)-'TRADE IN'!$F88=0,"",(VLOOKUP($C88,REV!$C:$AL,30,0)-'TRADE IN'!$F88))</f>
        <v>6099</v>
      </c>
      <c r="AF88" s="45">
        <f>IF(VLOOKUP($C88,REV!$C:$AL,31,0)-'TRADE IN'!$F88=0,"",(VLOOKUP($C88,REV!$C:$AL,31,0)-'TRADE IN'!$F88))</f>
        <v>6099</v>
      </c>
      <c r="AG88" s="45">
        <f>IF(VLOOKUP($C88,REV!$C:$AL,31,0)-'TRADE IN'!$F88=0,"",(VLOOKUP($C88,REV!$C:$AL,31,0)-'TRADE IN'!$F88))</f>
        <v>6099</v>
      </c>
      <c r="AH88" s="45">
        <f>IF(VLOOKUP($C88,REV!$C:$AL,32,0)-'TRADE IN'!$F88=0,"",(VLOOKUP($C88,REV!$C:$AL,32,0)-'TRADE IN'!$F88))</f>
        <v>5399</v>
      </c>
      <c r="AI88" s="45">
        <f>IF(VLOOKUP($C88,REV!$C:$AL,33,0)-'TRADE IN'!$F88=0,"",(VLOOKUP($C88,REV!$C:$AL,33,0)-'TRADE IN'!$F88))</f>
        <v>5399</v>
      </c>
      <c r="AJ88" s="45">
        <f>IF(VLOOKUP($C88,REV!$C:$AL,34,0)-'TRADE IN'!$F88=0,"",(VLOOKUP($C88,REV!$C:$AL,34,0)-'TRADE IN'!$F88))</f>
        <v>5399</v>
      </c>
      <c r="AK88" s="45">
        <f>IF(VLOOKUP($C88,REV!$C:$AL,35,0)-'TRADE IN'!$F88=0,"",(VLOOKUP($C88,REV!$C:$AL,35,0)-'TRADE IN'!$F88))</f>
        <v>5399</v>
      </c>
      <c r="AL88" s="45">
        <f>IF(VLOOKUP($C88,REV!$C:$AL,36,0)-'TRADE IN'!$F88=0,"",(VLOOKUP($C88,REV!$C:$AL,36,0)-'TRADE IN'!$F88))</f>
        <v>4899</v>
      </c>
      <c r="AM88" s="45"/>
      <c r="AN88" s="45"/>
      <c r="AO88" s="45"/>
      <c r="AP88" s="45"/>
      <c r="AQ88" s="45"/>
      <c r="AR88" s="45"/>
      <c r="AS88" s="45"/>
      <c r="AT88" s="45"/>
      <c r="AU88" s="45"/>
      <c r="AV88" s="47"/>
      <c r="AW88" s="48" t="str">
        <f>REV!AW88</f>
        <v>13.08.2026</v>
      </c>
      <c r="AX88" s="149" t="s">
        <v>68</v>
      </c>
    </row>
    <row r="89" spans="1:50" ht="22.5" customHeight="1">
      <c r="A89" s="41" t="s">
        <v>63</v>
      </c>
      <c r="B89" s="42" t="s">
        <v>64</v>
      </c>
      <c r="C89" s="43">
        <v>4017897</v>
      </c>
      <c r="D89" s="44" t="s">
        <v>167</v>
      </c>
      <c r="E89" s="44" t="s">
        <v>169</v>
      </c>
      <c r="F89" s="45">
        <v>100</v>
      </c>
      <c r="G89" s="45"/>
      <c r="H89" s="45"/>
      <c r="I89" s="45"/>
      <c r="J89" s="46">
        <f>IF(VLOOKUP($C89,REV!$C:$AA,8,0)-'TRADE IN'!$F89=0,"",(VLOOKUP($C89,REV!$C:$AA,8,0)-'TRADE IN'!$F89))</f>
        <v>6299</v>
      </c>
      <c r="K89" s="46">
        <f>IF(VLOOKUP($C89,REV!$C:$AA,9,0)-'TRADE IN'!$F89=0,"",(VLOOKUP($C89,REV!$C:$AA,9,0)-'TRADE IN'!$F89))</f>
        <v>6299</v>
      </c>
      <c r="L89" s="46">
        <f>IF(VLOOKUP($C89,REV!$C:$AA,10,0)-'TRADE IN'!$F89=0,"",(VLOOKUP($C89,REV!$C:$AA,10,0)-'TRADE IN'!$F89))</f>
        <v>6299</v>
      </c>
      <c r="M89" s="46">
        <f>IF(VLOOKUP($C89,REV!$C:$AA,11,0)-'TRADE IN'!$F89=0,"",(VLOOKUP($C89,REV!$C:$AA,11,0)-'TRADE IN'!$F89))</f>
        <v>6299</v>
      </c>
      <c r="N89" s="46">
        <f>IF(VLOOKUP($C89,REV!$C:$AA,12,0)-'TRADE IN'!$F89=0,"",(VLOOKUP($C89,REV!$C:$AA,12,0)-'TRADE IN'!$F89))</f>
        <v>6299</v>
      </c>
      <c r="O89" s="46">
        <f>IF(VLOOKUP($C89,REV!$C:$AA,13,0)-'TRADE IN'!$F89=0,"",(VLOOKUP($C89,REV!$C:$AA,13,0)-'TRADE IN'!$F89))</f>
        <v>6199</v>
      </c>
      <c r="P89" s="46">
        <f>IF(VLOOKUP($C89,REV!$C:$AA,14,0)-'TRADE IN'!$F89=0,"",(VLOOKUP($C89,REV!$C:$AA,14,0)-'TRADE IN'!$F89))</f>
        <v>6099</v>
      </c>
      <c r="Q89" s="46">
        <f>IF(VLOOKUP($C89,REV!$C:$AA,15,0)-'TRADE IN'!$F89=0,"",(VLOOKUP($C89,REV!$C:$AA,15,0)-'TRADE IN'!$F89))</f>
        <v>5399</v>
      </c>
      <c r="R89" s="46">
        <f>IF(VLOOKUP($C89,REV!$C:$AA,16,0)-'TRADE IN'!$F89=0,"",(VLOOKUP($C89,REV!$C:$AA,16,0)-'TRADE IN'!$F89))</f>
        <v>6199</v>
      </c>
      <c r="S89" s="46">
        <f>IF(VLOOKUP($C89,REV!$C:$AA,17,0)-'TRADE IN'!$F89=0,"",(VLOOKUP($C89,REV!$C:$AA,17,0)-'TRADE IN'!$F89))</f>
        <v>6099</v>
      </c>
      <c r="T89" s="46">
        <f>IF(VLOOKUP($C89,REV!$C:$AA,18,0)-'TRADE IN'!$F89=0,"",(VLOOKUP($C89,REV!$C:$AA,18,0)-'TRADE IN'!$F89))</f>
        <v>5399</v>
      </c>
      <c r="U89" s="46">
        <f>IF(VLOOKUP($C89,REV!$C:$AA,19,0)-'TRADE IN'!$F89=0,"",(VLOOKUP($C89,REV!$C:$AA,19,0)-'TRADE IN'!$F89))</f>
        <v>5399</v>
      </c>
      <c r="V89" s="46">
        <f>IF(VLOOKUP($C89,REV!$C:$AA,20,0)-'TRADE IN'!$F89=0,"",(VLOOKUP($C89,REV!$C:$AA,20,0)-'TRADE IN'!$F89))</f>
        <v>5399</v>
      </c>
      <c r="W89" s="46">
        <f>IF(VLOOKUP($C89,REV!$C:$AA,21,0)-'TRADE IN'!$F89=0,"",(VLOOKUP($C89,REV!$C:$AA,21,0)-'TRADE IN'!$F89))</f>
        <v>5399</v>
      </c>
      <c r="X89" s="46">
        <f>IF(VLOOKUP($C89,REV!$C:$AA,22,0)-'TRADE IN'!$F89=0,"",(VLOOKUP($C89,REV!$C:$AA,22,0)-'TRADE IN'!$F89))</f>
        <v>5299</v>
      </c>
      <c r="Y89" s="46">
        <f>IF(VLOOKUP($C89,REV!$C:$AA,23,0)-'TRADE IN'!$F89=0,"",(VLOOKUP($C89,REV!$C:$AA,23,0)-'TRADE IN'!$F89))</f>
        <v>4899</v>
      </c>
      <c r="Z89" s="46">
        <f>IF(VLOOKUP($C89,REV!$C:$AA,24,0)-'TRADE IN'!$F89=0,"",(VLOOKUP($C89,REV!$C:$AA,24,0)-'TRADE IN'!$F89))</f>
        <v>4899</v>
      </c>
      <c r="AA89" s="46">
        <f>IF(VLOOKUP($C89,REV!$C:$AA,25,0)-'TRADE IN'!$F89=0,"",(VLOOKUP($C89,REV!$C:$AA,25,0)-'TRADE IN'!$F89))</f>
        <v>4849</v>
      </c>
      <c r="AB89" s="45">
        <f>IF(VLOOKUP($C89,REV!$C:$AL,27,0)-'TRADE IN'!$F89=0,"",(VLOOKUP($C89,REV!$C:$AL,27,0)-'TRADE IN'!$F89))</f>
        <v>6299</v>
      </c>
      <c r="AC89" s="45">
        <f>IF(VLOOKUP($C89,REV!$C:$AL,28,0)-'TRADE IN'!$F89=0,"",(VLOOKUP($C89,REV!$C:$AL,28,0)-'TRADE IN'!$F89))</f>
        <v>6299</v>
      </c>
      <c r="AD89" s="45">
        <f>IF(VLOOKUP($C89,REV!$C:$AL,29,0)-'TRADE IN'!$F89=0,"",(VLOOKUP($C89,REV!$C:$AL,29,0)-'TRADE IN'!$F89))</f>
        <v>6199</v>
      </c>
      <c r="AE89" s="45">
        <f>IF(VLOOKUP($C89,REV!$C:$AL,30,0)-'TRADE IN'!$F89=0,"",(VLOOKUP($C89,REV!$C:$AL,30,0)-'TRADE IN'!$F89))</f>
        <v>6099</v>
      </c>
      <c r="AF89" s="45">
        <f>IF(VLOOKUP($C89,REV!$C:$AL,31,0)-'TRADE IN'!$F89=0,"",(VLOOKUP($C89,REV!$C:$AL,31,0)-'TRADE IN'!$F89))</f>
        <v>6099</v>
      </c>
      <c r="AG89" s="45">
        <f>IF(VLOOKUP($C89,REV!$C:$AL,31,0)-'TRADE IN'!$F89=0,"",(VLOOKUP($C89,REV!$C:$AL,31,0)-'TRADE IN'!$F89))</f>
        <v>6099</v>
      </c>
      <c r="AH89" s="45">
        <f>IF(VLOOKUP($C89,REV!$C:$AL,32,0)-'TRADE IN'!$F89=0,"",(VLOOKUP($C89,REV!$C:$AL,32,0)-'TRADE IN'!$F89))</f>
        <v>5399</v>
      </c>
      <c r="AI89" s="45">
        <f>IF(VLOOKUP($C89,REV!$C:$AL,33,0)-'TRADE IN'!$F89=0,"",(VLOOKUP($C89,REV!$C:$AL,33,0)-'TRADE IN'!$F89))</f>
        <v>5399</v>
      </c>
      <c r="AJ89" s="45">
        <f>IF(VLOOKUP($C89,REV!$C:$AL,34,0)-'TRADE IN'!$F89=0,"",(VLOOKUP($C89,REV!$C:$AL,34,0)-'TRADE IN'!$F89))</f>
        <v>5399</v>
      </c>
      <c r="AK89" s="45">
        <f>IF(VLOOKUP($C89,REV!$C:$AL,35,0)-'TRADE IN'!$F89=0,"",(VLOOKUP($C89,REV!$C:$AL,35,0)-'TRADE IN'!$F89))</f>
        <v>5399</v>
      </c>
      <c r="AL89" s="45">
        <f>IF(VLOOKUP($C89,REV!$C:$AL,36,0)-'TRADE IN'!$F89=0,"",(VLOOKUP($C89,REV!$C:$AL,36,0)-'TRADE IN'!$F89))</f>
        <v>4899</v>
      </c>
      <c r="AM89" s="45"/>
      <c r="AN89" s="45"/>
      <c r="AO89" s="45"/>
      <c r="AP89" s="45"/>
      <c r="AQ89" s="45"/>
      <c r="AR89" s="45"/>
      <c r="AS89" s="45"/>
      <c r="AT89" s="45"/>
      <c r="AU89" s="45"/>
      <c r="AV89" s="47"/>
      <c r="AW89" s="48" t="str">
        <f>REV!AW89</f>
        <v>13.08.2026</v>
      </c>
      <c r="AX89" s="149" t="s">
        <v>68</v>
      </c>
    </row>
    <row r="90" spans="1:50" ht="22.5" customHeight="1">
      <c r="A90" s="41" t="s">
        <v>63</v>
      </c>
      <c r="B90" s="42" t="s">
        <v>64</v>
      </c>
      <c r="C90" s="43">
        <v>4017480</v>
      </c>
      <c r="D90" s="44" t="s">
        <v>167</v>
      </c>
      <c r="E90" s="44" t="s">
        <v>170</v>
      </c>
      <c r="F90" s="45">
        <v>100</v>
      </c>
      <c r="G90" s="45"/>
      <c r="H90" s="45"/>
      <c r="I90" s="45"/>
      <c r="J90" s="46">
        <f>IF(VLOOKUP($C90,REV!$C:$AA,8,0)-'TRADE IN'!$F90=0,"",(VLOOKUP($C90,REV!$C:$AA,8,0)-'TRADE IN'!$F90))</f>
        <v>6299</v>
      </c>
      <c r="K90" s="46">
        <f>IF(VLOOKUP($C90,REV!$C:$AA,9,0)-'TRADE IN'!$F90=0,"",(VLOOKUP($C90,REV!$C:$AA,9,0)-'TRADE IN'!$F90))</f>
        <v>6299</v>
      </c>
      <c r="L90" s="46">
        <f>IF(VLOOKUP($C90,REV!$C:$AA,10,0)-'TRADE IN'!$F90=0,"",(VLOOKUP($C90,REV!$C:$AA,10,0)-'TRADE IN'!$F90))</f>
        <v>6299</v>
      </c>
      <c r="M90" s="46">
        <f>IF(VLOOKUP($C90,REV!$C:$AA,11,0)-'TRADE IN'!$F90=0,"",(VLOOKUP($C90,REV!$C:$AA,11,0)-'TRADE IN'!$F90))</f>
        <v>6299</v>
      </c>
      <c r="N90" s="46">
        <f>IF(VLOOKUP($C90,REV!$C:$AA,12,0)-'TRADE IN'!$F90=0,"",(VLOOKUP($C90,REV!$C:$AA,12,0)-'TRADE IN'!$F90))</f>
        <v>6299</v>
      </c>
      <c r="O90" s="46">
        <f>IF(VLOOKUP($C90,REV!$C:$AA,13,0)-'TRADE IN'!$F90=0,"",(VLOOKUP($C90,REV!$C:$AA,13,0)-'TRADE IN'!$F90))</f>
        <v>6199</v>
      </c>
      <c r="P90" s="46">
        <f>IF(VLOOKUP($C90,REV!$C:$AA,14,0)-'TRADE IN'!$F90=0,"",(VLOOKUP($C90,REV!$C:$AA,14,0)-'TRADE IN'!$F90))</f>
        <v>6099</v>
      </c>
      <c r="Q90" s="46">
        <f>IF(VLOOKUP($C90,REV!$C:$AA,15,0)-'TRADE IN'!$F90=0,"",(VLOOKUP($C90,REV!$C:$AA,15,0)-'TRADE IN'!$F90))</f>
        <v>5399</v>
      </c>
      <c r="R90" s="46">
        <f>IF(VLOOKUP($C90,REV!$C:$AA,16,0)-'TRADE IN'!$F90=0,"",(VLOOKUP($C90,REV!$C:$AA,16,0)-'TRADE IN'!$F90))</f>
        <v>6199</v>
      </c>
      <c r="S90" s="46">
        <f>IF(VLOOKUP($C90,REV!$C:$AA,17,0)-'TRADE IN'!$F90=0,"",(VLOOKUP($C90,REV!$C:$AA,17,0)-'TRADE IN'!$F90))</f>
        <v>6099</v>
      </c>
      <c r="T90" s="46">
        <f>IF(VLOOKUP($C90,REV!$C:$AA,18,0)-'TRADE IN'!$F90=0,"",(VLOOKUP($C90,REV!$C:$AA,18,0)-'TRADE IN'!$F90))</f>
        <v>5399</v>
      </c>
      <c r="U90" s="46">
        <f>IF(VLOOKUP($C90,REV!$C:$AA,19,0)-'TRADE IN'!$F90=0,"",(VLOOKUP($C90,REV!$C:$AA,19,0)-'TRADE IN'!$F90))</f>
        <v>5399</v>
      </c>
      <c r="V90" s="46">
        <f>IF(VLOOKUP($C90,REV!$C:$AA,20,0)-'TRADE IN'!$F90=0,"",(VLOOKUP($C90,REV!$C:$AA,20,0)-'TRADE IN'!$F90))</f>
        <v>5399</v>
      </c>
      <c r="W90" s="46">
        <f>IF(VLOOKUP($C90,REV!$C:$AA,21,0)-'TRADE IN'!$F90=0,"",(VLOOKUP($C90,REV!$C:$AA,21,0)-'TRADE IN'!$F90))</f>
        <v>5399</v>
      </c>
      <c r="X90" s="46">
        <f>IF(VLOOKUP($C90,REV!$C:$AA,22,0)-'TRADE IN'!$F90=0,"",(VLOOKUP($C90,REV!$C:$AA,22,0)-'TRADE IN'!$F90))</f>
        <v>5299</v>
      </c>
      <c r="Y90" s="46">
        <f>IF(VLOOKUP($C90,REV!$C:$AA,23,0)-'TRADE IN'!$F90=0,"",(VLOOKUP($C90,REV!$C:$AA,23,0)-'TRADE IN'!$F90))</f>
        <v>4899</v>
      </c>
      <c r="Z90" s="46">
        <f>IF(VLOOKUP($C90,REV!$C:$AA,24,0)-'TRADE IN'!$F90=0,"",(VLOOKUP($C90,REV!$C:$AA,24,0)-'TRADE IN'!$F90))</f>
        <v>4899</v>
      </c>
      <c r="AA90" s="46">
        <f>IF(VLOOKUP($C90,REV!$C:$AA,25,0)-'TRADE IN'!$F90=0,"",(VLOOKUP($C90,REV!$C:$AA,25,0)-'TRADE IN'!$F90))</f>
        <v>4849</v>
      </c>
      <c r="AB90" s="45">
        <f>IF(VLOOKUP($C90,REV!$C:$AL,27,0)-'TRADE IN'!$F90=0,"",(VLOOKUP($C90,REV!$C:$AL,27,0)-'TRADE IN'!$F90))</f>
        <v>6299</v>
      </c>
      <c r="AC90" s="45">
        <f>IF(VLOOKUP($C90,REV!$C:$AL,28,0)-'TRADE IN'!$F90=0,"",(VLOOKUP($C90,REV!$C:$AL,28,0)-'TRADE IN'!$F90))</f>
        <v>6299</v>
      </c>
      <c r="AD90" s="45">
        <f>IF(VLOOKUP($C90,REV!$C:$AL,29,0)-'TRADE IN'!$F90=0,"",(VLOOKUP($C90,REV!$C:$AL,29,0)-'TRADE IN'!$F90))</f>
        <v>6199</v>
      </c>
      <c r="AE90" s="45">
        <f>IF(VLOOKUP($C90,REV!$C:$AL,30,0)-'TRADE IN'!$F90=0,"",(VLOOKUP($C90,REV!$C:$AL,30,0)-'TRADE IN'!$F90))</f>
        <v>6099</v>
      </c>
      <c r="AF90" s="45">
        <f>IF(VLOOKUP($C90,REV!$C:$AL,31,0)-'TRADE IN'!$F90=0,"",(VLOOKUP($C90,REV!$C:$AL,31,0)-'TRADE IN'!$F90))</f>
        <v>6099</v>
      </c>
      <c r="AG90" s="45">
        <f>IF(VLOOKUP($C90,REV!$C:$AL,31,0)-'TRADE IN'!$F90=0,"",(VLOOKUP($C90,REV!$C:$AL,31,0)-'TRADE IN'!$F90))</f>
        <v>6099</v>
      </c>
      <c r="AH90" s="45">
        <f>IF(VLOOKUP($C90,REV!$C:$AL,32,0)-'TRADE IN'!$F90=0,"",(VLOOKUP($C90,REV!$C:$AL,32,0)-'TRADE IN'!$F90))</f>
        <v>5399</v>
      </c>
      <c r="AI90" s="45">
        <f>IF(VLOOKUP($C90,REV!$C:$AL,33,0)-'TRADE IN'!$F90=0,"",(VLOOKUP($C90,REV!$C:$AL,33,0)-'TRADE IN'!$F90))</f>
        <v>5399</v>
      </c>
      <c r="AJ90" s="45">
        <f>IF(VLOOKUP($C90,REV!$C:$AL,34,0)-'TRADE IN'!$F90=0,"",(VLOOKUP($C90,REV!$C:$AL,34,0)-'TRADE IN'!$F90))</f>
        <v>5399</v>
      </c>
      <c r="AK90" s="45">
        <f>IF(VLOOKUP($C90,REV!$C:$AL,35,0)-'TRADE IN'!$F90=0,"",(VLOOKUP($C90,REV!$C:$AL,35,0)-'TRADE IN'!$F90))</f>
        <v>5399</v>
      </c>
      <c r="AL90" s="45">
        <f>IF(VLOOKUP($C90,REV!$C:$AL,36,0)-'TRADE IN'!$F90=0,"",(VLOOKUP($C90,REV!$C:$AL,36,0)-'TRADE IN'!$F90))</f>
        <v>4899</v>
      </c>
      <c r="AM90" s="45"/>
      <c r="AN90" s="45"/>
      <c r="AO90" s="45"/>
      <c r="AP90" s="45"/>
      <c r="AQ90" s="45"/>
      <c r="AR90" s="45"/>
      <c r="AS90" s="45"/>
      <c r="AT90" s="45"/>
      <c r="AU90" s="45"/>
      <c r="AV90" s="47"/>
      <c r="AW90" s="48" t="str">
        <f>REV!AW90</f>
        <v>13.08.2026</v>
      </c>
      <c r="AX90" s="149" t="s">
        <v>68</v>
      </c>
    </row>
    <row r="91" spans="1:50" ht="22.5" customHeight="1">
      <c r="A91" s="41" t="s">
        <v>63</v>
      </c>
      <c r="B91" s="42" t="s">
        <v>64</v>
      </c>
      <c r="C91" s="43">
        <v>4017894</v>
      </c>
      <c r="D91" s="44" t="s">
        <v>167</v>
      </c>
      <c r="E91" s="44" t="s">
        <v>171</v>
      </c>
      <c r="F91" s="45">
        <v>100</v>
      </c>
      <c r="G91" s="45"/>
      <c r="H91" s="45"/>
      <c r="I91" s="45"/>
      <c r="J91" s="46">
        <f>IF(VLOOKUP($C91,REV!$C:$AA,8,0)-'TRADE IN'!$F91=0,"",(VLOOKUP($C91,REV!$C:$AA,8,0)-'TRADE IN'!$F91))</f>
        <v>6299</v>
      </c>
      <c r="K91" s="46">
        <f>IF(VLOOKUP($C91,REV!$C:$AA,9,0)-'TRADE IN'!$F91=0,"",(VLOOKUP($C91,REV!$C:$AA,9,0)-'TRADE IN'!$F91))</f>
        <v>6299</v>
      </c>
      <c r="L91" s="46">
        <f>IF(VLOOKUP($C91,REV!$C:$AA,10,0)-'TRADE IN'!$F91=0,"",(VLOOKUP($C91,REV!$C:$AA,10,0)-'TRADE IN'!$F91))</f>
        <v>6299</v>
      </c>
      <c r="M91" s="46">
        <f>IF(VLOOKUP($C91,REV!$C:$AA,11,0)-'TRADE IN'!$F91=0,"",(VLOOKUP($C91,REV!$C:$AA,11,0)-'TRADE IN'!$F91))</f>
        <v>6299</v>
      </c>
      <c r="N91" s="46">
        <f>IF(VLOOKUP($C91,REV!$C:$AA,12,0)-'TRADE IN'!$F91=0,"",(VLOOKUP($C91,REV!$C:$AA,12,0)-'TRADE IN'!$F91))</f>
        <v>6299</v>
      </c>
      <c r="O91" s="46">
        <f>IF(VLOOKUP($C91,REV!$C:$AA,13,0)-'TRADE IN'!$F91=0,"",(VLOOKUP($C91,REV!$C:$AA,13,0)-'TRADE IN'!$F91))</f>
        <v>6199</v>
      </c>
      <c r="P91" s="46">
        <f>IF(VLOOKUP($C91,REV!$C:$AA,14,0)-'TRADE IN'!$F91=0,"",(VLOOKUP($C91,REV!$C:$AA,14,0)-'TRADE IN'!$F91))</f>
        <v>6099</v>
      </c>
      <c r="Q91" s="46">
        <f>IF(VLOOKUP($C91,REV!$C:$AA,15,0)-'TRADE IN'!$F91=0,"",(VLOOKUP($C91,REV!$C:$AA,15,0)-'TRADE IN'!$F91))</f>
        <v>5399</v>
      </c>
      <c r="R91" s="46">
        <f>IF(VLOOKUP($C91,REV!$C:$AA,16,0)-'TRADE IN'!$F91=0,"",(VLOOKUP($C91,REV!$C:$AA,16,0)-'TRADE IN'!$F91))</f>
        <v>6199</v>
      </c>
      <c r="S91" s="46">
        <f>IF(VLOOKUP($C91,REV!$C:$AA,17,0)-'TRADE IN'!$F91=0,"",(VLOOKUP($C91,REV!$C:$AA,17,0)-'TRADE IN'!$F91))</f>
        <v>6099</v>
      </c>
      <c r="T91" s="46">
        <f>IF(VLOOKUP($C91,REV!$C:$AA,18,0)-'TRADE IN'!$F91=0,"",(VLOOKUP($C91,REV!$C:$AA,18,0)-'TRADE IN'!$F91))</f>
        <v>5399</v>
      </c>
      <c r="U91" s="46">
        <f>IF(VLOOKUP($C91,REV!$C:$AA,19,0)-'TRADE IN'!$F91=0,"",(VLOOKUP($C91,REV!$C:$AA,19,0)-'TRADE IN'!$F91))</f>
        <v>5399</v>
      </c>
      <c r="V91" s="46">
        <f>IF(VLOOKUP($C91,REV!$C:$AA,20,0)-'TRADE IN'!$F91=0,"",(VLOOKUP($C91,REV!$C:$AA,20,0)-'TRADE IN'!$F91))</f>
        <v>5399</v>
      </c>
      <c r="W91" s="46">
        <f>IF(VLOOKUP($C91,REV!$C:$AA,21,0)-'TRADE IN'!$F91=0,"",(VLOOKUP($C91,REV!$C:$AA,21,0)-'TRADE IN'!$F91))</f>
        <v>5399</v>
      </c>
      <c r="X91" s="46">
        <f>IF(VLOOKUP($C91,REV!$C:$AA,22,0)-'TRADE IN'!$F91=0,"",(VLOOKUP($C91,REV!$C:$AA,22,0)-'TRADE IN'!$F91))</f>
        <v>5299</v>
      </c>
      <c r="Y91" s="46">
        <f>IF(VLOOKUP($C91,REV!$C:$AA,23,0)-'TRADE IN'!$F91=0,"",(VLOOKUP($C91,REV!$C:$AA,23,0)-'TRADE IN'!$F91))</f>
        <v>4899</v>
      </c>
      <c r="Z91" s="46">
        <f>IF(VLOOKUP($C91,REV!$C:$AA,24,0)-'TRADE IN'!$F91=0,"",(VLOOKUP($C91,REV!$C:$AA,24,0)-'TRADE IN'!$F91))</f>
        <v>4899</v>
      </c>
      <c r="AA91" s="46">
        <f>IF(VLOOKUP($C91,REV!$C:$AA,25,0)-'TRADE IN'!$F91=0,"",(VLOOKUP($C91,REV!$C:$AA,25,0)-'TRADE IN'!$F91))</f>
        <v>4849</v>
      </c>
      <c r="AB91" s="45">
        <f>IF(VLOOKUP($C91,REV!$C:$AL,27,0)-'TRADE IN'!$F91=0,"",(VLOOKUP($C91,REV!$C:$AL,27,0)-'TRADE IN'!$F91))</f>
        <v>6299</v>
      </c>
      <c r="AC91" s="45">
        <f>IF(VLOOKUP($C91,REV!$C:$AL,28,0)-'TRADE IN'!$F91=0,"",(VLOOKUP($C91,REV!$C:$AL,28,0)-'TRADE IN'!$F91))</f>
        <v>6299</v>
      </c>
      <c r="AD91" s="45">
        <f>IF(VLOOKUP($C91,REV!$C:$AL,29,0)-'TRADE IN'!$F91=0,"",(VLOOKUP($C91,REV!$C:$AL,29,0)-'TRADE IN'!$F91))</f>
        <v>6199</v>
      </c>
      <c r="AE91" s="45">
        <f>IF(VLOOKUP($C91,REV!$C:$AL,30,0)-'TRADE IN'!$F91=0,"",(VLOOKUP($C91,REV!$C:$AL,30,0)-'TRADE IN'!$F91))</f>
        <v>6099</v>
      </c>
      <c r="AF91" s="45">
        <f>IF(VLOOKUP($C91,REV!$C:$AL,31,0)-'TRADE IN'!$F91=0,"",(VLOOKUP($C91,REV!$C:$AL,31,0)-'TRADE IN'!$F91))</f>
        <v>6099</v>
      </c>
      <c r="AG91" s="45">
        <f>IF(VLOOKUP($C91,REV!$C:$AL,31,0)-'TRADE IN'!$F91=0,"",(VLOOKUP($C91,REV!$C:$AL,31,0)-'TRADE IN'!$F91))</f>
        <v>6099</v>
      </c>
      <c r="AH91" s="45">
        <f>IF(VLOOKUP($C91,REV!$C:$AL,32,0)-'TRADE IN'!$F91=0,"",(VLOOKUP($C91,REV!$C:$AL,32,0)-'TRADE IN'!$F91))</f>
        <v>5399</v>
      </c>
      <c r="AI91" s="45">
        <f>IF(VLOOKUP($C91,REV!$C:$AL,33,0)-'TRADE IN'!$F91=0,"",(VLOOKUP($C91,REV!$C:$AL,33,0)-'TRADE IN'!$F91))</f>
        <v>5399</v>
      </c>
      <c r="AJ91" s="45">
        <f>IF(VLOOKUP($C91,REV!$C:$AL,34,0)-'TRADE IN'!$F91=0,"",(VLOOKUP($C91,REV!$C:$AL,34,0)-'TRADE IN'!$F91))</f>
        <v>5399</v>
      </c>
      <c r="AK91" s="45">
        <f>IF(VLOOKUP($C91,REV!$C:$AL,35,0)-'TRADE IN'!$F91=0,"",(VLOOKUP($C91,REV!$C:$AL,35,0)-'TRADE IN'!$F91))</f>
        <v>5399</v>
      </c>
      <c r="AL91" s="45">
        <f>IF(VLOOKUP($C91,REV!$C:$AL,36,0)-'TRADE IN'!$F91=0,"",(VLOOKUP($C91,REV!$C:$AL,36,0)-'TRADE IN'!$F91))</f>
        <v>4899</v>
      </c>
      <c r="AM91" s="45"/>
      <c r="AN91" s="45"/>
      <c r="AO91" s="45"/>
      <c r="AP91" s="45"/>
      <c r="AQ91" s="45"/>
      <c r="AR91" s="45"/>
      <c r="AS91" s="45"/>
      <c r="AT91" s="45"/>
      <c r="AU91" s="45"/>
      <c r="AV91" s="47"/>
      <c r="AW91" s="48" t="str">
        <f>REV!AW91</f>
        <v>13.08.2026</v>
      </c>
      <c r="AX91" s="149" t="s">
        <v>68</v>
      </c>
    </row>
    <row r="92" spans="1:50" ht="22.5" customHeight="1">
      <c r="A92" s="41" t="s">
        <v>63</v>
      </c>
      <c r="B92" s="42" t="s">
        <v>64</v>
      </c>
      <c r="C92" s="43">
        <v>4017485</v>
      </c>
      <c r="D92" s="44" t="s">
        <v>167</v>
      </c>
      <c r="E92" s="44" t="s">
        <v>172</v>
      </c>
      <c r="F92" s="45">
        <v>100</v>
      </c>
      <c r="G92" s="45"/>
      <c r="H92" s="45"/>
      <c r="I92" s="45"/>
      <c r="J92" s="46">
        <f>IF(VLOOKUP($C92,REV!$C:$AA,8,0)-'TRADE IN'!$F92=0,"",(VLOOKUP($C92,REV!$C:$AA,8,0)-'TRADE IN'!$F92))</f>
        <v>6299</v>
      </c>
      <c r="K92" s="46">
        <f>IF(VLOOKUP($C92,REV!$C:$AA,9,0)-'TRADE IN'!$F92=0,"",(VLOOKUP($C92,REV!$C:$AA,9,0)-'TRADE IN'!$F92))</f>
        <v>6299</v>
      </c>
      <c r="L92" s="46">
        <f>IF(VLOOKUP($C92,REV!$C:$AA,10,0)-'TRADE IN'!$F92=0,"",(VLOOKUP($C92,REV!$C:$AA,10,0)-'TRADE IN'!$F92))</f>
        <v>6299</v>
      </c>
      <c r="M92" s="46">
        <f>IF(VLOOKUP($C92,REV!$C:$AA,11,0)-'TRADE IN'!$F92=0,"",(VLOOKUP($C92,REV!$C:$AA,11,0)-'TRADE IN'!$F92))</f>
        <v>6299</v>
      </c>
      <c r="N92" s="46">
        <f>IF(VLOOKUP($C92,REV!$C:$AA,12,0)-'TRADE IN'!$F92=0,"",(VLOOKUP($C92,REV!$C:$AA,12,0)-'TRADE IN'!$F92))</f>
        <v>6299</v>
      </c>
      <c r="O92" s="46">
        <f>IF(VLOOKUP($C92,REV!$C:$AA,13,0)-'TRADE IN'!$F92=0,"",(VLOOKUP($C92,REV!$C:$AA,13,0)-'TRADE IN'!$F92))</f>
        <v>6199</v>
      </c>
      <c r="P92" s="46">
        <f>IF(VLOOKUP($C92,REV!$C:$AA,14,0)-'TRADE IN'!$F92=0,"",(VLOOKUP($C92,REV!$C:$AA,14,0)-'TRADE IN'!$F92))</f>
        <v>6099</v>
      </c>
      <c r="Q92" s="46">
        <f>IF(VLOOKUP($C92,REV!$C:$AA,15,0)-'TRADE IN'!$F92=0,"",(VLOOKUP($C92,REV!$C:$AA,15,0)-'TRADE IN'!$F92))</f>
        <v>5399</v>
      </c>
      <c r="R92" s="46">
        <f>IF(VLOOKUP($C92,REV!$C:$AA,16,0)-'TRADE IN'!$F92=0,"",(VLOOKUP($C92,REV!$C:$AA,16,0)-'TRADE IN'!$F92))</f>
        <v>6199</v>
      </c>
      <c r="S92" s="46">
        <f>IF(VLOOKUP($C92,REV!$C:$AA,17,0)-'TRADE IN'!$F92=0,"",(VLOOKUP($C92,REV!$C:$AA,17,0)-'TRADE IN'!$F92))</f>
        <v>6099</v>
      </c>
      <c r="T92" s="46">
        <f>IF(VLOOKUP($C92,REV!$C:$AA,18,0)-'TRADE IN'!$F92=0,"",(VLOOKUP($C92,REV!$C:$AA,18,0)-'TRADE IN'!$F92))</f>
        <v>5399</v>
      </c>
      <c r="U92" s="46">
        <f>IF(VLOOKUP($C92,REV!$C:$AA,19,0)-'TRADE IN'!$F92=0,"",(VLOOKUP($C92,REV!$C:$AA,19,0)-'TRADE IN'!$F92))</f>
        <v>5399</v>
      </c>
      <c r="V92" s="46">
        <f>IF(VLOOKUP($C92,REV!$C:$AA,20,0)-'TRADE IN'!$F92=0,"",(VLOOKUP($C92,REV!$C:$AA,20,0)-'TRADE IN'!$F92))</f>
        <v>5399</v>
      </c>
      <c r="W92" s="46">
        <f>IF(VLOOKUP($C92,REV!$C:$AA,21,0)-'TRADE IN'!$F92=0,"",(VLOOKUP($C92,REV!$C:$AA,21,0)-'TRADE IN'!$F92))</f>
        <v>5399</v>
      </c>
      <c r="X92" s="46">
        <f>IF(VLOOKUP($C92,REV!$C:$AA,22,0)-'TRADE IN'!$F92=0,"",(VLOOKUP($C92,REV!$C:$AA,22,0)-'TRADE IN'!$F92))</f>
        <v>5299</v>
      </c>
      <c r="Y92" s="46">
        <f>IF(VLOOKUP($C92,REV!$C:$AA,23,0)-'TRADE IN'!$F92=0,"",(VLOOKUP($C92,REV!$C:$AA,23,0)-'TRADE IN'!$F92))</f>
        <v>4899</v>
      </c>
      <c r="Z92" s="46">
        <f>IF(VLOOKUP($C92,REV!$C:$AA,24,0)-'TRADE IN'!$F92=0,"",(VLOOKUP($C92,REV!$C:$AA,24,0)-'TRADE IN'!$F92))</f>
        <v>4899</v>
      </c>
      <c r="AA92" s="46">
        <f>IF(VLOOKUP($C92,REV!$C:$AA,25,0)-'TRADE IN'!$F92=0,"",(VLOOKUP($C92,REV!$C:$AA,25,0)-'TRADE IN'!$F92))</f>
        <v>4849</v>
      </c>
      <c r="AB92" s="45">
        <f>IF(VLOOKUP($C92,REV!$C:$AL,27,0)-'TRADE IN'!$F92=0,"",(VLOOKUP($C92,REV!$C:$AL,27,0)-'TRADE IN'!$F92))</f>
        <v>6299</v>
      </c>
      <c r="AC92" s="45">
        <f>IF(VLOOKUP($C92,REV!$C:$AL,28,0)-'TRADE IN'!$F92=0,"",(VLOOKUP($C92,REV!$C:$AL,28,0)-'TRADE IN'!$F92))</f>
        <v>6299</v>
      </c>
      <c r="AD92" s="45">
        <f>IF(VLOOKUP($C92,REV!$C:$AL,29,0)-'TRADE IN'!$F92=0,"",(VLOOKUP($C92,REV!$C:$AL,29,0)-'TRADE IN'!$F92))</f>
        <v>6199</v>
      </c>
      <c r="AE92" s="45">
        <f>IF(VLOOKUP($C92,REV!$C:$AL,30,0)-'TRADE IN'!$F92=0,"",(VLOOKUP($C92,REV!$C:$AL,30,0)-'TRADE IN'!$F92))</f>
        <v>6099</v>
      </c>
      <c r="AF92" s="45">
        <f>IF(VLOOKUP($C92,REV!$C:$AL,31,0)-'TRADE IN'!$F92=0,"",(VLOOKUP($C92,REV!$C:$AL,31,0)-'TRADE IN'!$F92))</f>
        <v>6099</v>
      </c>
      <c r="AG92" s="45">
        <f>IF(VLOOKUP($C92,REV!$C:$AL,31,0)-'TRADE IN'!$F92=0,"",(VLOOKUP($C92,REV!$C:$AL,31,0)-'TRADE IN'!$F92))</f>
        <v>6099</v>
      </c>
      <c r="AH92" s="45">
        <f>IF(VLOOKUP($C92,REV!$C:$AL,32,0)-'TRADE IN'!$F92=0,"",(VLOOKUP($C92,REV!$C:$AL,32,0)-'TRADE IN'!$F92))</f>
        <v>5399</v>
      </c>
      <c r="AI92" s="45">
        <f>IF(VLOOKUP($C92,REV!$C:$AL,33,0)-'TRADE IN'!$F92=0,"",(VLOOKUP($C92,REV!$C:$AL,33,0)-'TRADE IN'!$F92))</f>
        <v>5399</v>
      </c>
      <c r="AJ92" s="45">
        <f>IF(VLOOKUP($C92,REV!$C:$AL,34,0)-'TRADE IN'!$F92=0,"",(VLOOKUP($C92,REV!$C:$AL,34,0)-'TRADE IN'!$F92))</f>
        <v>5399</v>
      </c>
      <c r="AK92" s="45">
        <f>IF(VLOOKUP($C92,REV!$C:$AL,35,0)-'TRADE IN'!$F92=0,"",(VLOOKUP($C92,REV!$C:$AL,35,0)-'TRADE IN'!$F92))</f>
        <v>5399</v>
      </c>
      <c r="AL92" s="45">
        <f>IF(VLOOKUP($C92,REV!$C:$AL,36,0)-'TRADE IN'!$F92=0,"",(VLOOKUP($C92,REV!$C:$AL,36,0)-'TRADE IN'!$F92))</f>
        <v>4899</v>
      </c>
      <c r="AM92" s="45"/>
      <c r="AN92" s="45"/>
      <c r="AO92" s="45"/>
      <c r="AP92" s="45"/>
      <c r="AQ92" s="45"/>
      <c r="AR92" s="45"/>
      <c r="AS92" s="45"/>
      <c r="AT92" s="45"/>
      <c r="AU92" s="45"/>
      <c r="AV92" s="47"/>
      <c r="AW92" s="48" t="str">
        <f>REV!AW92</f>
        <v>13.08.2026</v>
      </c>
      <c r="AX92" s="149" t="s">
        <v>68</v>
      </c>
    </row>
    <row r="93" spans="1:50" ht="22.5" customHeight="1">
      <c r="A93" s="41" t="s">
        <v>63</v>
      </c>
      <c r="B93" s="42" t="s">
        <v>64</v>
      </c>
      <c r="C93" s="43">
        <v>4017890</v>
      </c>
      <c r="D93" s="44" t="s">
        <v>167</v>
      </c>
      <c r="E93" s="44" t="s">
        <v>173</v>
      </c>
      <c r="F93" s="45">
        <v>100</v>
      </c>
      <c r="G93" s="45"/>
      <c r="H93" s="45"/>
      <c r="I93" s="45"/>
      <c r="J93" s="46">
        <f>IF(VLOOKUP($C93,REV!$C:$AA,8,0)-'TRADE IN'!$F93=0,"",(VLOOKUP($C93,REV!$C:$AA,8,0)-'TRADE IN'!$F93))</f>
        <v>6299</v>
      </c>
      <c r="K93" s="46">
        <f>IF(VLOOKUP($C93,REV!$C:$AA,9,0)-'TRADE IN'!$F93=0,"",(VLOOKUP($C93,REV!$C:$AA,9,0)-'TRADE IN'!$F93))</f>
        <v>6299</v>
      </c>
      <c r="L93" s="46">
        <f>IF(VLOOKUP($C93,REV!$C:$AA,10,0)-'TRADE IN'!$F93=0,"",(VLOOKUP($C93,REV!$C:$AA,10,0)-'TRADE IN'!$F93))</f>
        <v>6299</v>
      </c>
      <c r="M93" s="46">
        <f>IF(VLOOKUP($C93,REV!$C:$AA,11,0)-'TRADE IN'!$F93=0,"",(VLOOKUP($C93,REV!$C:$AA,11,0)-'TRADE IN'!$F93))</f>
        <v>6299</v>
      </c>
      <c r="N93" s="46">
        <f>IF(VLOOKUP($C93,REV!$C:$AA,12,0)-'TRADE IN'!$F93=0,"",(VLOOKUP($C93,REV!$C:$AA,12,0)-'TRADE IN'!$F93))</f>
        <v>6299</v>
      </c>
      <c r="O93" s="46">
        <f>IF(VLOOKUP($C93,REV!$C:$AA,13,0)-'TRADE IN'!$F93=0,"",(VLOOKUP($C93,REV!$C:$AA,13,0)-'TRADE IN'!$F93))</f>
        <v>6199</v>
      </c>
      <c r="P93" s="46">
        <f>IF(VLOOKUP($C93,REV!$C:$AA,14,0)-'TRADE IN'!$F93=0,"",(VLOOKUP($C93,REV!$C:$AA,14,0)-'TRADE IN'!$F93))</f>
        <v>6099</v>
      </c>
      <c r="Q93" s="46">
        <f>IF(VLOOKUP($C93,REV!$C:$AA,15,0)-'TRADE IN'!$F93=0,"",(VLOOKUP($C93,REV!$C:$AA,15,0)-'TRADE IN'!$F93))</f>
        <v>5399</v>
      </c>
      <c r="R93" s="46">
        <f>IF(VLOOKUP($C93,REV!$C:$AA,16,0)-'TRADE IN'!$F93=0,"",(VLOOKUP($C93,REV!$C:$AA,16,0)-'TRADE IN'!$F93))</f>
        <v>6199</v>
      </c>
      <c r="S93" s="46">
        <f>IF(VLOOKUP($C93,REV!$C:$AA,17,0)-'TRADE IN'!$F93=0,"",(VLOOKUP($C93,REV!$C:$AA,17,0)-'TRADE IN'!$F93))</f>
        <v>6099</v>
      </c>
      <c r="T93" s="46">
        <f>IF(VLOOKUP($C93,REV!$C:$AA,18,0)-'TRADE IN'!$F93=0,"",(VLOOKUP($C93,REV!$C:$AA,18,0)-'TRADE IN'!$F93))</f>
        <v>5399</v>
      </c>
      <c r="U93" s="46">
        <f>IF(VLOOKUP($C93,REV!$C:$AA,19,0)-'TRADE IN'!$F93=0,"",(VLOOKUP($C93,REV!$C:$AA,19,0)-'TRADE IN'!$F93))</f>
        <v>5399</v>
      </c>
      <c r="V93" s="46">
        <f>IF(VLOOKUP($C93,REV!$C:$AA,20,0)-'TRADE IN'!$F93=0,"",(VLOOKUP($C93,REV!$C:$AA,20,0)-'TRADE IN'!$F93))</f>
        <v>5399</v>
      </c>
      <c r="W93" s="46">
        <f>IF(VLOOKUP($C93,REV!$C:$AA,21,0)-'TRADE IN'!$F93=0,"",(VLOOKUP($C93,REV!$C:$AA,21,0)-'TRADE IN'!$F93))</f>
        <v>5399</v>
      </c>
      <c r="X93" s="46">
        <f>IF(VLOOKUP($C93,REV!$C:$AA,22,0)-'TRADE IN'!$F93=0,"",(VLOOKUP($C93,REV!$C:$AA,22,0)-'TRADE IN'!$F93))</f>
        <v>5299</v>
      </c>
      <c r="Y93" s="46">
        <f>IF(VLOOKUP($C93,REV!$C:$AA,23,0)-'TRADE IN'!$F93=0,"",(VLOOKUP($C93,REV!$C:$AA,23,0)-'TRADE IN'!$F93))</f>
        <v>4899</v>
      </c>
      <c r="Z93" s="46">
        <f>IF(VLOOKUP($C93,REV!$C:$AA,24,0)-'TRADE IN'!$F93=0,"",(VLOOKUP($C93,REV!$C:$AA,24,0)-'TRADE IN'!$F93))</f>
        <v>4899</v>
      </c>
      <c r="AA93" s="46">
        <f>IF(VLOOKUP($C93,REV!$C:$AA,25,0)-'TRADE IN'!$F93=0,"",(VLOOKUP($C93,REV!$C:$AA,25,0)-'TRADE IN'!$F93))</f>
        <v>4849</v>
      </c>
      <c r="AB93" s="45">
        <f>IF(VLOOKUP($C93,REV!$C:$AL,27,0)-'TRADE IN'!$F93=0,"",(VLOOKUP($C93,REV!$C:$AL,27,0)-'TRADE IN'!$F93))</f>
        <v>6299</v>
      </c>
      <c r="AC93" s="45">
        <f>IF(VLOOKUP($C93,REV!$C:$AL,28,0)-'TRADE IN'!$F93=0,"",(VLOOKUP($C93,REV!$C:$AL,28,0)-'TRADE IN'!$F93))</f>
        <v>6299</v>
      </c>
      <c r="AD93" s="45">
        <f>IF(VLOOKUP($C93,REV!$C:$AL,29,0)-'TRADE IN'!$F93=0,"",(VLOOKUP($C93,REV!$C:$AL,29,0)-'TRADE IN'!$F93))</f>
        <v>6199</v>
      </c>
      <c r="AE93" s="45">
        <f>IF(VLOOKUP($C93,REV!$C:$AL,30,0)-'TRADE IN'!$F93=0,"",(VLOOKUP($C93,REV!$C:$AL,30,0)-'TRADE IN'!$F93))</f>
        <v>6099</v>
      </c>
      <c r="AF93" s="45">
        <f>IF(VLOOKUP($C93,REV!$C:$AL,31,0)-'TRADE IN'!$F93=0,"",(VLOOKUP($C93,REV!$C:$AL,31,0)-'TRADE IN'!$F93))</f>
        <v>6099</v>
      </c>
      <c r="AG93" s="45">
        <f>IF(VLOOKUP($C93,REV!$C:$AL,31,0)-'TRADE IN'!$F93=0,"",(VLOOKUP($C93,REV!$C:$AL,31,0)-'TRADE IN'!$F93))</f>
        <v>6099</v>
      </c>
      <c r="AH93" s="45">
        <f>IF(VLOOKUP($C93,REV!$C:$AL,32,0)-'TRADE IN'!$F93=0,"",(VLOOKUP($C93,REV!$C:$AL,32,0)-'TRADE IN'!$F93))</f>
        <v>5399</v>
      </c>
      <c r="AI93" s="45">
        <f>IF(VLOOKUP($C93,REV!$C:$AL,33,0)-'TRADE IN'!$F93=0,"",(VLOOKUP($C93,REV!$C:$AL,33,0)-'TRADE IN'!$F93))</f>
        <v>5399</v>
      </c>
      <c r="AJ93" s="45">
        <f>IF(VLOOKUP($C93,REV!$C:$AL,34,0)-'TRADE IN'!$F93=0,"",(VLOOKUP($C93,REV!$C:$AL,34,0)-'TRADE IN'!$F93))</f>
        <v>5399</v>
      </c>
      <c r="AK93" s="45">
        <f>IF(VLOOKUP($C93,REV!$C:$AL,35,0)-'TRADE IN'!$F93=0,"",(VLOOKUP($C93,REV!$C:$AL,35,0)-'TRADE IN'!$F93))</f>
        <v>5399</v>
      </c>
      <c r="AL93" s="45">
        <f>IF(VLOOKUP($C93,REV!$C:$AL,36,0)-'TRADE IN'!$F93=0,"",(VLOOKUP($C93,REV!$C:$AL,36,0)-'TRADE IN'!$F93))</f>
        <v>4899</v>
      </c>
      <c r="AM93" s="45"/>
      <c r="AN93" s="45"/>
      <c r="AO93" s="45"/>
      <c r="AP93" s="45"/>
      <c r="AQ93" s="45"/>
      <c r="AR93" s="45"/>
      <c r="AS93" s="45"/>
      <c r="AT93" s="45"/>
      <c r="AU93" s="45"/>
      <c r="AV93" s="47"/>
      <c r="AW93" s="48" t="str">
        <f>REV!AW93</f>
        <v>13.08.2026</v>
      </c>
      <c r="AX93" s="149" t="s">
        <v>68</v>
      </c>
    </row>
    <row r="94" spans="1:50" ht="22.5" customHeight="1">
      <c r="A94" s="41" t="s">
        <v>63</v>
      </c>
      <c r="B94" s="42" t="s">
        <v>64</v>
      </c>
      <c r="C94" s="43">
        <v>4017486</v>
      </c>
      <c r="D94" s="44" t="s">
        <v>167</v>
      </c>
      <c r="E94" s="44" t="s">
        <v>174</v>
      </c>
      <c r="F94" s="45">
        <v>100</v>
      </c>
      <c r="G94" s="45"/>
      <c r="H94" s="45"/>
      <c r="I94" s="45"/>
      <c r="J94" s="46">
        <f>IF(VLOOKUP($C94,REV!$C:$AA,8,0)-'TRADE IN'!$F94=0,"",(VLOOKUP($C94,REV!$C:$AA,8,0)-'TRADE IN'!$F94))</f>
        <v>6299</v>
      </c>
      <c r="K94" s="46">
        <f>IF(VLOOKUP($C94,REV!$C:$AA,9,0)-'TRADE IN'!$F94=0,"",(VLOOKUP($C94,REV!$C:$AA,9,0)-'TRADE IN'!$F94))</f>
        <v>6299</v>
      </c>
      <c r="L94" s="46">
        <f>IF(VLOOKUP($C94,REV!$C:$AA,10,0)-'TRADE IN'!$F94=0,"",(VLOOKUP($C94,REV!$C:$AA,10,0)-'TRADE IN'!$F94))</f>
        <v>6299</v>
      </c>
      <c r="M94" s="46">
        <f>IF(VLOOKUP($C94,REV!$C:$AA,11,0)-'TRADE IN'!$F94=0,"",(VLOOKUP($C94,REV!$C:$AA,11,0)-'TRADE IN'!$F94))</f>
        <v>6299</v>
      </c>
      <c r="N94" s="46">
        <f>IF(VLOOKUP($C94,REV!$C:$AA,12,0)-'TRADE IN'!$F94=0,"",(VLOOKUP($C94,REV!$C:$AA,12,0)-'TRADE IN'!$F94))</f>
        <v>6299</v>
      </c>
      <c r="O94" s="46">
        <f>IF(VLOOKUP($C94,REV!$C:$AA,13,0)-'TRADE IN'!$F94=0,"",(VLOOKUP($C94,REV!$C:$AA,13,0)-'TRADE IN'!$F94))</f>
        <v>6199</v>
      </c>
      <c r="P94" s="46">
        <f>IF(VLOOKUP($C94,REV!$C:$AA,14,0)-'TRADE IN'!$F94=0,"",(VLOOKUP($C94,REV!$C:$AA,14,0)-'TRADE IN'!$F94))</f>
        <v>6099</v>
      </c>
      <c r="Q94" s="46">
        <f>IF(VLOOKUP($C94,REV!$C:$AA,15,0)-'TRADE IN'!$F94=0,"",(VLOOKUP($C94,REV!$C:$AA,15,0)-'TRADE IN'!$F94))</f>
        <v>5399</v>
      </c>
      <c r="R94" s="46">
        <f>IF(VLOOKUP($C94,REV!$C:$AA,16,0)-'TRADE IN'!$F94=0,"",(VLOOKUP($C94,REV!$C:$AA,16,0)-'TRADE IN'!$F94))</f>
        <v>6199</v>
      </c>
      <c r="S94" s="46">
        <f>IF(VLOOKUP($C94,REV!$C:$AA,17,0)-'TRADE IN'!$F94=0,"",(VLOOKUP($C94,REV!$C:$AA,17,0)-'TRADE IN'!$F94))</f>
        <v>6099</v>
      </c>
      <c r="T94" s="46">
        <f>IF(VLOOKUP($C94,REV!$C:$AA,18,0)-'TRADE IN'!$F94=0,"",(VLOOKUP($C94,REV!$C:$AA,18,0)-'TRADE IN'!$F94))</f>
        <v>5399</v>
      </c>
      <c r="U94" s="46">
        <f>IF(VLOOKUP($C94,REV!$C:$AA,19,0)-'TRADE IN'!$F94=0,"",(VLOOKUP($C94,REV!$C:$AA,19,0)-'TRADE IN'!$F94))</f>
        <v>5399</v>
      </c>
      <c r="V94" s="46">
        <f>IF(VLOOKUP($C94,REV!$C:$AA,20,0)-'TRADE IN'!$F94=0,"",(VLOOKUP($C94,REV!$C:$AA,20,0)-'TRADE IN'!$F94))</f>
        <v>5399</v>
      </c>
      <c r="W94" s="46">
        <f>IF(VLOOKUP($C94,REV!$C:$AA,21,0)-'TRADE IN'!$F94=0,"",(VLOOKUP($C94,REV!$C:$AA,21,0)-'TRADE IN'!$F94))</f>
        <v>5399</v>
      </c>
      <c r="X94" s="46">
        <f>IF(VLOOKUP($C94,REV!$C:$AA,22,0)-'TRADE IN'!$F94=0,"",(VLOOKUP($C94,REV!$C:$AA,22,0)-'TRADE IN'!$F94))</f>
        <v>5299</v>
      </c>
      <c r="Y94" s="46">
        <f>IF(VLOOKUP($C94,REV!$C:$AA,23,0)-'TRADE IN'!$F94=0,"",(VLOOKUP($C94,REV!$C:$AA,23,0)-'TRADE IN'!$F94))</f>
        <v>4899</v>
      </c>
      <c r="Z94" s="46">
        <f>IF(VLOOKUP($C94,REV!$C:$AA,24,0)-'TRADE IN'!$F94=0,"",(VLOOKUP($C94,REV!$C:$AA,24,0)-'TRADE IN'!$F94))</f>
        <v>4899</v>
      </c>
      <c r="AA94" s="46">
        <f>IF(VLOOKUP($C94,REV!$C:$AA,25,0)-'TRADE IN'!$F94=0,"",(VLOOKUP($C94,REV!$C:$AA,25,0)-'TRADE IN'!$F94))</f>
        <v>4849</v>
      </c>
      <c r="AB94" s="45">
        <f>IF(VLOOKUP($C94,REV!$C:$AL,27,0)-'TRADE IN'!$F94=0,"",(VLOOKUP($C94,REV!$C:$AL,27,0)-'TRADE IN'!$F94))</f>
        <v>6299</v>
      </c>
      <c r="AC94" s="45">
        <f>IF(VLOOKUP($C94,REV!$C:$AL,28,0)-'TRADE IN'!$F94=0,"",(VLOOKUP($C94,REV!$C:$AL,28,0)-'TRADE IN'!$F94))</f>
        <v>6299</v>
      </c>
      <c r="AD94" s="45">
        <f>IF(VLOOKUP($C94,REV!$C:$AL,29,0)-'TRADE IN'!$F94=0,"",(VLOOKUP($C94,REV!$C:$AL,29,0)-'TRADE IN'!$F94))</f>
        <v>6199</v>
      </c>
      <c r="AE94" s="45">
        <f>IF(VLOOKUP($C94,REV!$C:$AL,30,0)-'TRADE IN'!$F94=0,"",(VLOOKUP($C94,REV!$C:$AL,30,0)-'TRADE IN'!$F94))</f>
        <v>6099</v>
      </c>
      <c r="AF94" s="45">
        <f>IF(VLOOKUP($C94,REV!$C:$AL,31,0)-'TRADE IN'!$F94=0,"",(VLOOKUP($C94,REV!$C:$AL,31,0)-'TRADE IN'!$F94))</f>
        <v>6099</v>
      </c>
      <c r="AG94" s="45">
        <f>IF(VLOOKUP($C94,REV!$C:$AL,31,0)-'TRADE IN'!$F94=0,"",(VLOOKUP($C94,REV!$C:$AL,31,0)-'TRADE IN'!$F94))</f>
        <v>6099</v>
      </c>
      <c r="AH94" s="45">
        <f>IF(VLOOKUP($C94,REV!$C:$AL,32,0)-'TRADE IN'!$F94=0,"",(VLOOKUP($C94,REV!$C:$AL,32,0)-'TRADE IN'!$F94))</f>
        <v>5399</v>
      </c>
      <c r="AI94" s="45">
        <f>IF(VLOOKUP($C94,REV!$C:$AL,33,0)-'TRADE IN'!$F94=0,"",(VLOOKUP($C94,REV!$C:$AL,33,0)-'TRADE IN'!$F94))</f>
        <v>5399</v>
      </c>
      <c r="AJ94" s="45">
        <f>IF(VLOOKUP($C94,REV!$C:$AL,34,0)-'TRADE IN'!$F94=0,"",(VLOOKUP($C94,REV!$C:$AL,34,0)-'TRADE IN'!$F94))</f>
        <v>5399</v>
      </c>
      <c r="AK94" s="45">
        <f>IF(VLOOKUP($C94,REV!$C:$AL,35,0)-'TRADE IN'!$F94=0,"",(VLOOKUP($C94,REV!$C:$AL,35,0)-'TRADE IN'!$F94))</f>
        <v>5399</v>
      </c>
      <c r="AL94" s="45">
        <f>IF(VLOOKUP($C94,REV!$C:$AL,36,0)-'TRADE IN'!$F94=0,"",(VLOOKUP($C94,REV!$C:$AL,36,0)-'TRADE IN'!$F94))</f>
        <v>4899</v>
      </c>
      <c r="AM94" s="45"/>
      <c r="AN94" s="45"/>
      <c r="AO94" s="45"/>
      <c r="AP94" s="45"/>
      <c r="AQ94" s="45"/>
      <c r="AR94" s="45"/>
      <c r="AS94" s="45"/>
      <c r="AT94" s="45"/>
      <c r="AU94" s="45"/>
      <c r="AV94" s="47"/>
      <c r="AW94" s="48" t="str">
        <f>REV!AW94</f>
        <v>13.08.2026</v>
      </c>
      <c r="AX94" s="149" t="s">
        <v>68</v>
      </c>
    </row>
    <row r="95" spans="1:50" ht="22.5" customHeight="1">
      <c r="A95" s="41" t="s">
        <v>63</v>
      </c>
      <c r="B95" s="42" t="s">
        <v>64</v>
      </c>
      <c r="C95" s="43">
        <v>4017892</v>
      </c>
      <c r="D95" s="44" t="s">
        <v>167</v>
      </c>
      <c r="E95" s="44" t="s">
        <v>175</v>
      </c>
      <c r="F95" s="45">
        <v>100</v>
      </c>
      <c r="G95" s="45"/>
      <c r="H95" s="45"/>
      <c r="I95" s="45"/>
      <c r="J95" s="46">
        <f>IF(VLOOKUP($C95,REV!$C:$AA,8,0)-'TRADE IN'!$F95=0,"",(VLOOKUP($C95,REV!$C:$AA,8,0)-'TRADE IN'!$F95))</f>
        <v>6299</v>
      </c>
      <c r="K95" s="46">
        <f>IF(VLOOKUP($C95,REV!$C:$AA,9,0)-'TRADE IN'!$F95=0,"",(VLOOKUP($C95,REV!$C:$AA,9,0)-'TRADE IN'!$F95))</f>
        <v>6299</v>
      </c>
      <c r="L95" s="46">
        <f>IF(VLOOKUP($C95,REV!$C:$AA,10,0)-'TRADE IN'!$F95=0,"",(VLOOKUP($C95,REV!$C:$AA,10,0)-'TRADE IN'!$F95))</f>
        <v>6299</v>
      </c>
      <c r="M95" s="46">
        <f>IF(VLOOKUP($C95,REV!$C:$AA,11,0)-'TRADE IN'!$F95=0,"",(VLOOKUP($C95,REV!$C:$AA,11,0)-'TRADE IN'!$F95))</f>
        <v>6299</v>
      </c>
      <c r="N95" s="46">
        <f>IF(VLOOKUP($C95,REV!$C:$AA,12,0)-'TRADE IN'!$F95=0,"",(VLOOKUP($C95,REV!$C:$AA,12,0)-'TRADE IN'!$F95))</f>
        <v>6299</v>
      </c>
      <c r="O95" s="46">
        <f>IF(VLOOKUP($C95,REV!$C:$AA,13,0)-'TRADE IN'!$F95=0,"",(VLOOKUP($C95,REV!$C:$AA,13,0)-'TRADE IN'!$F95))</f>
        <v>6199</v>
      </c>
      <c r="P95" s="46">
        <f>IF(VLOOKUP($C95,REV!$C:$AA,14,0)-'TRADE IN'!$F95=0,"",(VLOOKUP($C95,REV!$C:$AA,14,0)-'TRADE IN'!$F95))</f>
        <v>6099</v>
      </c>
      <c r="Q95" s="46">
        <f>IF(VLOOKUP($C95,REV!$C:$AA,15,0)-'TRADE IN'!$F95=0,"",(VLOOKUP($C95,REV!$C:$AA,15,0)-'TRADE IN'!$F95))</f>
        <v>5399</v>
      </c>
      <c r="R95" s="46">
        <f>IF(VLOOKUP($C95,REV!$C:$AA,16,0)-'TRADE IN'!$F95=0,"",(VLOOKUP($C95,REV!$C:$AA,16,0)-'TRADE IN'!$F95))</f>
        <v>6199</v>
      </c>
      <c r="S95" s="46">
        <f>IF(VLOOKUP($C95,REV!$C:$AA,17,0)-'TRADE IN'!$F95=0,"",(VLOOKUP($C95,REV!$C:$AA,17,0)-'TRADE IN'!$F95))</f>
        <v>6099</v>
      </c>
      <c r="T95" s="46">
        <f>IF(VLOOKUP($C95,REV!$C:$AA,18,0)-'TRADE IN'!$F95=0,"",(VLOOKUP($C95,REV!$C:$AA,18,0)-'TRADE IN'!$F95))</f>
        <v>5399</v>
      </c>
      <c r="U95" s="46">
        <f>IF(VLOOKUP($C95,REV!$C:$AA,19,0)-'TRADE IN'!$F95=0,"",(VLOOKUP($C95,REV!$C:$AA,19,0)-'TRADE IN'!$F95))</f>
        <v>5399</v>
      </c>
      <c r="V95" s="46">
        <f>IF(VLOOKUP($C95,REV!$C:$AA,20,0)-'TRADE IN'!$F95=0,"",(VLOOKUP($C95,REV!$C:$AA,20,0)-'TRADE IN'!$F95))</f>
        <v>5399</v>
      </c>
      <c r="W95" s="46">
        <f>IF(VLOOKUP($C95,REV!$C:$AA,21,0)-'TRADE IN'!$F95=0,"",(VLOOKUP($C95,REV!$C:$AA,21,0)-'TRADE IN'!$F95))</f>
        <v>5399</v>
      </c>
      <c r="X95" s="46">
        <f>IF(VLOOKUP($C95,REV!$C:$AA,22,0)-'TRADE IN'!$F95=0,"",(VLOOKUP($C95,REV!$C:$AA,22,0)-'TRADE IN'!$F95))</f>
        <v>5299</v>
      </c>
      <c r="Y95" s="46">
        <f>IF(VLOOKUP($C95,REV!$C:$AA,23,0)-'TRADE IN'!$F95=0,"",(VLOOKUP($C95,REV!$C:$AA,23,0)-'TRADE IN'!$F95))</f>
        <v>4899</v>
      </c>
      <c r="Z95" s="46">
        <f>IF(VLOOKUP($C95,REV!$C:$AA,24,0)-'TRADE IN'!$F95=0,"",(VLOOKUP($C95,REV!$C:$AA,24,0)-'TRADE IN'!$F95))</f>
        <v>4899</v>
      </c>
      <c r="AA95" s="46">
        <f>IF(VLOOKUP($C95,REV!$C:$AA,25,0)-'TRADE IN'!$F95=0,"",(VLOOKUP($C95,REV!$C:$AA,25,0)-'TRADE IN'!$F95))</f>
        <v>4849</v>
      </c>
      <c r="AB95" s="45">
        <f>IF(VLOOKUP($C95,REV!$C:$AL,27,0)-'TRADE IN'!$F95=0,"",(VLOOKUP($C95,REV!$C:$AL,27,0)-'TRADE IN'!$F95))</f>
        <v>6299</v>
      </c>
      <c r="AC95" s="45">
        <f>IF(VLOOKUP($C95,REV!$C:$AL,28,0)-'TRADE IN'!$F95=0,"",(VLOOKUP($C95,REV!$C:$AL,28,0)-'TRADE IN'!$F95))</f>
        <v>6299</v>
      </c>
      <c r="AD95" s="45">
        <f>IF(VLOOKUP($C95,REV!$C:$AL,29,0)-'TRADE IN'!$F95=0,"",(VLOOKUP($C95,REV!$C:$AL,29,0)-'TRADE IN'!$F95))</f>
        <v>6199</v>
      </c>
      <c r="AE95" s="45">
        <f>IF(VLOOKUP($C95,REV!$C:$AL,30,0)-'TRADE IN'!$F95=0,"",(VLOOKUP($C95,REV!$C:$AL,30,0)-'TRADE IN'!$F95))</f>
        <v>6099</v>
      </c>
      <c r="AF95" s="45">
        <f>IF(VLOOKUP($C95,REV!$C:$AL,31,0)-'TRADE IN'!$F95=0,"",(VLOOKUP($C95,REV!$C:$AL,31,0)-'TRADE IN'!$F95))</f>
        <v>6099</v>
      </c>
      <c r="AG95" s="45">
        <f>IF(VLOOKUP($C95,REV!$C:$AL,31,0)-'TRADE IN'!$F95=0,"",(VLOOKUP($C95,REV!$C:$AL,31,0)-'TRADE IN'!$F95))</f>
        <v>6099</v>
      </c>
      <c r="AH95" s="45">
        <f>IF(VLOOKUP($C95,REV!$C:$AL,32,0)-'TRADE IN'!$F95=0,"",(VLOOKUP($C95,REV!$C:$AL,32,0)-'TRADE IN'!$F95))</f>
        <v>5399</v>
      </c>
      <c r="AI95" s="45">
        <f>IF(VLOOKUP($C95,REV!$C:$AL,33,0)-'TRADE IN'!$F95=0,"",(VLOOKUP($C95,REV!$C:$AL,33,0)-'TRADE IN'!$F95))</f>
        <v>5399</v>
      </c>
      <c r="AJ95" s="45">
        <f>IF(VLOOKUP($C95,REV!$C:$AL,34,0)-'TRADE IN'!$F95=0,"",(VLOOKUP($C95,REV!$C:$AL,34,0)-'TRADE IN'!$F95))</f>
        <v>5399</v>
      </c>
      <c r="AK95" s="45">
        <f>IF(VLOOKUP($C95,REV!$C:$AL,35,0)-'TRADE IN'!$F95=0,"",(VLOOKUP($C95,REV!$C:$AL,35,0)-'TRADE IN'!$F95))</f>
        <v>5399</v>
      </c>
      <c r="AL95" s="45">
        <f>IF(VLOOKUP($C95,REV!$C:$AL,36,0)-'TRADE IN'!$F95=0,"",(VLOOKUP($C95,REV!$C:$AL,36,0)-'TRADE IN'!$F95))</f>
        <v>4899</v>
      </c>
      <c r="AM95" s="45"/>
      <c r="AN95" s="45"/>
      <c r="AO95" s="45"/>
      <c r="AP95" s="45"/>
      <c r="AQ95" s="45"/>
      <c r="AR95" s="45"/>
      <c r="AS95" s="45"/>
      <c r="AT95" s="45"/>
      <c r="AU95" s="45"/>
      <c r="AV95" s="47"/>
      <c r="AW95" s="48" t="str">
        <f>REV!AW95</f>
        <v>13.08.2026</v>
      </c>
      <c r="AX95" s="149" t="s">
        <v>68</v>
      </c>
    </row>
    <row r="96" spans="1:50" ht="22.5" customHeight="1">
      <c r="A96" s="41" t="s">
        <v>63</v>
      </c>
      <c r="B96" s="42" t="s">
        <v>64</v>
      </c>
      <c r="C96" s="43">
        <v>4017483</v>
      </c>
      <c r="D96" s="44" t="s">
        <v>167</v>
      </c>
      <c r="E96" s="44" t="s">
        <v>176</v>
      </c>
      <c r="F96" s="45">
        <v>100</v>
      </c>
      <c r="G96" s="45"/>
      <c r="H96" s="45"/>
      <c r="I96" s="45"/>
      <c r="J96" s="46">
        <f>IF(VLOOKUP($C96,REV!$C:$AA,8,0)-'TRADE IN'!$F96=0,"",(VLOOKUP($C96,REV!$C:$AA,8,0)-'TRADE IN'!$F96))</f>
        <v>6299</v>
      </c>
      <c r="K96" s="46">
        <f>IF(VLOOKUP($C96,REV!$C:$AA,9,0)-'TRADE IN'!$F96=0,"",(VLOOKUP($C96,REV!$C:$AA,9,0)-'TRADE IN'!$F96))</f>
        <v>6299</v>
      </c>
      <c r="L96" s="46">
        <f>IF(VLOOKUP($C96,REV!$C:$AA,10,0)-'TRADE IN'!$F96=0,"",(VLOOKUP($C96,REV!$C:$AA,10,0)-'TRADE IN'!$F96))</f>
        <v>6299</v>
      </c>
      <c r="M96" s="46">
        <f>IF(VLOOKUP($C96,REV!$C:$AA,11,0)-'TRADE IN'!$F96=0,"",(VLOOKUP($C96,REV!$C:$AA,11,0)-'TRADE IN'!$F96))</f>
        <v>6299</v>
      </c>
      <c r="N96" s="46">
        <f>IF(VLOOKUP($C96,REV!$C:$AA,12,0)-'TRADE IN'!$F96=0,"",(VLOOKUP($C96,REV!$C:$AA,12,0)-'TRADE IN'!$F96))</f>
        <v>6299</v>
      </c>
      <c r="O96" s="46">
        <f>IF(VLOOKUP($C96,REV!$C:$AA,13,0)-'TRADE IN'!$F96=0,"",(VLOOKUP($C96,REV!$C:$AA,13,0)-'TRADE IN'!$F96))</f>
        <v>6199</v>
      </c>
      <c r="P96" s="46">
        <f>IF(VLOOKUP($C96,REV!$C:$AA,14,0)-'TRADE IN'!$F96=0,"",(VLOOKUP($C96,REV!$C:$AA,14,0)-'TRADE IN'!$F96))</f>
        <v>6099</v>
      </c>
      <c r="Q96" s="46">
        <f>IF(VLOOKUP($C96,REV!$C:$AA,15,0)-'TRADE IN'!$F96=0,"",(VLOOKUP($C96,REV!$C:$AA,15,0)-'TRADE IN'!$F96))</f>
        <v>5399</v>
      </c>
      <c r="R96" s="46">
        <f>IF(VLOOKUP($C96,REV!$C:$AA,16,0)-'TRADE IN'!$F96=0,"",(VLOOKUP($C96,REV!$C:$AA,16,0)-'TRADE IN'!$F96))</f>
        <v>6199</v>
      </c>
      <c r="S96" s="46">
        <f>IF(VLOOKUP($C96,REV!$C:$AA,17,0)-'TRADE IN'!$F96=0,"",(VLOOKUP($C96,REV!$C:$AA,17,0)-'TRADE IN'!$F96))</f>
        <v>6099</v>
      </c>
      <c r="T96" s="46">
        <f>IF(VLOOKUP($C96,REV!$C:$AA,18,0)-'TRADE IN'!$F96=0,"",(VLOOKUP($C96,REV!$C:$AA,18,0)-'TRADE IN'!$F96))</f>
        <v>5399</v>
      </c>
      <c r="U96" s="46">
        <f>IF(VLOOKUP($C96,REV!$C:$AA,19,0)-'TRADE IN'!$F96=0,"",(VLOOKUP($C96,REV!$C:$AA,19,0)-'TRADE IN'!$F96))</f>
        <v>5399</v>
      </c>
      <c r="V96" s="46">
        <f>IF(VLOOKUP($C96,REV!$C:$AA,20,0)-'TRADE IN'!$F96=0,"",(VLOOKUP($C96,REV!$C:$AA,20,0)-'TRADE IN'!$F96))</f>
        <v>5399</v>
      </c>
      <c r="W96" s="46">
        <f>IF(VLOOKUP($C96,REV!$C:$AA,21,0)-'TRADE IN'!$F96=0,"",(VLOOKUP($C96,REV!$C:$AA,21,0)-'TRADE IN'!$F96))</f>
        <v>5399</v>
      </c>
      <c r="X96" s="46">
        <f>IF(VLOOKUP($C96,REV!$C:$AA,22,0)-'TRADE IN'!$F96=0,"",(VLOOKUP($C96,REV!$C:$AA,22,0)-'TRADE IN'!$F96))</f>
        <v>5299</v>
      </c>
      <c r="Y96" s="46">
        <f>IF(VLOOKUP($C96,REV!$C:$AA,23,0)-'TRADE IN'!$F96=0,"",(VLOOKUP($C96,REV!$C:$AA,23,0)-'TRADE IN'!$F96))</f>
        <v>4899</v>
      </c>
      <c r="Z96" s="46">
        <f>IF(VLOOKUP($C96,REV!$C:$AA,24,0)-'TRADE IN'!$F96=0,"",(VLOOKUP($C96,REV!$C:$AA,24,0)-'TRADE IN'!$F96))</f>
        <v>4899</v>
      </c>
      <c r="AA96" s="46">
        <f>IF(VLOOKUP($C96,REV!$C:$AA,25,0)-'TRADE IN'!$F96=0,"",(VLOOKUP($C96,REV!$C:$AA,25,0)-'TRADE IN'!$F96))</f>
        <v>4849</v>
      </c>
      <c r="AB96" s="45">
        <f>IF(VLOOKUP($C96,REV!$C:$AL,27,0)-'TRADE IN'!$F96=0,"",(VLOOKUP($C96,REV!$C:$AL,27,0)-'TRADE IN'!$F96))</f>
        <v>6299</v>
      </c>
      <c r="AC96" s="45">
        <f>IF(VLOOKUP($C96,REV!$C:$AL,28,0)-'TRADE IN'!$F96=0,"",(VLOOKUP($C96,REV!$C:$AL,28,0)-'TRADE IN'!$F96))</f>
        <v>6299</v>
      </c>
      <c r="AD96" s="45">
        <f>IF(VLOOKUP($C96,REV!$C:$AL,29,0)-'TRADE IN'!$F96=0,"",(VLOOKUP($C96,REV!$C:$AL,29,0)-'TRADE IN'!$F96))</f>
        <v>6199</v>
      </c>
      <c r="AE96" s="45">
        <f>IF(VLOOKUP($C96,REV!$C:$AL,30,0)-'TRADE IN'!$F96=0,"",(VLOOKUP($C96,REV!$C:$AL,30,0)-'TRADE IN'!$F96))</f>
        <v>6099</v>
      </c>
      <c r="AF96" s="45">
        <f>IF(VLOOKUP($C96,REV!$C:$AL,31,0)-'TRADE IN'!$F96=0,"",(VLOOKUP($C96,REV!$C:$AL,31,0)-'TRADE IN'!$F96))</f>
        <v>6099</v>
      </c>
      <c r="AG96" s="45">
        <f>IF(VLOOKUP($C96,REV!$C:$AL,31,0)-'TRADE IN'!$F96=0,"",(VLOOKUP($C96,REV!$C:$AL,31,0)-'TRADE IN'!$F96))</f>
        <v>6099</v>
      </c>
      <c r="AH96" s="45">
        <f>IF(VLOOKUP($C96,REV!$C:$AL,32,0)-'TRADE IN'!$F96=0,"",(VLOOKUP($C96,REV!$C:$AL,32,0)-'TRADE IN'!$F96))</f>
        <v>5399</v>
      </c>
      <c r="AI96" s="45">
        <f>IF(VLOOKUP($C96,REV!$C:$AL,33,0)-'TRADE IN'!$F96=0,"",(VLOOKUP($C96,REV!$C:$AL,33,0)-'TRADE IN'!$F96))</f>
        <v>5399</v>
      </c>
      <c r="AJ96" s="45">
        <f>IF(VLOOKUP($C96,REV!$C:$AL,34,0)-'TRADE IN'!$F96=0,"",(VLOOKUP($C96,REV!$C:$AL,34,0)-'TRADE IN'!$F96))</f>
        <v>5399</v>
      </c>
      <c r="AK96" s="45">
        <f>IF(VLOOKUP($C96,REV!$C:$AL,35,0)-'TRADE IN'!$F96=0,"",(VLOOKUP($C96,REV!$C:$AL,35,0)-'TRADE IN'!$F96))</f>
        <v>5399</v>
      </c>
      <c r="AL96" s="45">
        <f>IF(VLOOKUP($C96,REV!$C:$AL,36,0)-'TRADE IN'!$F96=0,"",(VLOOKUP($C96,REV!$C:$AL,36,0)-'TRADE IN'!$F96))</f>
        <v>4899</v>
      </c>
      <c r="AM96" s="45"/>
      <c r="AN96" s="45"/>
      <c r="AO96" s="45"/>
      <c r="AP96" s="45"/>
      <c r="AQ96" s="45"/>
      <c r="AR96" s="45"/>
      <c r="AS96" s="45"/>
      <c r="AT96" s="45"/>
      <c r="AU96" s="45"/>
      <c r="AV96" s="47"/>
      <c r="AW96" s="48" t="str">
        <f>REV!AW96</f>
        <v>13.08.2026</v>
      </c>
      <c r="AX96" s="149" t="s">
        <v>68</v>
      </c>
    </row>
    <row r="97" spans="1:50" ht="22.5" customHeight="1">
      <c r="A97" s="41" t="s">
        <v>63</v>
      </c>
      <c r="B97" s="42" t="s">
        <v>64</v>
      </c>
      <c r="C97" s="43">
        <v>4017484</v>
      </c>
      <c r="D97" s="44" t="s">
        <v>177</v>
      </c>
      <c r="E97" s="44" t="s">
        <v>178</v>
      </c>
      <c r="F97" s="45">
        <v>100</v>
      </c>
      <c r="G97" s="45"/>
      <c r="H97" s="45"/>
      <c r="I97" s="45"/>
      <c r="J97" s="46">
        <f>IF(VLOOKUP($C97,REV!$C:$AA,8,0)-'TRADE IN'!$F97=0,"",(VLOOKUP($C97,REV!$C:$AA,8,0)-'TRADE IN'!$F97))</f>
        <v>7999</v>
      </c>
      <c r="K97" s="46">
        <f>IF(VLOOKUP($C97,REV!$C:$AA,9,0)-'TRADE IN'!$F97=0,"",(VLOOKUP($C97,REV!$C:$AA,9,0)-'TRADE IN'!$F97))</f>
        <v>7999</v>
      </c>
      <c r="L97" s="46">
        <f>IF(VLOOKUP($C97,REV!$C:$AA,10,0)-'TRADE IN'!$F97=0,"",(VLOOKUP($C97,REV!$C:$AA,10,0)-'TRADE IN'!$F97))</f>
        <v>7999</v>
      </c>
      <c r="M97" s="46">
        <f>IF(VLOOKUP($C97,REV!$C:$AA,11,0)-'TRADE IN'!$F97=0,"",(VLOOKUP($C97,REV!$C:$AA,11,0)-'TRADE IN'!$F97))</f>
        <v>7999</v>
      </c>
      <c r="N97" s="46">
        <f>IF(VLOOKUP($C97,REV!$C:$AA,12,0)-'TRADE IN'!$F97=0,"",(VLOOKUP($C97,REV!$C:$AA,12,0)-'TRADE IN'!$F97))</f>
        <v>7999</v>
      </c>
      <c r="O97" s="46">
        <f>IF(VLOOKUP($C97,REV!$C:$AA,13,0)-'TRADE IN'!$F97=0,"",(VLOOKUP($C97,REV!$C:$AA,13,0)-'TRADE IN'!$F97))</f>
        <v>7899</v>
      </c>
      <c r="P97" s="46">
        <f>IF(VLOOKUP($C97,REV!$C:$AA,14,0)-'TRADE IN'!$F97=0,"",(VLOOKUP($C97,REV!$C:$AA,14,0)-'TRADE IN'!$F97))</f>
        <v>7799</v>
      </c>
      <c r="Q97" s="46">
        <f>IF(VLOOKUP($C97,REV!$C:$AA,15,0)-'TRADE IN'!$F97=0,"",(VLOOKUP($C97,REV!$C:$AA,15,0)-'TRADE IN'!$F97))</f>
        <v>7699</v>
      </c>
      <c r="R97" s="46">
        <f>IF(VLOOKUP($C97,REV!$C:$AA,16,0)-'TRADE IN'!$F97=0,"",(VLOOKUP($C97,REV!$C:$AA,16,0)-'TRADE IN'!$F97))</f>
        <v>7899</v>
      </c>
      <c r="S97" s="46">
        <f>IF(VLOOKUP($C97,REV!$C:$AA,17,0)-'TRADE IN'!$F97=0,"",(VLOOKUP($C97,REV!$C:$AA,17,0)-'TRADE IN'!$F97))</f>
        <v>7799</v>
      </c>
      <c r="T97" s="46">
        <f>IF(VLOOKUP($C97,REV!$C:$AA,18,0)-'TRADE IN'!$F97=0,"",(VLOOKUP($C97,REV!$C:$AA,18,0)-'TRADE IN'!$F97))</f>
        <v>7699</v>
      </c>
      <c r="U97" s="46">
        <f>IF(VLOOKUP($C97,REV!$C:$AA,19,0)-'TRADE IN'!$F97=0,"",(VLOOKUP($C97,REV!$C:$AA,19,0)-'TRADE IN'!$F97))</f>
        <v>7699</v>
      </c>
      <c r="V97" s="46">
        <f>IF(VLOOKUP($C97,REV!$C:$AA,20,0)-'TRADE IN'!$F97=0,"",(VLOOKUP($C97,REV!$C:$AA,20,0)-'TRADE IN'!$F97))</f>
        <v>7699</v>
      </c>
      <c r="W97" s="46">
        <f>IF(VLOOKUP($C97,REV!$C:$AA,21,0)-'TRADE IN'!$F97=0,"",(VLOOKUP($C97,REV!$C:$AA,21,0)-'TRADE IN'!$F97))</f>
        <v>7699</v>
      </c>
      <c r="X97" s="46">
        <f>IF(VLOOKUP($C97,REV!$C:$AA,22,0)-'TRADE IN'!$F97=0,"",(VLOOKUP($C97,REV!$C:$AA,22,0)-'TRADE IN'!$F97))</f>
        <v>7599</v>
      </c>
      <c r="Y97" s="46">
        <f>IF(VLOOKUP($C97,REV!$C:$AA,23,0)-'TRADE IN'!$F97=0,"",(VLOOKUP($C97,REV!$C:$AA,23,0)-'TRADE IN'!$F97))</f>
        <v>7399</v>
      </c>
      <c r="Z97" s="46">
        <f>IF(VLOOKUP($C97,REV!$C:$AA,24,0)-'TRADE IN'!$F97=0,"",(VLOOKUP($C97,REV!$C:$AA,24,0)-'TRADE IN'!$F97))</f>
        <v>7399</v>
      </c>
      <c r="AA97" s="46">
        <f>IF(VLOOKUP($C97,REV!$C:$AA,25,0)-'TRADE IN'!$F97=0,"",(VLOOKUP($C97,REV!$C:$AA,25,0)-'TRADE IN'!$F97))</f>
        <v>7399</v>
      </c>
      <c r="AB97" s="45"/>
      <c r="AC97" s="45"/>
      <c r="AD97" s="45"/>
      <c r="AE97" s="45"/>
      <c r="AF97" s="45"/>
      <c r="AG97" s="45"/>
      <c r="AH97" s="45"/>
      <c r="AI97" s="45"/>
      <c r="AJ97" s="45"/>
      <c r="AK97" s="45"/>
      <c r="AL97" s="45"/>
      <c r="AM97" s="45"/>
      <c r="AN97" s="45"/>
      <c r="AO97" s="45"/>
      <c r="AP97" s="45"/>
      <c r="AQ97" s="45"/>
      <c r="AR97" s="45"/>
      <c r="AS97" s="45"/>
      <c r="AT97" s="45"/>
      <c r="AU97" s="45"/>
      <c r="AV97" s="47"/>
      <c r="AW97" s="48" t="str">
        <f>REV!AW97</f>
        <v>13.08.2026</v>
      </c>
      <c r="AX97" s="149" t="s">
        <v>68</v>
      </c>
    </row>
    <row r="98" spans="1:50" ht="22.5" customHeight="1">
      <c r="A98" s="41" t="s">
        <v>63</v>
      </c>
      <c r="B98" s="42" t="s">
        <v>64</v>
      </c>
      <c r="C98" s="43">
        <v>4017506</v>
      </c>
      <c r="D98" s="44" t="s">
        <v>177</v>
      </c>
      <c r="E98" s="44" t="s">
        <v>179</v>
      </c>
      <c r="F98" s="45">
        <v>100</v>
      </c>
      <c r="G98" s="45"/>
      <c r="H98" s="45"/>
      <c r="I98" s="45"/>
      <c r="J98" s="46">
        <f>IF(VLOOKUP($C98,REV!$C:$AA,8,0)-'TRADE IN'!$F98=0,"",(VLOOKUP($C98,REV!$C:$AA,8,0)-'TRADE IN'!$F98))</f>
        <v>7999</v>
      </c>
      <c r="K98" s="46">
        <f>IF(VLOOKUP($C98,REV!$C:$AA,9,0)-'TRADE IN'!$F98=0,"",(VLOOKUP($C98,REV!$C:$AA,9,0)-'TRADE IN'!$F98))</f>
        <v>7999</v>
      </c>
      <c r="L98" s="46">
        <f>IF(VLOOKUP($C98,REV!$C:$AA,10,0)-'TRADE IN'!$F98=0,"",(VLOOKUP($C98,REV!$C:$AA,10,0)-'TRADE IN'!$F98))</f>
        <v>7999</v>
      </c>
      <c r="M98" s="46">
        <f>IF(VLOOKUP($C98,REV!$C:$AA,11,0)-'TRADE IN'!$F98=0,"",(VLOOKUP($C98,REV!$C:$AA,11,0)-'TRADE IN'!$F98))</f>
        <v>7999</v>
      </c>
      <c r="N98" s="46">
        <f>IF(VLOOKUP($C98,REV!$C:$AA,12,0)-'TRADE IN'!$F98=0,"",(VLOOKUP($C98,REV!$C:$AA,12,0)-'TRADE IN'!$F98))</f>
        <v>7999</v>
      </c>
      <c r="O98" s="46">
        <f>IF(VLOOKUP($C98,REV!$C:$AA,13,0)-'TRADE IN'!$F98=0,"",(VLOOKUP($C98,REV!$C:$AA,13,0)-'TRADE IN'!$F98))</f>
        <v>7899</v>
      </c>
      <c r="P98" s="46">
        <f>IF(VLOOKUP($C98,REV!$C:$AA,14,0)-'TRADE IN'!$F98=0,"",(VLOOKUP($C98,REV!$C:$AA,14,0)-'TRADE IN'!$F98))</f>
        <v>7799</v>
      </c>
      <c r="Q98" s="46">
        <f>IF(VLOOKUP($C98,REV!$C:$AA,15,0)-'TRADE IN'!$F98=0,"",(VLOOKUP($C98,REV!$C:$AA,15,0)-'TRADE IN'!$F98))</f>
        <v>7699</v>
      </c>
      <c r="R98" s="46">
        <f>IF(VLOOKUP($C98,REV!$C:$AA,16,0)-'TRADE IN'!$F98=0,"",(VLOOKUP($C98,REV!$C:$AA,16,0)-'TRADE IN'!$F98))</f>
        <v>7899</v>
      </c>
      <c r="S98" s="46">
        <f>IF(VLOOKUP($C98,REV!$C:$AA,17,0)-'TRADE IN'!$F98=0,"",(VLOOKUP($C98,REV!$C:$AA,17,0)-'TRADE IN'!$F98))</f>
        <v>7799</v>
      </c>
      <c r="T98" s="46">
        <f>IF(VLOOKUP($C98,REV!$C:$AA,18,0)-'TRADE IN'!$F98=0,"",(VLOOKUP($C98,REV!$C:$AA,18,0)-'TRADE IN'!$F98))</f>
        <v>7699</v>
      </c>
      <c r="U98" s="46">
        <f>IF(VLOOKUP($C98,REV!$C:$AA,19,0)-'TRADE IN'!$F98=0,"",(VLOOKUP($C98,REV!$C:$AA,19,0)-'TRADE IN'!$F98))</f>
        <v>7699</v>
      </c>
      <c r="V98" s="46">
        <f>IF(VLOOKUP($C98,REV!$C:$AA,20,0)-'TRADE IN'!$F98=0,"",(VLOOKUP($C98,REV!$C:$AA,20,0)-'TRADE IN'!$F98))</f>
        <v>7699</v>
      </c>
      <c r="W98" s="46">
        <f>IF(VLOOKUP($C98,REV!$C:$AA,21,0)-'TRADE IN'!$F98=0,"",(VLOOKUP($C98,REV!$C:$AA,21,0)-'TRADE IN'!$F98))</f>
        <v>7699</v>
      </c>
      <c r="X98" s="46">
        <f>IF(VLOOKUP($C98,REV!$C:$AA,22,0)-'TRADE IN'!$F98=0,"",(VLOOKUP($C98,REV!$C:$AA,22,0)-'TRADE IN'!$F98))</f>
        <v>7599</v>
      </c>
      <c r="Y98" s="46">
        <f>IF(VLOOKUP($C98,REV!$C:$AA,23,0)-'TRADE IN'!$F98=0,"",(VLOOKUP($C98,REV!$C:$AA,23,0)-'TRADE IN'!$F98))</f>
        <v>7399</v>
      </c>
      <c r="Z98" s="46">
        <f>IF(VLOOKUP($C98,REV!$C:$AA,24,0)-'TRADE IN'!$F98=0,"",(VLOOKUP($C98,REV!$C:$AA,24,0)-'TRADE IN'!$F98))</f>
        <v>7399</v>
      </c>
      <c r="AA98" s="46">
        <f>IF(VLOOKUP($C98,REV!$C:$AA,25,0)-'TRADE IN'!$F98=0,"",(VLOOKUP($C98,REV!$C:$AA,25,0)-'TRADE IN'!$F98))</f>
        <v>7399</v>
      </c>
      <c r="AB98" s="45"/>
      <c r="AC98" s="45"/>
      <c r="AD98" s="45"/>
      <c r="AE98" s="45"/>
      <c r="AF98" s="45"/>
      <c r="AG98" s="45"/>
      <c r="AH98" s="45"/>
      <c r="AI98" s="45"/>
      <c r="AJ98" s="45"/>
      <c r="AK98" s="45"/>
      <c r="AL98" s="45"/>
      <c r="AM98" s="45"/>
      <c r="AN98" s="45"/>
      <c r="AO98" s="45"/>
      <c r="AP98" s="45"/>
      <c r="AQ98" s="45"/>
      <c r="AR98" s="45"/>
      <c r="AS98" s="45"/>
      <c r="AT98" s="45"/>
      <c r="AU98" s="45"/>
      <c r="AV98" s="47"/>
      <c r="AW98" s="48" t="str">
        <f>REV!AW98</f>
        <v>13.08.2026</v>
      </c>
      <c r="AX98" s="149" t="s">
        <v>68</v>
      </c>
    </row>
    <row r="99" spans="1:50" ht="22.5" customHeight="1">
      <c r="A99" s="41" t="s">
        <v>63</v>
      </c>
      <c r="B99" s="42" t="s">
        <v>64</v>
      </c>
      <c r="C99" s="43">
        <v>4017497</v>
      </c>
      <c r="D99" s="44" t="s">
        <v>180</v>
      </c>
      <c r="E99" s="44" t="s">
        <v>181</v>
      </c>
      <c r="F99" s="45">
        <v>1000</v>
      </c>
      <c r="G99" s="45"/>
      <c r="H99" s="45"/>
      <c r="I99" s="45"/>
      <c r="J99" s="46">
        <f>IF(VLOOKUP($C99,REV!$C:$AA,8,0)-'TRADE IN'!$F99=0,"",(VLOOKUP($C99,REV!$C:$AA,8,0)-'TRADE IN'!$F99))</f>
        <v>6699</v>
      </c>
      <c r="K99" s="46">
        <f>IF(VLOOKUP($C99,REV!$C:$AA,9,0)-'TRADE IN'!$F99=0,"",(VLOOKUP($C99,REV!$C:$AA,9,0)-'TRADE IN'!$F99))</f>
        <v>6699</v>
      </c>
      <c r="L99" s="46">
        <f>IF(VLOOKUP($C99,REV!$C:$AA,10,0)-'TRADE IN'!$F99=0,"",(VLOOKUP($C99,REV!$C:$AA,10,0)-'TRADE IN'!$F99))</f>
        <v>6699</v>
      </c>
      <c r="M99" s="46">
        <f>IF(VLOOKUP($C99,REV!$C:$AA,11,0)-'TRADE IN'!$F99=0,"",(VLOOKUP($C99,REV!$C:$AA,11,0)-'TRADE IN'!$F99))</f>
        <v>6699</v>
      </c>
      <c r="N99" s="46">
        <f>IF(VLOOKUP($C99,REV!$C:$AA,12,0)-'TRADE IN'!$F99=0,"",(VLOOKUP($C99,REV!$C:$AA,12,0)-'TRADE IN'!$F99))</f>
        <v>6699</v>
      </c>
      <c r="O99" s="46">
        <f>IF(VLOOKUP($C99,REV!$C:$AA,13,0)-'TRADE IN'!$F99=0,"",(VLOOKUP($C99,REV!$C:$AA,13,0)-'TRADE IN'!$F99))</f>
        <v>6599</v>
      </c>
      <c r="P99" s="46">
        <f>IF(VLOOKUP($C99,REV!$C:$AA,14,0)-'TRADE IN'!$F99=0,"",(VLOOKUP($C99,REV!$C:$AA,14,0)-'TRADE IN'!$F99))</f>
        <v>6499</v>
      </c>
      <c r="Q99" s="46">
        <f>IF(VLOOKUP($C99,REV!$C:$AA,15,0)-'TRADE IN'!$F99=0,"",(VLOOKUP($C99,REV!$C:$AA,15,0)-'TRADE IN'!$F99))</f>
        <v>6399</v>
      </c>
      <c r="R99" s="46">
        <f>IF(VLOOKUP($C99,REV!$C:$AA,16,0)-'TRADE IN'!$F99=0,"",(VLOOKUP($C99,REV!$C:$AA,16,0)-'TRADE IN'!$F99))</f>
        <v>6599</v>
      </c>
      <c r="S99" s="46">
        <f>IF(VLOOKUP($C99,REV!$C:$AA,17,0)-'TRADE IN'!$F99=0,"",(VLOOKUP($C99,REV!$C:$AA,17,0)-'TRADE IN'!$F99))</f>
        <v>6499</v>
      </c>
      <c r="T99" s="46">
        <f>IF(VLOOKUP($C99,REV!$C:$AA,18,0)-'TRADE IN'!$F99=0,"",(VLOOKUP($C99,REV!$C:$AA,18,0)-'TRADE IN'!$F99))</f>
        <v>6399</v>
      </c>
      <c r="U99" s="46">
        <f>IF(VLOOKUP($C99,REV!$C:$AA,19,0)-'TRADE IN'!$F99=0,"",(VLOOKUP($C99,REV!$C:$AA,19,0)-'TRADE IN'!$F99))</f>
        <v>6399</v>
      </c>
      <c r="V99" s="46">
        <f>IF(VLOOKUP($C99,REV!$C:$AA,20,0)-'TRADE IN'!$F99=0,"",(VLOOKUP($C99,REV!$C:$AA,20,0)-'TRADE IN'!$F99))</f>
        <v>6399</v>
      </c>
      <c r="W99" s="46">
        <f>IF(VLOOKUP($C99,REV!$C:$AA,21,0)-'TRADE IN'!$F99=0,"",(VLOOKUP($C99,REV!$C:$AA,21,0)-'TRADE IN'!$F99))</f>
        <v>6399</v>
      </c>
      <c r="X99" s="46">
        <f>IF(VLOOKUP($C99,REV!$C:$AA,22,0)-'TRADE IN'!$F99=0,"",(VLOOKUP($C99,REV!$C:$AA,22,0)-'TRADE IN'!$F99))</f>
        <v>6299</v>
      </c>
      <c r="Y99" s="46">
        <f>IF(VLOOKUP($C99,REV!$C:$AA,23,0)-'TRADE IN'!$F99=0,"",(VLOOKUP($C99,REV!$C:$AA,23,0)-'TRADE IN'!$F99))</f>
        <v>5499</v>
      </c>
      <c r="Z99" s="46">
        <f>IF(VLOOKUP($C99,REV!$C:$AA,24,0)-'TRADE IN'!$F99=0,"",(VLOOKUP($C99,REV!$C:$AA,24,0)-'TRADE IN'!$F99))</f>
        <v>5499</v>
      </c>
      <c r="AA99" s="46">
        <f>IF(VLOOKUP($C99,REV!$C:$AA,25,0)-'TRADE IN'!$F99=0,"",(VLOOKUP($C99,REV!$C:$AA,25,0)-'TRADE IN'!$F99))</f>
        <v>4499</v>
      </c>
      <c r="AB99" s="45"/>
      <c r="AC99" s="45"/>
      <c r="AD99" s="45"/>
      <c r="AE99" s="45"/>
      <c r="AF99" s="45"/>
      <c r="AG99" s="45"/>
      <c r="AH99" s="45"/>
      <c r="AI99" s="45"/>
      <c r="AJ99" s="45"/>
      <c r="AK99" s="45"/>
      <c r="AL99" s="45"/>
      <c r="AM99" s="45"/>
      <c r="AN99" s="45"/>
      <c r="AO99" s="45"/>
      <c r="AP99" s="45"/>
      <c r="AQ99" s="45"/>
      <c r="AR99" s="45"/>
      <c r="AS99" s="45"/>
      <c r="AT99" s="45"/>
      <c r="AU99" s="45"/>
      <c r="AV99" s="47"/>
      <c r="AW99" s="48" t="str">
        <f>REV!AW99</f>
        <v>13.08.2026</v>
      </c>
      <c r="AX99" s="149" t="s">
        <v>68</v>
      </c>
    </row>
    <row r="100" spans="1:50" ht="22.5" customHeight="1">
      <c r="A100" s="41" t="s">
        <v>63</v>
      </c>
      <c r="B100" s="42" t="s">
        <v>64</v>
      </c>
      <c r="C100" s="43">
        <v>4017498</v>
      </c>
      <c r="D100" s="44" t="s">
        <v>180</v>
      </c>
      <c r="E100" s="44" t="s">
        <v>182</v>
      </c>
      <c r="F100" s="45">
        <v>1000</v>
      </c>
      <c r="G100" s="45"/>
      <c r="H100" s="45"/>
      <c r="I100" s="45"/>
      <c r="J100" s="46">
        <f>IF(VLOOKUP($C100,REV!$C:$AA,8,0)-'TRADE IN'!$F100=0,"",(VLOOKUP($C100,REV!$C:$AA,8,0)-'TRADE IN'!$F100))</f>
        <v>6699</v>
      </c>
      <c r="K100" s="46">
        <f>IF(VLOOKUP($C100,REV!$C:$AA,9,0)-'TRADE IN'!$F100=0,"",(VLOOKUP($C100,REV!$C:$AA,9,0)-'TRADE IN'!$F100))</f>
        <v>6699</v>
      </c>
      <c r="L100" s="46">
        <f>IF(VLOOKUP($C100,REV!$C:$AA,10,0)-'TRADE IN'!$F100=0,"",(VLOOKUP($C100,REV!$C:$AA,10,0)-'TRADE IN'!$F100))</f>
        <v>6699</v>
      </c>
      <c r="M100" s="46">
        <f>IF(VLOOKUP($C100,REV!$C:$AA,11,0)-'TRADE IN'!$F100=0,"",(VLOOKUP($C100,REV!$C:$AA,11,0)-'TRADE IN'!$F100))</f>
        <v>6699</v>
      </c>
      <c r="N100" s="46">
        <f>IF(VLOOKUP($C100,REV!$C:$AA,12,0)-'TRADE IN'!$F100=0,"",(VLOOKUP($C100,REV!$C:$AA,12,0)-'TRADE IN'!$F100))</f>
        <v>6699</v>
      </c>
      <c r="O100" s="46">
        <f>IF(VLOOKUP($C100,REV!$C:$AA,13,0)-'TRADE IN'!$F100=0,"",(VLOOKUP($C100,REV!$C:$AA,13,0)-'TRADE IN'!$F100))</f>
        <v>6599</v>
      </c>
      <c r="P100" s="46">
        <f>IF(VLOOKUP($C100,REV!$C:$AA,14,0)-'TRADE IN'!$F100=0,"",(VLOOKUP($C100,REV!$C:$AA,14,0)-'TRADE IN'!$F100))</f>
        <v>6499</v>
      </c>
      <c r="Q100" s="46">
        <f>IF(VLOOKUP($C100,REV!$C:$AA,15,0)-'TRADE IN'!$F100=0,"",(VLOOKUP($C100,REV!$C:$AA,15,0)-'TRADE IN'!$F100))</f>
        <v>6399</v>
      </c>
      <c r="R100" s="46">
        <f>IF(VLOOKUP($C100,REV!$C:$AA,16,0)-'TRADE IN'!$F100=0,"",(VLOOKUP($C100,REV!$C:$AA,16,0)-'TRADE IN'!$F100))</f>
        <v>6599</v>
      </c>
      <c r="S100" s="46">
        <f>IF(VLOOKUP($C100,REV!$C:$AA,17,0)-'TRADE IN'!$F100=0,"",(VLOOKUP($C100,REV!$C:$AA,17,0)-'TRADE IN'!$F100))</f>
        <v>6499</v>
      </c>
      <c r="T100" s="46">
        <f>IF(VLOOKUP($C100,REV!$C:$AA,18,0)-'TRADE IN'!$F100=0,"",(VLOOKUP($C100,REV!$C:$AA,18,0)-'TRADE IN'!$F100))</f>
        <v>6399</v>
      </c>
      <c r="U100" s="46">
        <f>IF(VLOOKUP($C100,REV!$C:$AA,19,0)-'TRADE IN'!$F100=0,"",(VLOOKUP($C100,REV!$C:$AA,19,0)-'TRADE IN'!$F100))</f>
        <v>6399</v>
      </c>
      <c r="V100" s="46">
        <f>IF(VLOOKUP($C100,REV!$C:$AA,20,0)-'TRADE IN'!$F100=0,"",(VLOOKUP($C100,REV!$C:$AA,20,0)-'TRADE IN'!$F100))</f>
        <v>6399</v>
      </c>
      <c r="W100" s="46">
        <f>IF(VLOOKUP($C100,REV!$C:$AA,21,0)-'TRADE IN'!$F100=0,"",(VLOOKUP($C100,REV!$C:$AA,21,0)-'TRADE IN'!$F100))</f>
        <v>6399</v>
      </c>
      <c r="X100" s="46">
        <f>IF(VLOOKUP($C100,REV!$C:$AA,22,0)-'TRADE IN'!$F100=0,"",(VLOOKUP($C100,REV!$C:$AA,22,0)-'TRADE IN'!$F100))</f>
        <v>6299</v>
      </c>
      <c r="Y100" s="46">
        <f>IF(VLOOKUP($C100,REV!$C:$AA,23,0)-'TRADE IN'!$F100=0,"",(VLOOKUP($C100,REV!$C:$AA,23,0)-'TRADE IN'!$F100))</f>
        <v>5499</v>
      </c>
      <c r="Z100" s="46">
        <f>IF(VLOOKUP($C100,REV!$C:$AA,24,0)-'TRADE IN'!$F100=0,"",(VLOOKUP($C100,REV!$C:$AA,24,0)-'TRADE IN'!$F100))</f>
        <v>5499</v>
      </c>
      <c r="AA100" s="46">
        <f>IF(VLOOKUP($C100,REV!$C:$AA,25,0)-'TRADE IN'!$F100=0,"",(VLOOKUP($C100,REV!$C:$AA,25,0)-'TRADE IN'!$F100))</f>
        <v>4499</v>
      </c>
      <c r="AB100" s="45"/>
      <c r="AC100" s="45"/>
      <c r="AD100" s="45"/>
      <c r="AE100" s="45"/>
      <c r="AF100" s="45"/>
      <c r="AG100" s="45"/>
      <c r="AH100" s="45"/>
      <c r="AI100" s="45"/>
      <c r="AJ100" s="45"/>
      <c r="AK100" s="45"/>
      <c r="AL100" s="45"/>
      <c r="AM100" s="45"/>
      <c r="AN100" s="45"/>
      <c r="AO100" s="45"/>
      <c r="AP100" s="45"/>
      <c r="AQ100" s="45"/>
      <c r="AR100" s="45"/>
      <c r="AS100" s="45"/>
      <c r="AT100" s="45"/>
      <c r="AU100" s="45"/>
      <c r="AV100" s="47"/>
      <c r="AW100" s="48" t="str">
        <f>REV!AW100</f>
        <v>13.08.2026</v>
      </c>
      <c r="AX100" s="149" t="s">
        <v>68</v>
      </c>
    </row>
    <row r="101" spans="1:50" ht="22.5" customHeight="1">
      <c r="A101" s="41" t="s">
        <v>63</v>
      </c>
      <c r="B101" s="42" t="s">
        <v>64</v>
      </c>
      <c r="C101" s="43">
        <v>4017499</v>
      </c>
      <c r="D101" s="44" t="s">
        <v>180</v>
      </c>
      <c r="E101" s="44" t="s">
        <v>183</v>
      </c>
      <c r="F101" s="45">
        <v>1000</v>
      </c>
      <c r="G101" s="45"/>
      <c r="H101" s="45"/>
      <c r="I101" s="45"/>
      <c r="J101" s="46">
        <f>IF(VLOOKUP($C101,REV!$C:$AA,8,0)-'TRADE IN'!$F101=0,"",(VLOOKUP($C101,REV!$C:$AA,8,0)-'TRADE IN'!$F101))</f>
        <v>6699</v>
      </c>
      <c r="K101" s="46">
        <f>IF(VLOOKUP($C101,REV!$C:$AA,9,0)-'TRADE IN'!$F101=0,"",(VLOOKUP($C101,REV!$C:$AA,9,0)-'TRADE IN'!$F101))</f>
        <v>6699</v>
      </c>
      <c r="L101" s="46">
        <f>IF(VLOOKUP($C101,REV!$C:$AA,10,0)-'TRADE IN'!$F101=0,"",(VLOOKUP($C101,REV!$C:$AA,10,0)-'TRADE IN'!$F101))</f>
        <v>6699</v>
      </c>
      <c r="M101" s="46">
        <f>IF(VLOOKUP($C101,REV!$C:$AA,11,0)-'TRADE IN'!$F101=0,"",(VLOOKUP($C101,REV!$C:$AA,11,0)-'TRADE IN'!$F101))</f>
        <v>6699</v>
      </c>
      <c r="N101" s="46">
        <f>IF(VLOOKUP($C101,REV!$C:$AA,12,0)-'TRADE IN'!$F101=0,"",(VLOOKUP($C101,REV!$C:$AA,12,0)-'TRADE IN'!$F101))</f>
        <v>6699</v>
      </c>
      <c r="O101" s="46">
        <f>IF(VLOOKUP($C101,REV!$C:$AA,13,0)-'TRADE IN'!$F101=0,"",(VLOOKUP($C101,REV!$C:$AA,13,0)-'TRADE IN'!$F101))</f>
        <v>6599</v>
      </c>
      <c r="P101" s="46">
        <f>IF(VLOOKUP($C101,REV!$C:$AA,14,0)-'TRADE IN'!$F101=0,"",(VLOOKUP($C101,REV!$C:$AA,14,0)-'TRADE IN'!$F101))</f>
        <v>6499</v>
      </c>
      <c r="Q101" s="46">
        <f>IF(VLOOKUP($C101,REV!$C:$AA,15,0)-'TRADE IN'!$F101=0,"",(VLOOKUP($C101,REV!$C:$AA,15,0)-'TRADE IN'!$F101))</f>
        <v>6399</v>
      </c>
      <c r="R101" s="46">
        <f>IF(VLOOKUP($C101,REV!$C:$AA,16,0)-'TRADE IN'!$F101=0,"",(VLOOKUP($C101,REV!$C:$AA,16,0)-'TRADE IN'!$F101))</f>
        <v>6599</v>
      </c>
      <c r="S101" s="46">
        <f>IF(VLOOKUP($C101,REV!$C:$AA,17,0)-'TRADE IN'!$F101=0,"",(VLOOKUP($C101,REV!$C:$AA,17,0)-'TRADE IN'!$F101))</f>
        <v>6499</v>
      </c>
      <c r="T101" s="46">
        <f>IF(VLOOKUP($C101,REV!$C:$AA,18,0)-'TRADE IN'!$F101=0,"",(VLOOKUP($C101,REV!$C:$AA,18,0)-'TRADE IN'!$F101))</f>
        <v>6399</v>
      </c>
      <c r="U101" s="46">
        <f>IF(VLOOKUP($C101,REV!$C:$AA,19,0)-'TRADE IN'!$F101=0,"",(VLOOKUP($C101,REV!$C:$AA,19,0)-'TRADE IN'!$F101))</f>
        <v>6399</v>
      </c>
      <c r="V101" s="46">
        <f>IF(VLOOKUP($C101,REV!$C:$AA,20,0)-'TRADE IN'!$F101=0,"",(VLOOKUP($C101,REV!$C:$AA,20,0)-'TRADE IN'!$F101))</f>
        <v>6399</v>
      </c>
      <c r="W101" s="46">
        <f>IF(VLOOKUP($C101,REV!$C:$AA,21,0)-'TRADE IN'!$F101=0,"",(VLOOKUP($C101,REV!$C:$AA,21,0)-'TRADE IN'!$F101))</f>
        <v>6399</v>
      </c>
      <c r="X101" s="46">
        <f>IF(VLOOKUP($C101,REV!$C:$AA,22,0)-'TRADE IN'!$F101=0,"",(VLOOKUP($C101,REV!$C:$AA,22,0)-'TRADE IN'!$F101))</f>
        <v>6299</v>
      </c>
      <c r="Y101" s="46">
        <f>IF(VLOOKUP($C101,REV!$C:$AA,23,0)-'TRADE IN'!$F101=0,"",(VLOOKUP($C101,REV!$C:$AA,23,0)-'TRADE IN'!$F101))</f>
        <v>5499</v>
      </c>
      <c r="Z101" s="46">
        <f>IF(VLOOKUP($C101,REV!$C:$AA,24,0)-'TRADE IN'!$F101=0,"",(VLOOKUP($C101,REV!$C:$AA,24,0)-'TRADE IN'!$F101))</f>
        <v>5499</v>
      </c>
      <c r="AA101" s="46">
        <f>IF(VLOOKUP($C101,REV!$C:$AA,25,0)-'TRADE IN'!$F101=0,"",(VLOOKUP($C101,REV!$C:$AA,25,0)-'TRADE IN'!$F101))</f>
        <v>4499</v>
      </c>
      <c r="AB101" s="45"/>
      <c r="AC101" s="45"/>
      <c r="AD101" s="45"/>
      <c r="AE101" s="45"/>
      <c r="AF101" s="45"/>
      <c r="AG101" s="45"/>
      <c r="AH101" s="45"/>
      <c r="AI101" s="45"/>
      <c r="AJ101" s="45"/>
      <c r="AK101" s="45"/>
      <c r="AL101" s="45"/>
      <c r="AM101" s="45"/>
      <c r="AN101" s="45"/>
      <c r="AO101" s="45"/>
      <c r="AP101" s="45"/>
      <c r="AQ101" s="45"/>
      <c r="AR101" s="45"/>
      <c r="AS101" s="45"/>
      <c r="AT101" s="45"/>
      <c r="AU101" s="45"/>
      <c r="AV101" s="47"/>
      <c r="AW101" s="48" t="str">
        <f>REV!AW101</f>
        <v>13.08.2026</v>
      </c>
      <c r="AX101" s="149" t="s">
        <v>68</v>
      </c>
    </row>
    <row r="102" spans="1:50" ht="22.5" customHeight="1">
      <c r="A102" s="41" t="s">
        <v>63</v>
      </c>
      <c r="B102" s="42" t="s">
        <v>64</v>
      </c>
      <c r="C102" s="43">
        <v>4017521</v>
      </c>
      <c r="D102" s="44" t="s">
        <v>180</v>
      </c>
      <c r="E102" s="44" t="s">
        <v>184</v>
      </c>
      <c r="F102" s="45">
        <v>1000</v>
      </c>
      <c r="G102" s="45"/>
      <c r="H102" s="45"/>
      <c r="I102" s="45"/>
      <c r="J102" s="46">
        <f>IF(VLOOKUP($C102,REV!$C:$AA,8,0)-'TRADE IN'!$F102=0,"",(VLOOKUP($C102,REV!$C:$AA,8,0)-'TRADE IN'!$F102))</f>
        <v>6699</v>
      </c>
      <c r="K102" s="46">
        <f>IF(VLOOKUP($C102,REV!$C:$AA,9,0)-'TRADE IN'!$F102=0,"",(VLOOKUP($C102,REV!$C:$AA,9,0)-'TRADE IN'!$F102))</f>
        <v>6699</v>
      </c>
      <c r="L102" s="46">
        <f>IF(VLOOKUP($C102,REV!$C:$AA,10,0)-'TRADE IN'!$F102=0,"",(VLOOKUP($C102,REV!$C:$AA,10,0)-'TRADE IN'!$F102))</f>
        <v>6699</v>
      </c>
      <c r="M102" s="46">
        <f>IF(VLOOKUP($C102,REV!$C:$AA,11,0)-'TRADE IN'!$F102=0,"",(VLOOKUP($C102,REV!$C:$AA,11,0)-'TRADE IN'!$F102))</f>
        <v>6699</v>
      </c>
      <c r="N102" s="46">
        <f>IF(VLOOKUP($C102,REV!$C:$AA,12,0)-'TRADE IN'!$F102=0,"",(VLOOKUP($C102,REV!$C:$AA,12,0)-'TRADE IN'!$F102))</f>
        <v>6699</v>
      </c>
      <c r="O102" s="46">
        <f>IF(VLOOKUP($C102,REV!$C:$AA,13,0)-'TRADE IN'!$F102=0,"",(VLOOKUP($C102,REV!$C:$AA,13,0)-'TRADE IN'!$F102))</f>
        <v>6599</v>
      </c>
      <c r="P102" s="46">
        <f>IF(VLOOKUP($C102,REV!$C:$AA,14,0)-'TRADE IN'!$F102=0,"",(VLOOKUP($C102,REV!$C:$AA,14,0)-'TRADE IN'!$F102))</f>
        <v>6499</v>
      </c>
      <c r="Q102" s="46">
        <f>IF(VLOOKUP($C102,REV!$C:$AA,15,0)-'TRADE IN'!$F102=0,"",(VLOOKUP($C102,REV!$C:$AA,15,0)-'TRADE IN'!$F102))</f>
        <v>6399</v>
      </c>
      <c r="R102" s="46">
        <f>IF(VLOOKUP($C102,REV!$C:$AA,16,0)-'TRADE IN'!$F102=0,"",(VLOOKUP($C102,REV!$C:$AA,16,0)-'TRADE IN'!$F102))</f>
        <v>6599</v>
      </c>
      <c r="S102" s="46">
        <f>IF(VLOOKUP($C102,REV!$C:$AA,17,0)-'TRADE IN'!$F102=0,"",(VLOOKUP($C102,REV!$C:$AA,17,0)-'TRADE IN'!$F102))</f>
        <v>6499</v>
      </c>
      <c r="T102" s="46">
        <f>IF(VLOOKUP($C102,REV!$C:$AA,18,0)-'TRADE IN'!$F102=0,"",(VLOOKUP($C102,REV!$C:$AA,18,0)-'TRADE IN'!$F102))</f>
        <v>6399</v>
      </c>
      <c r="U102" s="46">
        <f>IF(VLOOKUP($C102,REV!$C:$AA,19,0)-'TRADE IN'!$F102=0,"",(VLOOKUP($C102,REV!$C:$AA,19,0)-'TRADE IN'!$F102))</f>
        <v>6399</v>
      </c>
      <c r="V102" s="46">
        <f>IF(VLOOKUP($C102,REV!$C:$AA,20,0)-'TRADE IN'!$F102=0,"",(VLOOKUP($C102,REV!$C:$AA,20,0)-'TRADE IN'!$F102))</f>
        <v>6399</v>
      </c>
      <c r="W102" s="46">
        <f>IF(VLOOKUP($C102,REV!$C:$AA,21,0)-'TRADE IN'!$F102=0,"",(VLOOKUP($C102,REV!$C:$AA,21,0)-'TRADE IN'!$F102))</f>
        <v>6399</v>
      </c>
      <c r="X102" s="46">
        <f>IF(VLOOKUP($C102,REV!$C:$AA,22,0)-'TRADE IN'!$F102=0,"",(VLOOKUP($C102,REV!$C:$AA,22,0)-'TRADE IN'!$F102))</f>
        <v>6299</v>
      </c>
      <c r="Y102" s="46">
        <f>IF(VLOOKUP($C102,REV!$C:$AA,23,0)-'TRADE IN'!$F102=0,"",(VLOOKUP($C102,REV!$C:$AA,23,0)-'TRADE IN'!$F102))</f>
        <v>5499</v>
      </c>
      <c r="Z102" s="46">
        <f>IF(VLOOKUP($C102,REV!$C:$AA,24,0)-'TRADE IN'!$F102=0,"",(VLOOKUP($C102,REV!$C:$AA,24,0)-'TRADE IN'!$F102))</f>
        <v>5499</v>
      </c>
      <c r="AA102" s="46">
        <f>IF(VLOOKUP($C102,REV!$C:$AA,25,0)-'TRADE IN'!$F102=0,"",(VLOOKUP($C102,REV!$C:$AA,25,0)-'TRADE IN'!$F102))</f>
        <v>4499</v>
      </c>
      <c r="AB102" s="45"/>
      <c r="AC102" s="45"/>
      <c r="AD102" s="45"/>
      <c r="AE102" s="45"/>
      <c r="AF102" s="45"/>
      <c r="AG102" s="45"/>
      <c r="AH102" s="45"/>
      <c r="AI102" s="45"/>
      <c r="AJ102" s="45"/>
      <c r="AK102" s="45"/>
      <c r="AL102" s="45"/>
      <c r="AM102" s="45"/>
      <c r="AN102" s="45"/>
      <c r="AO102" s="45"/>
      <c r="AP102" s="45"/>
      <c r="AQ102" s="45"/>
      <c r="AR102" s="45"/>
      <c r="AS102" s="45"/>
      <c r="AT102" s="45"/>
      <c r="AU102" s="45"/>
      <c r="AV102" s="47"/>
      <c r="AW102" s="48" t="str">
        <f>REV!AW102</f>
        <v>13.08.2026</v>
      </c>
      <c r="AX102" s="149" t="s">
        <v>68</v>
      </c>
    </row>
    <row r="103" spans="1:50" ht="22.5" customHeight="1">
      <c r="A103" s="41" t="s">
        <v>63</v>
      </c>
      <c r="B103" s="42" t="s">
        <v>64</v>
      </c>
      <c r="C103" s="43">
        <v>4017496</v>
      </c>
      <c r="D103" s="44" t="s">
        <v>185</v>
      </c>
      <c r="E103" s="44" t="s">
        <v>186</v>
      </c>
      <c r="F103" s="45">
        <v>1000</v>
      </c>
      <c r="G103" s="45"/>
      <c r="H103" s="45"/>
      <c r="I103" s="45"/>
      <c r="J103" s="46">
        <f>IF(VLOOKUP($C103,REV!$C:$AA,8,0)-'TRADE IN'!$F103=0,"",(VLOOKUP($C103,REV!$C:$AA,8,0)-'TRADE IN'!$F103))</f>
        <v>7999</v>
      </c>
      <c r="K103" s="46">
        <f>IF(VLOOKUP($C103,REV!$C:$AA,9,0)-'TRADE IN'!$F103=0,"",(VLOOKUP($C103,REV!$C:$AA,9,0)-'TRADE IN'!$F103))</f>
        <v>7999</v>
      </c>
      <c r="L103" s="46">
        <f>IF(VLOOKUP($C103,REV!$C:$AA,10,0)-'TRADE IN'!$F103=0,"",(VLOOKUP($C103,REV!$C:$AA,10,0)-'TRADE IN'!$F103))</f>
        <v>7999</v>
      </c>
      <c r="M103" s="46">
        <f>IF(VLOOKUP($C103,REV!$C:$AA,11,0)-'TRADE IN'!$F103=0,"",(VLOOKUP($C103,REV!$C:$AA,11,0)-'TRADE IN'!$F103))</f>
        <v>7999</v>
      </c>
      <c r="N103" s="46">
        <f>IF(VLOOKUP($C103,REV!$C:$AA,12,0)-'TRADE IN'!$F103=0,"",(VLOOKUP($C103,REV!$C:$AA,12,0)-'TRADE IN'!$F103))</f>
        <v>7999</v>
      </c>
      <c r="O103" s="46">
        <f>IF(VLOOKUP($C103,REV!$C:$AA,13,0)-'TRADE IN'!$F103=0,"",(VLOOKUP($C103,REV!$C:$AA,13,0)-'TRADE IN'!$F103))</f>
        <v>7899</v>
      </c>
      <c r="P103" s="46">
        <f>IF(VLOOKUP($C103,REV!$C:$AA,14,0)-'TRADE IN'!$F103=0,"",(VLOOKUP($C103,REV!$C:$AA,14,0)-'TRADE IN'!$F103))</f>
        <v>7799</v>
      </c>
      <c r="Q103" s="46">
        <f>IF(VLOOKUP($C103,REV!$C:$AA,15,0)-'TRADE IN'!$F103=0,"",(VLOOKUP($C103,REV!$C:$AA,15,0)-'TRADE IN'!$F103))</f>
        <v>7499</v>
      </c>
      <c r="R103" s="46">
        <f>IF(VLOOKUP($C103,REV!$C:$AA,16,0)-'TRADE IN'!$F103=0,"",(VLOOKUP($C103,REV!$C:$AA,16,0)-'TRADE IN'!$F103))</f>
        <v>7899</v>
      </c>
      <c r="S103" s="46">
        <f>IF(VLOOKUP($C103,REV!$C:$AA,17,0)-'TRADE IN'!$F103=0,"",(VLOOKUP($C103,REV!$C:$AA,17,0)-'TRADE IN'!$F103))</f>
        <v>7799</v>
      </c>
      <c r="T103" s="46">
        <f>IF(VLOOKUP($C103,REV!$C:$AA,18,0)-'TRADE IN'!$F103=0,"",(VLOOKUP($C103,REV!$C:$AA,18,0)-'TRADE IN'!$F103))</f>
        <v>7499</v>
      </c>
      <c r="U103" s="46">
        <f>IF(VLOOKUP($C103,REV!$C:$AA,19,0)-'TRADE IN'!$F103=0,"",(VLOOKUP($C103,REV!$C:$AA,19,0)-'TRADE IN'!$F103))</f>
        <v>7499</v>
      </c>
      <c r="V103" s="46">
        <f>IF(VLOOKUP($C103,REV!$C:$AA,20,0)-'TRADE IN'!$F103=0,"",(VLOOKUP($C103,REV!$C:$AA,20,0)-'TRADE IN'!$F103))</f>
        <v>7499</v>
      </c>
      <c r="W103" s="46">
        <f>IF(VLOOKUP($C103,REV!$C:$AA,21,0)-'TRADE IN'!$F103=0,"",(VLOOKUP($C103,REV!$C:$AA,21,0)-'TRADE IN'!$F103))</f>
        <v>7499</v>
      </c>
      <c r="X103" s="46">
        <f>IF(VLOOKUP($C103,REV!$C:$AA,22,0)-'TRADE IN'!$F103=0,"",(VLOOKUP($C103,REV!$C:$AA,22,0)-'TRADE IN'!$F103))</f>
        <v>7399</v>
      </c>
      <c r="Y103" s="46">
        <f>IF(VLOOKUP($C103,REV!$C:$AA,23,0)-'TRADE IN'!$F103=0,"",(VLOOKUP($C103,REV!$C:$AA,23,0)-'TRADE IN'!$F103))</f>
        <v>6799</v>
      </c>
      <c r="Z103" s="46">
        <f>IF(VLOOKUP($C103,REV!$C:$AA,24,0)-'TRADE IN'!$F103=0,"",(VLOOKUP($C103,REV!$C:$AA,24,0)-'TRADE IN'!$F103))</f>
        <v>6799</v>
      </c>
      <c r="AA103" s="46">
        <f>IF(VLOOKUP($C103,REV!$C:$AA,25,0)-'TRADE IN'!$F103=0,"",(VLOOKUP($C103,REV!$C:$AA,25,0)-'TRADE IN'!$F103))</f>
        <v>5799</v>
      </c>
      <c r="AB103" s="45"/>
      <c r="AC103" s="45"/>
      <c r="AD103" s="45"/>
      <c r="AE103" s="45"/>
      <c r="AF103" s="45"/>
      <c r="AG103" s="45"/>
      <c r="AH103" s="45"/>
      <c r="AI103" s="45"/>
      <c r="AJ103" s="45"/>
      <c r="AK103" s="45"/>
      <c r="AL103" s="45"/>
      <c r="AM103" s="45"/>
      <c r="AN103" s="45"/>
      <c r="AO103" s="45"/>
      <c r="AP103" s="45"/>
      <c r="AQ103" s="45"/>
      <c r="AR103" s="45"/>
      <c r="AS103" s="45"/>
      <c r="AT103" s="45"/>
      <c r="AU103" s="45"/>
      <c r="AV103" s="47"/>
      <c r="AW103" s="48" t="str">
        <f>REV!AW103</f>
        <v>13.08.2026</v>
      </c>
      <c r="AX103" s="149" t="s">
        <v>68</v>
      </c>
    </row>
    <row r="104" spans="1:50" ht="22.5" customHeight="1">
      <c r="A104" s="41" t="s">
        <v>63</v>
      </c>
      <c r="B104" s="42" t="s">
        <v>64</v>
      </c>
      <c r="C104" s="43">
        <v>4017519</v>
      </c>
      <c r="D104" s="44" t="s">
        <v>185</v>
      </c>
      <c r="E104" s="44" t="s">
        <v>187</v>
      </c>
      <c r="F104" s="45">
        <v>1000</v>
      </c>
      <c r="G104" s="45"/>
      <c r="H104" s="45"/>
      <c r="I104" s="45"/>
      <c r="J104" s="46">
        <f>IF(VLOOKUP($C104,REV!$C:$AA,8,0)-'TRADE IN'!$F104=0,"",(VLOOKUP($C104,REV!$C:$AA,8,0)-'TRADE IN'!$F104))</f>
        <v>7999</v>
      </c>
      <c r="K104" s="46">
        <f>IF(VLOOKUP($C104,REV!$C:$AA,9,0)-'TRADE IN'!$F104=0,"",(VLOOKUP($C104,REV!$C:$AA,9,0)-'TRADE IN'!$F104))</f>
        <v>7999</v>
      </c>
      <c r="L104" s="46">
        <f>IF(VLOOKUP($C104,REV!$C:$AA,10,0)-'TRADE IN'!$F104=0,"",(VLOOKUP($C104,REV!$C:$AA,10,0)-'TRADE IN'!$F104))</f>
        <v>7999</v>
      </c>
      <c r="M104" s="46">
        <f>IF(VLOOKUP($C104,REV!$C:$AA,11,0)-'TRADE IN'!$F104=0,"",(VLOOKUP($C104,REV!$C:$AA,11,0)-'TRADE IN'!$F104))</f>
        <v>7999</v>
      </c>
      <c r="N104" s="46">
        <f>IF(VLOOKUP($C104,REV!$C:$AA,12,0)-'TRADE IN'!$F104=0,"",(VLOOKUP($C104,REV!$C:$AA,12,0)-'TRADE IN'!$F104))</f>
        <v>7999</v>
      </c>
      <c r="O104" s="46">
        <f>IF(VLOOKUP($C104,REV!$C:$AA,13,0)-'TRADE IN'!$F104=0,"",(VLOOKUP($C104,REV!$C:$AA,13,0)-'TRADE IN'!$F104))</f>
        <v>7899</v>
      </c>
      <c r="P104" s="46">
        <f>IF(VLOOKUP($C104,REV!$C:$AA,14,0)-'TRADE IN'!$F104=0,"",(VLOOKUP($C104,REV!$C:$AA,14,0)-'TRADE IN'!$F104))</f>
        <v>7799</v>
      </c>
      <c r="Q104" s="46">
        <f>IF(VLOOKUP($C104,REV!$C:$AA,15,0)-'TRADE IN'!$F104=0,"",(VLOOKUP($C104,REV!$C:$AA,15,0)-'TRADE IN'!$F104))</f>
        <v>7499</v>
      </c>
      <c r="R104" s="46">
        <f>IF(VLOOKUP($C104,REV!$C:$AA,16,0)-'TRADE IN'!$F104=0,"",(VLOOKUP($C104,REV!$C:$AA,16,0)-'TRADE IN'!$F104))</f>
        <v>7899</v>
      </c>
      <c r="S104" s="46">
        <f>IF(VLOOKUP($C104,REV!$C:$AA,17,0)-'TRADE IN'!$F104=0,"",(VLOOKUP($C104,REV!$C:$AA,17,0)-'TRADE IN'!$F104))</f>
        <v>7799</v>
      </c>
      <c r="T104" s="46">
        <f>IF(VLOOKUP($C104,REV!$C:$AA,18,0)-'TRADE IN'!$F104=0,"",(VLOOKUP($C104,REV!$C:$AA,18,0)-'TRADE IN'!$F104))</f>
        <v>7499</v>
      </c>
      <c r="U104" s="46">
        <f>IF(VLOOKUP($C104,REV!$C:$AA,19,0)-'TRADE IN'!$F104=0,"",(VLOOKUP($C104,REV!$C:$AA,19,0)-'TRADE IN'!$F104))</f>
        <v>7499</v>
      </c>
      <c r="V104" s="46">
        <f>IF(VLOOKUP($C104,REV!$C:$AA,20,0)-'TRADE IN'!$F104=0,"",(VLOOKUP($C104,REV!$C:$AA,20,0)-'TRADE IN'!$F104))</f>
        <v>7499</v>
      </c>
      <c r="W104" s="46">
        <f>IF(VLOOKUP($C104,REV!$C:$AA,21,0)-'TRADE IN'!$F104=0,"",(VLOOKUP($C104,REV!$C:$AA,21,0)-'TRADE IN'!$F104))</f>
        <v>7499</v>
      </c>
      <c r="X104" s="46">
        <f>IF(VLOOKUP($C104,REV!$C:$AA,22,0)-'TRADE IN'!$F104=0,"",(VLOOKUP($C104,REV!$C:$AA,22,0)-'TRADE IN'!$F104))</f>
        <v>7399</v>
      </c>
      <c r="Y104" s="46">
        <f>IF(VLOOKUP($C104,REV!$C:$AA,23,0)-'TRADE IN'!$F104=0,"",(VLOOKUP($C104,REV!$C:$AA,23,0)-'TRADE IN'!$F104))</f>
        <v>6799</v>
      </c>
      <c r="Z104" s="46">
        <f>IF(VLOOKUP($C104,REV!$C:$AA,24,0)-'TRADE IN'!$F104=0,"",(VLOOKUP($C104,REV!$C:$AA,24,0)-'TRADE IN'!$F104))</f>
        <v>6799</v>
      </c>
      <c r="AA104" s="46">
        <f>IF(VLOOKUP($C104,REV!$C:$AA,25,0)-'TRADE IN'!$F104=0,"",(VLOOKUP($C104,REV!$C:$AA,25,0)-'TRADE IN'!$F104))</f>
        <v>5799</v>
      </c>
      <c r="AB104" s="45"/>
      <c r="AC104" s="45"/>
      <c r="AD104" s="45"/>
      <c r="AE104" s="45"/>
      <c r="AF104" s="45"/>
      <c r="AG104" s="45"/>
      <c r="AH104" s="45"/>
      <c r="AI104" s="45"/>
      <c r="AJ104" s="45"/>
      <c r="AK104" s="45"/>
      <c r="AL104" s="45"/>
      <c r="AM104" s="45"/>
      <c r="AN104" s="45"/>
      <c r="AO104" s="45"/>
      <c r="AP104" s="45"/>
      <c r="AQ104" s="45"/>
      <c r="AR104" s="45"/>
      <c r="AS104" s="45"/>
      <c r="AT104" s="45"/>
      <c r="AU104" s="45"/>
      <c r="AV104" s="47"/>
      <c r="AW104" s="48" t="str">
        <f>REV!AW104</f>
        <v>13.08.2026</v>
      </c>
      <c r="AX104" s="149" t="s">
        <v>68</v>
      </c>
    </row>
    <row r="105" spans="1:50" ht="22.5" customHeight="1">
      <c r="A105" s="41" t="s">
        <v>63</v>
      </c>
      <c r="B105" s="42" t="s">
        <v>64</v>
      </c>
      <c r="C105" s="43">
        <v>4017525</v>
      </c>
      <c r="D105" s="44" t="s">
        <v>185</v>
      </c>
      <c r="E105" s="44" t="s">
        <v>188</v>
      </c>
      <c r="F105" s="45">
        <v>1000</v>
      </c>
      <c r="G105" s="45"/>
      <c r="H105" s="45"/>
      <c r="I105" s="45"/>
      <c r="J105" s="46">
        <f>IF(VLOOKUP($C105,REV!$C:$AA,8,0)-'TRADE IN'!$F105=0,"",(VLOOKUP($C105,REV!$C:$AA,8,0)-'TRADE IN'!$F105))</f>
        <v>7999</v>
      </c>
      <c r="K105" s="46">
        <f>IF(VLOOKUP($C105,REV!$C:$AA,9,0)-'TRADE IN'!$F105=0,"",(VLOOKUP($C105,REV!$C:$AA,9,0)-'TRADE IN'!$F105))</f>
        <v>7999</v>
      </c>
      <c r="L105" s="46">
        <f>IF(VLOOKUP($C105,REV!$C:$AA,10,0)-'TRADE IN'!$F105=0,"",(VLOOKUP($C105,REV!$C:$AA,10,0)-'TRADE IN'!$F105))</f>
        <v>7999</v>
      </c>
      <c r="M105" s="46">
        <f>IF(VLOOKUP($C105,REV!$C:$AA,11,0)-'TRADE IN'!$F105=0,"",(VLOOKUP($C105,REV!$C:$AA,11,0)-'TRADE IN'!$F105))</f>
        <v>7999</v>
      </c>
      <c r="N105" s="46">
        <f>IF(VLOOKUP($C105,REV!$C:$AA,12,0)-'TRADE IN'!$F105=0,"",(VLOOKUP($C105,REV!$C:$AA,12,0)-'TRADE IN'!$F105))</f>
        <v>7999</v>
      </c>
      <c r="O105" s="46">
        <f>IF(VLOOKUP($C105,REV!$C:$AA,13,0)-'TRADE IN'!$F105=0,"",(VLOOKUP($C105,REV!$C:$AA,13,0)-'TRADE IN'!$F105))</f>
        <v>7899</v>
      </c>
      <c r="P105" s="46">
        <f>IF(VLOOKUP($C105,REV!$C:$AA,14,0)-'TRADE IN'!$F105=0,"",(VLOOKUP($C105,REV!$C:$AA,14,0)-'TRADE IN'!$F105))</f>
        <v>7799</v>
      </c>
      <c r="Q105" s="46">
        <f>IF(VLOOKUP($C105,REV!$C:$AA,15,0)-'TRADE IN'!$F105=0,"",(VLOOKUP($C105,REV!$C:$AA,15,0)-'TRADE IN'!$F105))</f>
        <v>7499</v>
      </c>
      <c r="R105" s="46">
        <f>IF(VLOOKUP($C105,REV!$C:$AA,16,0)-'TRADE IN'!$F105=0,"",(VLOOKUP($C105,REV!$C:$AA,16,0)-'TRADE IN'!$F105))</f>
        <v>7899</v>
      </c>
      <c r="S105" s="46">
        <f>IF(VLOOKUP($C105,REV!$C:$AA,17,0)-'TRADE IN'!$F105=0,"",(VLOOKUP($C105,REV!$C:$AA,17,0)-'TRADE IN'!$F105))</f>
        <v>7799</v>
      </c>
      <c r="T105" s="46">
        <f>IF(VLOOKUP($C105,REV!$C:$AA,18,0)-'TRADE IN'!$F105=0,"",(VLOOKUP($C105,REV!$C:$AA,18,0)-'TRADE IN'!$F105))</f>
        <v>7499</v>
      </c>
      <c r="U105" s="46">
        <f>IF(VLOOKUP($C105,REV!$C:$AA,19,0)-'TRADE IN'!$F105=0,"",(VLOOKUP($C105,REV!$C:$AA,19,0)-'TRADE IN'!$F105))</f>
        <v>7499</v>
      </c>
      <c r="V105" s="46">
        <f>IF(VLOOKUP($C105,REV!$C:$AA,20,0)-'TRADE IN'!$F105=0,"",(VLOOKUP($C105,REV!$C:$AA,20,0)-'TRADE IN'!$F105))</f>
        <v>7499</v>
      </c>
      <c r="W105" s="46">
        <f>IF(VLOOKUP($C105,REV!$C:$AA,21,0)-'TRADE IN'!$F105=0,"",(VLOOKUP($C105,REV!$C:$AA,21,0)-'TRADE IN'!$F105))</f>
        <v>7499</v>
      </c>
      <c r="X105" s="46">
        <f>IF(VLOOKUP($C105,REV!$C:$AA,22,0)-'TRADE IN'!$F105=0,"",(VLOOKUP($C105,REV!$C:$AA,22,0)-'TRADE IN'!$F105))</f>
        <v>7399</v>
      </c>
      <c r="Y105" s="46">
        <f>IF(VLOOKUP($C105,REV!$C:$AA,23,0)-'TRADE IN'!$F105=0,"",(VLOOKUP($C105,REV!$C:$AA,23,0)-'TRADE IN'!$F105))</f>
        <v>6799</v>
      </c>
      <c r="Z105" s="46">
        <f>IF(VLOOKUP($C105,REV!$C:$AA,24,0)-'TRADE IN'!$F105=0,"",(VLOOKUP($C105,REV!$C:$AA,24,0)-'TRADE IN'!$F105))</f>
        <v>6799</v>
      </c>
      <c r="AA105" s="46">
        <f>IF(VLOOKUP($C105,REV!$C:$AA,25,0)-'TRADE IN'!$F105=0,"",(VLOOKUP($C105,REV!$C:$AA,25,0)-'TRADE IN'!$F105))</f>
        <v>5799</v>
      </c>
      <c r="AB105" s="45"/>
      <c r="AC105" s="45"/>
      <c r="AD105" s="45"/>
      <c r="AE105" s="45"/>
      <c r="AF105" s="45"/>
      <c r="AG105" s="45"/>
      <c r="AH105" s="45"/>
      <c r="AI105" s="45"/>
      <c r="AJ105" s="45"/>
      <c r="AK105" s="45"/>
      <c r="AL105" s="45"/>
      <c r="AM105" s="45"/>
      <c r="AN105" s="45"/>
      <c r="AO105" s="45"/>
      <c r="AP105" s="45"/>
      <c r="AQ105" s="45"/>
      <c r="AR105" s="45"/>
      <c r="AS105" s="45"/>
      <c r="AT105" s="45"/>
      <c r="AU105" s="45"/>
      <c r="AV105" s="47"/>
      <c r="AW105" s="48" t="str">
        <f>REV!AW105</f>
        <v>13.08.2026</v>
      </c>
      <c r="AX105" s="149" t="s">
        <v>68</v>
      </c>
    </row>
    <row r="106" spans="1:50" ht="22.5" customHeight="1">
      <c r="A106" s="41" t="s">
        <v>63</v>
      </c>
      <c r="B106" s="42" t="s">
        <v>64</v>
      </c>
      <c r="C106" s="43">
        <v>4017518</v>
      </c>
      <c r="D106" s="44" t="s">
        <v>185</v>
      </c>
      <c r="E106" s="44" t="s">
        <v>189</v>
      </c>
      <c r="F106" s="45">
        <v>1000</v>
      </c>
      <c r="G106" s="45"/>
      <c r="H106" s="45"/>
      <c r="I106" s="45"/>
      <c r="J106" s="46">
        <f>IF(VLOOKUP($C106,REV!$C:$AA,8,0)-'TRADE IN'!$F106=0,"",(VLOOKUP($C106,REV!$C:$AA,8,0)-'TRADE IN'!$F106))</f>
        <v>7999</v>
      </c>
      <c r="K106" s="46">
        <f>IF(VLOOKUP($C106,REV!$C:$AA,9,0)-'TRADE IN'!$F106=0,"",(VLOOKUP($C106,REV!$C:$AA,9,0)-'TRADE IN'!$F106))</f>
        <v>7999</v>
      </c>
      <c r="L106" s="46">
        <f>IF(VLOOKUP($C106,REV!$C:$AA,10,0)-'TRADE IN'!$F106=0,"",(VLOOKUP($C106,REV!$C:$AA,10,0)-'TRADE IN'!$F106))</f>
        <v>7999</v>
      </c>
      <c r="M106" s="46">
        <f>IF(VLOOKUP($C106,REV!$C:$AA,11,0)-'TRADE IN'!$F106=0,"",(VLOOKUP($C106,REV!$C:$AA,11,0)-'TRADE IN'!$F106))</f>
        <v>7999</v>
      </c>
      <c r="N106" s="46">
        <f>IF(VLOOKUP($C106,REV!$C:$AA,12,0)-'TRADE IN'!$F106=0,"",(VLOOKUP($C106,REV!$C:$AA,12,0)-'TRADE IN'!$F106))</f>
        <v>7999</v>
      </c>
      <c r="O106" s="46">
        <f>IF(VLOOKUP($C106,REV!$C:$AA,13,0)-'TRADE IN'!$F106=0,"",(VLOOKUP($C106,REV!$C:$AA,13,0)-'TRADE IN'!$F106))</f>
        <v>7899</v>
      </c>
      <c r="P106" s="46">
        <f>IF(VLOOKUP($C106,REV!$C:$AA,14,0)-'TRADE IN'!$F106=0,"",(VLOOKUP($C106,REV!$C:$AA,14,0)-'TRADE IN'!$F106))</f>
        <v>7799</v>
      </c>
      <c r="Q106" s="46">
        <f>IF(VLOOKUP($C106,REV!$C:$AA,15,0)-'TRADE IN'!$F106=0,"",(VLOOKUP($C106,REV!$C:$AA,15,0)-'TRADE IN'!$F106))</f>
        <v>7499</v>
      </c>
      <c r="R106" s="46">
        <f>IF(VLOOKUP($C106,REV!$C:$AA,16,0)-'TRADE IN'!$F106=0,"",(VLOOKUP($C106,REV!$C:$AA,16,0)-'TRADE IN'!$F106))</f>
        <v>7899</v>
      </c>
      <c r="S106" s="46">
        <f>IF(VLOOKUP($C106,REV!$C:$AA,17,0)-'TRADE IN'!$F106=0,"",(VLOOKUP($C106,REV!$C:$AA,17,0)-'TRADE IN'!$F106))</f>
        <v>7799</v>
      </c>
      <c r="T106" s="46">
        <f>IF(VLOOKUP($C106,REV!$C:$AA,18,0)-'TRADE IN'!$F106=0,"",(VLOOKUP($C106,REV!$C:$AA,18,0)-'TRADE IN'!$F106))</f>
        <v>7499</v>
      </c>
      <c r="U106" s="46">
        <f>IF(VLOOKUP($C106,REV!$C:$AA,19,0)-'TRADE IN'!$F106=0,"",(VLOOKUP($C106,REV!$C:$AA,19,0)-'TRADE IN'!$F106))</f>
        <v>7499</v>
      </c>
      <c r="V106" s="46">
        <f>IF(VLOOKUP($C106,REV!$C:$AA,20,0)-'TRADE IN'!$F106=0,"",(VLOOKUP($C106,REV!$C:$AA,20,0)-'TRADE IN'!$F106))</f>
        <v>7499</v>
      </c>
      <c r="W106" s="46">
        <f>IF(VLOOKUP($C106,REV!$C:$AA,21,0)-'TRADE IN'!$F106=0,"",(VLOOKUP($C106,REV!$C:$AA,21,0)-'TRADE IN'!$F106))</f>
        <v>7499</v>
      </c>
      <c r="X106" s="46">
        <f>IF(VLOOKUP($C106,REV!$C:$AA,22,0)-'TRADE IN'!$F106=0,"",(VLOOKUP($C106,REV!$C:$AA,22,0)-'TRADE IN'!$F106))</f>
        <v>7399</v>
      </c>
      <c r="Y106" s="46">
        <f>IF(VLOOKUP($C106,REV!$C:$AA,23,0)-'TRADE IN'!$F106=0,"",(VLOOKUP($C106,REV!$C:$AA,23,0)-'TRADE IN'!$F106))</f>
        <v>6799</v>
      </c>
      <c r="Z106" s="46">
        <f>IF(VLOOKUP($C106,REV!$C:$AA,24,0)-'TRADE IN'!$F106=0,"",(VLOOKUP($C106,REV!$C:$AA,24,0)-'TRADE IN'!$F106))</f>
        <v>6799</v>
      </c>
      <c r="AA106" s="46">
        <f>IF(VLOOKUP($C106,REV!$C:$AA,25,0)-'TRADE IN'!$F106=0,"",(VLOOKUP($C106,REV!$C:$AA,25,0)-'TRADE IN'!$F106))</f>
        <v>5799</v>
      </c>
      <c r="AB106" s="45"/>
      <c r="AC106" s="45"/>
      <c r="AD106" s="45"/>
      <c r="AE106" s="45"/>
      <c r="AF106" s="45"/>
      <c r="AG106" s="45"/>
      <c r="AH106" s="45"/>
      <c r="AI106" s="45"/>
      <c r="AJ106" s="45"/>
      <c r="AK106" s="45"/>
      <c r="AL106" s="45"/>
      <c r="AM106" s="45"/>
      <c r="AN106" s="45"/>
      <c r="AO106" s="45"/>
      <c r="AP106" s="45"/>
      <c r="AQ106" s="45"/>
      <c r="AR106" s="45"/>
      <c r="AS106" s="45"/>
      <c r="AT106" s="45"/>
      <c r="AU106" s="45"/>
      <c r="AV106" s="47"/>
      <c r="AW106" s="48" t="str">
        <f>REV!AW106</f>
        <v>13.08.2026</v>
      </c>
      <c r="AX106" s="149" t="s">
        <v>68</v>
      </c>
    </row>
    <row r="107" spans="1:50" ht="22.5" customHeight="1">
      <c r="A107" s="41" t="s">
        <v>63</v>
      </c>
      <c r="B107" s="42" t="s">
        <v>64</v>
      </c>
      <c r="C107" s="43">
        <v>4017487</v>
      </c>
      <c r="D107" s="44" t="s">
        <v>190</v>
      </c>
      <c r="E107" s="44" t="s">
        <v>191</v>
      </c>
      <c r="F107" s="45">
        <v>100</v>
      </c>
      <c r="G107" s="45"/>
      <c r="H107" s="45"/>
      <c r="I107" s="45"/>
      <c r="J107" s="46">
        <f>IF(VLOOKUP($C107,REV!$C:$AA,8,0)-'TRADE IN'!$F107=0,"",(VLOOKUP($C107,REV!$C:$AA,8,0)-'TRADE IN'!$F107))</f>
        <v>10699</v>
      </c>
      <c r="K107" s="46">
        <f>IF(VLOOKUP($C107,REV!$C:$AA,9,0)-'TRADE IN'!$F107=0,"",(VLOOKUP($C107,REV!$C:$AA,9,0)-'TRADE IN'!$F107))</f>
        <v>10699</v>
      </c>
      <c r="L107" s="46">
        <f>IF(VLOOKUP($C107,REV!$C:$AA,10,0)-'TRADE IN'!$F107=0,"",(VLOOKUP($C107,REV!$C:$AA,10,0)-'TRADE IN'!$F107))</f>
        <v>10699</v>
      </c>
      <c r="M107" s="46">
        <f>IF(VLOOKUP($C107,REV!$C:$AA,11,0)-'TRADE IN'!$F107=0,"",(VLOOKUP($C107,REV!$C:$AA,11,0)-'TRADE IN'!$F107))</f>
        <v>10699</v>
      </c>
      <c r="N107" s="46">
        <f>IF(VLOOKUP($C107,REV!$C:$AA,12,0)-'TRADE IN'!$F107=0,"",(VLOOKUP($C107,REV!$C:$AA,12,0)-'TRADE IN'!$F107))</f>
        <v>10699</v>
      </c>
      <c r="O107" s="46">
        <f>IF(VLOOKUP($C107,REV!$C:$AA,13,0)-'TRADE IN'!$F107=0,"",(VLOOKUP($C107,REV!$C:$AA,13,0)-'TRADE IN'!$F107))</f>
        <v>10599</v>
      </c>
      <c r="P107" s="46">
        <f>IF(VLOOKUP($C107,REV!$C:$AA,14,0)-'TRADE IN'!$F107=0,"",(VLOOKUP($C107,REV!$C:$AA,14,0)-'TRADE IN'!$F107))</f>
        <v>10499</v>
      </c>
      <c r="Q107" s="46">
        <f>IF(VLOOKUP($C107,REV!$C:$AA,15,0)-'TRADE IN'!$F107=0,"",(VLOOKUP($C107,REV!$C:$AA,15,0)-'TRADE IN'!$F107))</f>
        <v>9699</v>
      </c>
      <c r="R107" s="46">
        <f>IF(VLOOKUP($C107,REV!$C:$AA,16,0)-'TRADE IN'!$F107=0,"",(VLOOKUP($C107,REV!$C:$AA,16,0)-'TRADE IN'!$F107))</f>
        <v>10599</v>
      </c>
      <c r="S107" s="46">
        <f>IF(VLOOKUP($C107,REV!$C:$AA,17,0)-'TRADE IN'!$F107=0,"",(VLOOKUP($C107,REV!$C:$AA,17,0)-'TRADE IN'!$F107))</f>
        <v>10499</v>
      </c>
      <c r="T107" s="46">
        <f>IF(VLOOKUP($C107,REV!$C:$AA,18,0)-'TRADE IN'!$F107=0,"",(VLOOKUP($C107,REV!$C:$AA,18,0)-'TRADE IN'!$F107))</f>
        <v>9699</v>
      </c>
      <c r="U107" s="46">
        <f>IF(VLOOKUP($C107,REV!$C:$AA,19,0)-'TRADE IN'!$F107=0,"",(VLOOKUP($C107,REV!$C:$AA,19,0)-'TRADE IN'!$F107))</f>
        <v>9699</v>
      </c>
      <c r="V107" s="46">
        <f>IF(VLOOKUP($C107,REV!$C:$AA,20,0)-'TRADE IN'!$F107=0,"",(VLOOKUP($C107,REV!$C:$AA,20,0)-'TRADE IN'!$F107))</f>
        <v>9699</v>
      </c>
      <c r="W107" s="46">
        <f>IF(VLOOKUP($C107,REV!$C:$AA,21,0)-'TRADE IN'!$F107=0,"",(VLOOKUP($C107,REV!$C:$AA,21,0)-'TRADE IN'!$F107))</f>
        <v>9599</v>
      </c>
      <c r="X107" s="46">
        <f>IF(VLOOKUP($C107,REV!$C:$AA,22,0)-'TRADE IN'!$F107=0,"",(VLOOKUP($C107,REV!$C:$AA,22,0)-'TRADE IN'!$F107))</f>
        <v>9599</v>
      </c>
      <c r="Y107" s="46">
        <f>IF(VLOOKUP($C107,REV!$C:$AA,23,0)-'TRADE IN'!$F107=0,"",(VLOOKUP($C107,REV!$C:$AA,23,0)-'TRADE IN'!$F107))</f>
        <v>8699</v>
      </c>
      <c r="Z107" s="46">
        <f>IF(VLOOKUP($C107,REV!$C:$AA,24,0)-'TRADE IN'!$F107=0,"",(VLOOKUP($C107,REV!$C:$AA,24,0)-'TRADE IN'!$F107))</f>
        <v>8699</v>
      </c>
      <c r="AA107" s="46">
        <f>IF(VLOOKUP($C107,REV!$C:$AA,25,0)-'TRADE IN'!$F107=0,"",(VLOOKUP($C107,REV!$C:$AA,25,0)-'TRADE IN'!$F107))</f>
        <v>8699</v>
      </c>
      <c r="AB107" s="45"/>
      <c r="AC107" s="45"/>
      <c r="AD107" s="45"/>
      <c r="AE107" s="45"/>
      <c r="AF107" s="45"/>
      <c r="AG107" s="45"/>
      <c r="AH107" s="45"/>
      <c r="AI107" s="45"/>
      <c r="AJ107" s="45"/>
      <c r="AK107" s="45"/>
      <c r="AL107" s="45"/>
      <c r="AM107" s="45"/>
      <c r="AN107" s="45"/>
      <c r="AO107" s="45"/>
      <c r="AP107" s="45"/>
      <c r="AQ107" s="45"/>
      <c r="AR107" s="45"/>
      <c r="AS107" s="45"/>
      <c r="AT107" s="45"/>
      <c r="AU107" s="45"/>
      <c r="AV107" s="47"/>
      <c r="AW107" s="48" t="str">
        <f>REV!AW107</f>
        <v>13.08.2026</v>
      </c>
      <c r="AX107" s="149" t="s">
        <v>68</v>
      </c>
    </row>
    <row r="108" spans="1:50" ht="22.5" customHeight="1">
      <c r="A108" s="41" t="s">
        <v>63</v>
      </c>
      <c r="B108" s="42" t="s">
        <v>64</v>
      </c>
      <c r="C108" s="43">
        <v>4017510</v>
      </c>
      <c r="D108" s="44" t="s">
        <v>190</v>
      </c>
      <c r="E108" s="44" t="s">
        <v>192</v>
      </c>
      <c r="F108" s="45">
        <v>100</v>
      </c>
      <c r="G108" s="45"/>
      <c r="H108" s="45"/>
      <c r="I108" s="45"/>
      <c r="J108" s="46">
        <f>IF(VLOOKUP($C108,REV!$C:$AA,8,0)-'TRADE IN'!$F108=0,"",(VLOOKUP($C108,REV!$C:$AA,8,0)-'TRADE IN'!$F108))</f>
        <v>10699</v>
      </c>
      <c r="K108" s="46">
        <f>IF(VLOOKUP($C108,REV!$C:$AA,9,0)-'TRADE IN'!$F108=0,"",(VLOOKUP($C108,REV!$C:$AA,9,0)-'TRADE IN'!$F108))</f>
        <v>10699</v>
      </c>
      <c r="L108" s="46">
        <f>IF(VLOOKUP($C108,REV!$C:$AA,10,0)-'TRADE IN'!$F108=0,"",(VLOOKUP($C108,REV!$C:$AA,10,0)-'TRADE IN'!$F108))</f>
        <v>10699</v>
      </c>
      <c r="M108" s="46">
        <f>IF(VLOOKUP($C108,REV!$C:$AA,11,0)-'TRADE IN'!$F108=0,"",(VLOOKUP($C108,REV!$C:$AA,11,0)-'TRADE IN'!$F108))</f>
        <v>10699</v>
      </c>
      <c r="N108" s="46">
        <f>IF(VLOOKUP($C108,REV!$C:$AA,12,0)-'TRADE IN'!$F108=0,"",(VLOOKUP($C108,REV!$C:$AA,12,0)-'TRADE IN'!$F108))</f>
        <v>10699</v>
      </c>
      <c r="O108" s="46">
        <f>IF(VLOOKUP($C108,REV!$C:$AA,13,0)-'TRADE IN'!$F108=0,"",(VLOOKUP($C108,REV!$C:$AA,13,0)-'TRADE IN'!$F108))</f>
        <v>10599</v>
      </c>
      <c r="P108" s="46">
        <f>IF(VLOOKUP($C108,REV!$C:$AA,14,0)-'TRADE IN'!$F108=0,"",(VLOOKUP($C108,REV!$C:$AA,14,0)-'TRADE IN'!$F108))</f>
        <v>10499</v>
      </c>
      <c r="Q108" s="46">
        <f>IF(VLOOKUP($C108,REV!$C:$AA,15,0)-'TRADE IN'!$F108=0,"",(VLOOKUP($C108,REV!$C:$AA,15,0)-'TRADE IN'!$F108))</f>
        <v>9699</v>
      </c>
      <c r="R108" s="46">
        <f>IF(VLOOKUP($C108,REV!$C:$AA,16,0)-'TRADE IN'!$F108=0,"",(VLOOKUP($C108,REV!$C:$AA,16,0)-'TRADE IN'!$F108))</f>
        <v>10599</v>
      </c>
      <c r="S108" s="46">
        <f>IF(VLOOKUP($C108,REV!$C:$AA,17,0)-'TRADE IN'!$F108=0,"",(VLOOKUP($C108,REV!$C:$AA,17,0)-'TRADE IN'!$F108))</f>
        <v>10499</v>
      </c>
      <c r="T108" s="46">
        <f>IF(VLOOKUP($C108,REV!$C:$AA,18,0)-'TRADE IN'!$F108=0,"",(VLOOKUP($C108,REV!$C:$AA,18,0)-'TRADE IN'!$F108))</f>
        <v>9699</v>
      </c>
      <c r="U108" s="46">
        <f>IF(VLOOKUP($C108,REV!$C:$AA,19,0)-'TRADE IN'!$F108=0,"",(VLOOKUP($C108,REV!$C:$AA,19,0)-'TRADE IN'!$F108))</f>
        <v>9699</v>
      </c>
      <c r="V108" s="46">
        <f>IF(VLOOKUP($C108,REV!$C:$AA,20,0)-'TRADE IN'!$F108=0,"",(VLOOKUP($C108,REV!$C:$AA,20,0)-'TRADE IN'!$F108))</f>
        <v>9699</v>
      </c>
      <c r="W108" s="46">
        <f>IF(VLOOKUP($C108,REV!$C:$AA,21,0)-'TRADE IN'!$F108=0,"",(VLOOKUP($C108,REV!$C:$AA,21,0)-'TRADE IN'!$F108))</f>
        <v>9599</v>
      </c>
      <c r="X108" s="46">
        <f>IF(VLOOKUP($C108,REV!$C:$AA,22,0)-'TRADE IN'!$F108=0,"",(VLOOKUP($C108,REV!$C:$AA,22,0)-'TRADE IN'!$F108))</f>
        <v>9599</v>
      </c>
      <c r="Y108" s="46">
        <f>IF(VLOOKUP($C108,REV!$C:$AA,23,0)-'TRADE IN'!$F108=0,"",(VLOOKUP($C108,REV!$C:$AA,23,0)-'TRADE IN'!$F108))</f>
        <v>8699</v>
      </c>
      <c r="Z108" s="46">
        <f>IF(VLOOKUP($C108,REV!$C:$AA,24,0)-'TRADE IN'!$F108=0,"",(VLOOKUP($C108,REV!$C:$AA,24,0)-'TRADE IN'!$F108))</f>
        <v>8699</v>
      </c>
      <c r="AA108" s="46">
        <f>IF(VLOOKUP($C108,REV!$C:$AA,25,0)-'TRADE IN'!$F108=0,"",(VLOOKUP($C108,REV!$C:$AA,25,0)-'TRADE IN'!$F108))</f>
        <v>8699</v>
      </c>
      <c r="AB108" s="45"/>
      <c r="AC108" s="45"/>
      <c r="AD108" s="45"/>
      <c r="AE108" s="45"/>
      <c r="AF108" s="45"/>
      <c r="AG108" s="45"/>
      <c r="AH108" s="45"/>
      <c r="AI108" s="45"/>
      <c r="AJ108" s="45"/>
      <c r="AK108" s="45"/>
      <c r="AL108" s="45"/>
      <c r="AM108" s="45"/>
      <c r="AN108" s="45"/>
      <c r="AO108" s="45"/>
      <c r="AP108" s="45"/>
      <c r="AQ108" s="45"/>
      <c r="AR108" s="45"/>
      <c r="AS108" s="45"/>
      <c r="AT108" s="45"/>
      <c r="AU108" s="45"/>
      <c r="AV108" s="47"/>
      <c r="AW108" s="48" t="str">
        <f>REV!AW108</f>
        <v>13.08.2026</v>
      </c>
      <c r="AX108" s="149" t="s">
        <v>68</v>
      </c>
    </row>
    <row r="109" spans="1:50" ht="22.5" customHeight="1">
      <c r="A109" s="41" t="s">
        <v>63</v>
      </c>
      <c r="B109" s="42" t="s">
        <v>64</v>
      </c>
      <c r="C109" s="43">
        <v>4017513</v>
      </c>
      <c r="D109" s="44" t="s">
        <v>190</v>
      </c>
      <c r="E109" s="44" t="s">
        <v>193</v>
      </c>
      <c r="F109" s="45">
        <v>100</v>
      </c>
      <c r="G109" s="45"/>
      <c r="H109" s="45"/>
      <c r="I109" s="45"/>
      <c r="J109" s="46">
        <f>IF(VLOOKUP($C109,REV!$C:$AA,8,0)-'TRADE IN'!$F109=0,"",(VLOOKUP($C109,REV!$C:$AA,8,0)-'TRADE IN'!$F109))</f>
        <v>10699</v>
      </c>
      <c r="K109" s="46">
        <f>IF(VLOOKUP($C109,REV!$C:$AA,9,0)-'TRADE IN'!$F109=0,"",(VLOOKUP($C109,REV!$C:$AA,9,0)-'TRADE IN'!$F109))</f>
        <v>10699</v>
      </c>
      <c r="L109" s="46">
        <f>IF(VLOOKUP($C109,REV!$C:$AA,10,0)-'TRADE IN'!$F109=0,"",(VLOOKUP($C109,REV!$C:$AA,10,0)-'TRADE IN'!$F109))</f>
        <v>10699</v>
      </c>
      <c r="M109" s="46">
        <f>IF(VLOOKUP($C109,REV!$C:$AA,11,0)-'TRADE IN'!$F109=0,"",(VLOOKUP($C109,REV!$C:$AA,11,0)-'TRADE IN'!$F109))</f>
        <v>10699</v>
      </c>
      <c r="N109" s="46">
        <f>IF(VLOOKUP($C109,REV!$C:$AA,12,0)-'TRADE IN'!$F109=0,"",(VLOOKUP($C109,REV!$C:$AA,12,0)-'TRADE IN'!$F109))</f>
        <v>10699</v>
      </c>
      <c r="O109" s="46">
        <f>IF(VLOOKUP($C109,REV!$C:$AA,13,0)-'TRADE IN'!$F109=0,"",(VLOOKUP($C109,REV!$C:$AA,13,0)-'TRADE IN'!$F109))</f>
        <v>10599</v>
      </c>
      <c r="P109" s="46">
        <f>IF(VLOOKUP($C109,REV!$C:$AA,14,0)-'TRADE IN'!$F109=0,"",(VLOOKUP($C109,REV!$C:$AA,14,0)-'TRADE IN'!$F109))</f>
        <v>10499</v>
      </c>
      <c r="Q109" s="46">
        <f>IF(VLOOKUP($C109,REV!$C:$AA,15,0)-'TRADE IN'!$F109=0,"",(VLOOKUP($C109,REV!$C:$AA,15,0)-'TRADE IN'!$F109))</f>
        <v>9699</v>
      </c>
      <c r="R109" s="46">
        <f>IF(VLOOKUP($C109,REV!$C:$AA,16,0)-'TRADE IN'!$F109=0,"",(VLOOKUP($C109,REV!$C:$AA,16,0)-'TRADE IN'!$F109))</f>
        <v>10599</v>
      </c>
      <c r="S109" s="46">
        <f>IF(VLOOKUP($C109,REV!$C:$AA,17,0)-'TRADE IN'!$F109=0,"",(VLOOKUP($C109,REV!$C:$AA,17,0)-'TRADE IN'!$F109))</f>
        <v>10499</v>
      </c>
      <c r="T109" s="46">
        <f>IF(VLOOKUP($C109,REV!$C:$AA,18,0)-'TRADE IN'!$F109=0,"",(VLOOKUP($C109,REV!$C:$AA,18,0)-'TRADE IN'!$F109))</f>
        <v>9699</v>
      </c>
      <c r="U109" s="46">
        <f>IF(VLOOKUP($C109,REV!$C:$AA,19,0)-'TRADE IN'!$F109=0,"",(VLOOKUP($C109,REV!$C:$AA,19,0)-'TRADE IN'!$F109))</f>
        <v>9699</v>
      </c>
      <c r="V109" s="46">
        <f>IF(VLOOKUP($C109,REV!$C:$AA,20,0)-'TRADE IN'!$F109=0,"",(VLOOKUP($C109,REV!$C:$AA,20,0)-'TRADE IN'!$F109))</f>
        <v>9699</v>
      </c>
      <c r="W109" s="46">
        <f>IF(VLOOKUP($C109,REV!$C:$AA,21,0)-'TRADE IN'!$F109=0,"",(VLOOKUP($C109,REV!$C:$AA,21,0)-'TRADE IN'!$F109))</f>
        <v>9599</v>
      </c>
      <c r="X109" s="46">
        <f>IF(VLOOKUP($C109,REV!$C:$AA,22,0)-'TRADE IN'!$F109=0,"",(VLOOKUP($C109,REV!$C:$AA,22,0)-'TRADE IN'!$F109))</f>
        <v>9599</v>
      </c>
      <c r="Y109" s="46">
        <f>IF(VLOOKUP($C109,REV!$C:$AA,23,0)-'TRADE IN'!$F109=0,"",(VLOOKUP($C109,REV!$C:$AA,23,0)-'TRADE IN'!$F109))</f>
        <v>8699</v>
      </c>
      <c r="Z109" s="46">
        <f>IF(VLOOKUP($C109,REV!$C:$AA,24,0)-'TRADE IN'!$F109=0,"",(VLOOKUP($C109,REV!$C:$AA,24,0)-'TRADE IN'!$F109))</f>
        <v>8699</v>
      </c>
      <c r="AA109" s="46">
        <f>IF(VLOOKUP($C109,REV!$C:$AA,25,0)-'TRADE IN'!$F109=0,"",(VLOOKUP($C109,REV!$C:$AA,25,0)-'TRADE IN'!$F109))</f>
        <v>8699</v>
      </c>
      <c r="AB109" s="45"/>
      <c r="AC109" s="45"/>
      <c r="AD109" s="45"/>
      <c r="AE109" s="45"/>
      <c r="AF109" s="45"/>
      <c r="AG109" s="45"/>
      <c r="AH109" s="45"/>
      <c r="AI109" s="45"/>
      <c r="AJ109" s="45"/>
      <c r="AK109" s="45"/>
      <c r="AL109" s="45"/>
      <c r="AM109" s="45"/>
      <c r="AN109" s="45"/>
      <c r="AO109" s="45"/>
      <c r="AP109" s="45"/>
      <c r="AQ109" s="45"/>
      <c r="AR109" s="45"/>
      <c r="AS109" s="45"/>
      <c r="AT109" s="45"/>
      <c r="AU109" s="45"/>
      <c r="AV109" s="47"/>
      <c r="AW109" s="48" t="str">
        <f>REV!AW109</f>
        <v>13.08.2026</v>
      </c>
      <c r="AX109" s="149" t="s">
        <v>68</v>
      </c>
    </row>
    <row r="110" spans="1:50" ht="22.5" customHeight="1">
      <c r="A110" s="41" t="s">
        <v>63</v>
      </c>
      <c r="B110" s="42" t="s">
        <v>64</v>
      </c>
      <c r="C110" s="43">
        <v>4017488</v>
      </c>
      <c r="D110" s="44" t="s">
        <v>194</v>
      </c>
      <c r="E110" s="44" t="s">
        <v>195</v>
      </c>
      <c r="F110" s="45">
        <v>100</v>
      </c>
      <c r="G110" s="45"/>
      <c r="H110" s="45"/>
      <c r="I110" s="45"/>
      <c r="J110" s="46">
        <f>IF(VLOOKUP($C110,REV!$C:$AA,8,0)-'TRADE IN'!$F110=0,"",(VLOOKUP($C110,REV!$C:$AA,8,0)-'TRADE IN'!$F110))</f>
        <v>12099</v>
      </c>
      <c r="K110" s="46">
        <f>IF(VLOOKUP($C110,REV!$C:$AA,9,0)-'TRADE IN'!$F110=0,"",(VLOOKUP($C110,REV!$C:$AA,9,0)-'TRADE IN'!$F110))</f>
        <v>12099</v>
      </c>
      <c r="L110" s="46">
        <f>IF(VLOOKUP($C110,REV!$C:$AA,10,0)-'TRADE IN'!$F110=0,"",(VLOOKUP($C110,REV!$C:$AA,10,0)-'TRADE IN'!$F110))</f>
        <v>12099</v>
      </c>
      <c r="M110" s="46">
        <f>IF(VLOOKUP($C110,REV!$C:$AA,11,0)-'TRADE IN'!$F110=0,"",(VLOOKUP($C110,REV!$C:$AA,11,0)-'TRADE IN'!$F110))</f>
        <v>12099</v>
      </c>
      <c r="N110" s="46">
        <f>IF(VLOOKUP($C110,REV!$C:$AA,12,0)-'TRADE IN'!$F110=0,"",(VLOOKUP($C110,REV!$C:$AA,12,0)-'TRADE IN'!$F110))</f>
        <v>12099</v>
      </c>
      <c r="O110" s="46">
        <f>IF(VLOOKUP($C110,REV!$C:$AA,13,0)-'TRADE IN'!$F110=0,"",(VLOOKUP($C110,REV!$C:$AA,13,0)-'TRADE IN'!$F110))</f>
        <v>11999</v>
      </c>
      <c r="P110" s="46">
        <f>IF(VLOOKUP($C110,REV!$C:$AA,14,0)-'TRADE IN'!$F110=0,"",(VLOOKUP($C110,REV!$C:$AA,14,0)-'TRADE IN'!$F110))</f>
        <v>11899</v>
      </c>
      <c r="Q110" s="46">
        <f>IF(VLOOKUP($C110,REV!$C:$AA,15,0)-'TRADE IN'!$F110=0,"",(VLOOKUP($C110,REV!$C:$AA,15,0)-'TRADE IN'!$F110))</f>
        <v>11099</v>
      </c>
      <c r="R110" s="46">
        <f>IF(VLOOKUP($C110,REV!$C:$AA,16,0)-'TRADE IN'!$F110=0,"",(VLOOKUP($C110,REV!$C:$AA,16,0)-'TRADE IN'!$F110))</f>
        <v>11999</v>
      </c>
      <c r="S110" s="46">
        <f>IF(VLOOKUP($C110,REV!$C:$AA,17,0)-'TRADE IN'!$F110=0,"",(VLOOKUP($C110,REV!$C:$AA,17,0)-'TRADE IN'!$F110))</f>
        <v>11899</v>
      </c>
      <c r="T110" s="46">
        <f>IF(VLOOKUP($C110,REV!$C:$AA,18,0)-'TRADE IN'!$F110=0,"",(VLOOKUP($C110,REV!$C:$AA,18,0)-'TRADE IN'!$F110))</f>
        <v>11099</v>
      </c>
      <c r="U110" s="46">
        <f>IF(VLOOKUP($C110,REV!$C:$AA,19,0)-'TRADE IN'!$F110=0,"",(VLOOKUP($C110,REV!$C:$AA,19,0)-'TRADE IN'!$F110))</f>
        <v>11099</v>
      </c>
      <c r="V110" s="46">
        <f>IF(VLOOKUP($C110,REV!$C:$AA,20,0)-'TRADE IN'!$F110=0,"",(VLOOKUP($C110,REV!$C:$AA,20,0)-'TRADE IN'!$F110))</f>
        <v>11099</v>
      </c>
      <c r="W110" s="46">
        <f>IF(VLOOKUP($C110,REV!$C:$AA,21,0)-'TRADE IN'!$F110=0,"",(VLOOKUP($C110,REV!$C:$AA,21,0)-'TRADE IN'!$F110))</f>
        <v>10999</v>
      </c>
      <c r="X110" s="46">
        <f>IF(VLOOKUP($C110,REV!$C:$AA,22,0)-'TRADE IN'!$F110=0,"",(VLOOKUP($C110,REV!$C:$AA,22,0)-'TRADE IN'!$F110))</f>
        <v>10999</v>
      </c>
      <c r="Y110" s="46">
        <f>IF(VLOOKUP($C110,REV!$C:$AA,23,0)-'TRADE IN'!$F110=0,"",(VLOOKUP($C110,REV!$C:$AA,23,0)-'TRADE IN'!$F110))</f>
        <v>9899</v>
      </c>
      <c r="Z110" s="46">
        <f>IF(VLOOKUP($C110,REV!$C:$AA,24,0)-'TRADE IN'!$F110=0,"",(VLOOKUP($C110,REV!$C:$AA,24,0)-'TRADE IN'!$F110))</f>
        <v>9899</v>
      </c>
      <c r="AA110" s="46">
        <f>IF(VLOOKUP($C110,REV!$C:$AA,25,0)-'TRADE IN'!$F110=0,"",(VLOOKUP($C110,REV!$C:$AA,25,0)-'TRADE IN'!$F110))</f>
        <v>9799</v>
      </c>
      <c r="AB110" s="45"/>
      <c r="AC110" s="45"/>
      <c r="AD110" s="45"/>
      <c r="AE110" s="45"/>
      <c r="AF110" s="45"/>
      <c r="AG110" s="45"/>
      <c r="AH110" s="45"/>
      <c r="AI110" s="45"/>
      <c r="AJ110" s="45"/>
      <c r="AK110" s="45"/>
      <c r="AL110" s="45"/>
      <c r="AM110" s="45"/>
      <c r="AN110" s="45"/>
      <c r="AO110" s="45"/>
      <c r="AP110" s="45"/>
      <c r="AQ110" s="45"/>
      <c r="AR110" s="45"/>
      <c r="AS110" s="45"/>
      <c r="AT110" s="45"/>
      <c r="AU110" s="45"/>
      <c r="AV110" s="47"/>
      <c r="AW110" s="48" t="str">
        <f>REV!AW110</f>
        <v>13.08.2026</v>
      </c>
      <c r="AX110" s="149" t="s">
        <v>68</v>
      </c>
    </row>
    <row r="111" spans="1:50" ht="22.5" customHeight="1">
      <c r="A111" s="41" t="s">
        <v>63</v>
      </c>
      <c r="B111" s="42" t="s">
        <v>64</v>
      </c>
      <c r="C111" s="43">
        <v>4017508</v>
      </c>
      <c r="D111" s="44" t="s">
        <v>194</v>
      </c>
      <c r="E111" s="44" t="s">
        <v>196</v>
      </c>
      <c r="F111" s="45">
        <v>100</v>
      </c>
      <c r="G111" s="45"/>
      <c r="H111" s="45"/>
      <c r="I111" s="45"/>
      <c r="J111" s="46">
        <f>IF(VLOOKUP($C111,REV!$C:$AA,8,0)-'TRADE IN'!$F111=0,"",(VLOOKUP($C111,REV!$C:$AA,8,0)-'TRADE IN'!$F111))</f>
        <v>12099</v>
      </c>
      <c r="K111" s="46">
        <f>IF(VLOOKUP($C111,REV!$C:$AA,9,0)-'TRADE IN'!$F111=0,"",(VLOOKUP($C111,REV!$C:$AA,9,0)-'TRADE IN'!$F111))</f>
        <v>12099</v>
      </c>
      <c r="L111" s="46">
        <f>IF(VLOOKUP($C111,REV!$C:$AA,10,0)-'TRADE IN'!$F111=0,"",(VLOOKUP($C111,REV!$C:$AA,10,0)-'TRADE IN'!$F111))</f>
        <v>12099</v>
      </c>
      <c r="M111" s="46">
        <f>IF(VLOOKUP($C111,REV!$C:$AA,11,0)-'TRADE IN'!$F111=0,"",(VLOOKUP($C111,REV!$C:$AA,11,0)-'TRADE IN'!$F111))</f>
        <v>12099</v>
      </c>
      <c r="N111" s="46">
        <f>IF(VLOOKUP($C111,REV!$C:$AA,12,0)-'TRADE IN'!$F111=0,"",(VLOOKUP($C111,REV!$C:$AA,12,0)-'TRADE IN'!$F111))</f>
        <v>12099</v>
      </c>
      <c r="O111" s="46">
        <f>IF(VLOOKUP($C111,REV!$C:$AA,13,0)-'TRADE IN'!$F111=0,"",(VLOOKUP($C111,REV!$C:$AA,13,0)-'TRADE IN'!$F111))</f>
        <v>11999</v>
      </c>
      <c r="P111" s="46">
        <f>IF(VLOOKUP($C111,REV!$C:$AA,14,0)-'TRADE IN'!$F111=0,"",(VLOOKUP($C111,REV!$C:$AA,14,0)-'TRADE IN'!$F111))</f>
        <v>11899</v>
      </c>
      <c r="Q111" s="46">
        <f>IF(VLOOKUP($C111,REV!$C:$AA,15,0)-'TRADE IN'!$F111=0,"",(VLOOKUP($C111,REV!$C:$AA,15,0)-'TRADE IN'!$F111))</f>
        <v>11099</v>
      </c>
      <c r="R111" s="46">
        <f>IF(VLOOKUP($C111,REV!$C:$AA,16,0)-'TRADE IN'!$F111=0,"",(VLOOKUP($C111,REV!$C:$AA,16,0)-'TRADE IN'!$F111))</f>
        <v>11999</v>
      </c>
      <c r="S111" s="46">
        <f>IF(VLOOKUP($C111,REV!$C:$AA,17,0)-'TRADE IN'!$F111=0,"",(VLOOKUP($C111,REV!$C:$AA,17,0)-'TRADE IN'!$F111))</f>
        <v>11899</v>
      </c>
      <c r="T111" s="46">
        <f>IF(VLOOKUP($C111,REV!$C:$AA,18,0)-'TRADE IN'!$F111=0,"",(VLOOKUP($C111,REV!$C:$AA,18,0)-'TRADE IN'!$F111))</f>
        <v>11099</v>
      </c>
      <c r="U111" s="46">
        <f>IF(VLOOKUP($C111,REV!$C:$AA,19,0)-'TRADE IN'!$F111=0,"",(VLOOKUP($C111,REV!$C:$AA,19,0)-'TRADE IN'!$F111))</f>
        <v>11099</v>
      </c>
      <c r="V111" s="46">
        <f>IF(VLOOKUP($C111,REV!$C:$AA,20,0)-'TRADE IN'!$F111=0,"",(VLOOKUP($C111,REV!$C:$AA,20,0)-'TRADE IN'!$F111))</f>
        <v>11099</v>
      </c>
      <c r="W111" s="46">
        <f>IF(VLOOKUP($C111,REV!$C:$AA,21,0)-'TRADE IN'!$F111=0,"",(VLOOKUP($C111,REV!$C:$AA,21,0)-'TRADE IN'!$F111))</f>
        <v>10999</v>
      </c>
      <c r="X111" s="46">
        <f>IF(VLOOKUP($C111,REV!$C:$AA,22,0)-'TRADE IN'!$F111=0,"",(VLOOKUP($C111,REV!$C:$AA,22,0)-'TRADE IN'!$F111))</f>
        <v>10999</v>
      </c>
      <c r="Y111" s="46">
        <f>IF(VLOOKUP($C111,REV!$C:$AA,23,0)-'TRADE IN'!$F111=0,"",(VLOOKUP($C111,REV!$C:$AA,23,0)-'TRADE IN'!$F111))</f>
        <v>9899</v>
      </c>
      <c r="Z111" s="46">
        <f>IF(VLOOKUP($C111,REV!$C:$AA,24,0)-'TRADE IN'!$F111=0,"",(VLOOKUP($C111,REV!$C:$AA,24,0)-'TRADE IN'!$F111))</f>
        <v>9899</v>
      </c>
      <c r="AA111" s="46">
        <f>IF(VLOOKUP($C111,REV!$C:$AA,25,0)-'TRADE IN'!$F111=0,"",(VLOOKUP($C111,REV!$C:$AA,25,0)-'TRADE IN'!$F111))</f>
        <v>9799</v>
      </c>
      <c r="AB111" s="45"/>
      <c r="AC111" s="45"/>
      <c r="AD111" s="45"/>
      <c r="AE111" s="45"/>
      <c r="AF111" s="45"/>
      <c r="AG111" s="45"/>
      <c r="AH111" s="45"/>
      <c r="AI111" s="45"/>
      <c r="AJ111" s="45"/>
      <c r="AK111" s="45"/>
      <c r="AL111" s="45"/>
      <c r="AM111" s="45"/>
      <c r="AN111" s="45"/>
      <c r="AO111" s="45"/>
      <c r="AP111" s="45"/>
      <c r="AQ111" s="45"/>
      <c r="AR111" s="45"/>
      <c r="AS111" s="45"/>
      <c r="AT111" s="45"/>
      <c r="AU111" s="45"/>
      <c r="AV111" s="47"/>
      <c r="AW111" s="48" t="str">
        <f>REV!AW111</f>
        <v>13.08.2026</v>
      </c>
      <c r="AX111" s="149" t="s">
        <v>68</v>
      </c>
    </row>
    <row r="112" spans="1:50" ht="22.5" customHeight="1">
      <c r="A112" s="41" t="s">
        <v>63</v>
      </c>
      <c r="B112" s="42" t="s">
        <v>64</v>
      </c>
      <c r="C112" s="43">
        <v>4017489</v>
      </c>
      <c r="D112" s="44" t="s">
        <v>194</v>
      </c>
      <c r="E112" s="44" t="s">
        <v>197</v>
      </c>
      <c r="F112" s="45">
        <v>100</v>
      </c>
      <c r="G112" s="45"/>
      <c r="H112" s="45"/>
      <c r="I112" s="45"/>
      <c r="J112" s="46">
        <f>IF(VLOOKUP($C112,REV!$C:$AA,8,0)-'TRADE IN'!$F112=0,"",(VLOOKUP($C112,REV!$C:$AA,8,0)-'TRADE IN'!$F112))</f>
        <v>12099</v>
      </c>
      <c r="K112" s="46">
        <f>IF(VLOOKUP($C112,REV!$C:$AA,9,0)-'TRADE IN'!$F112=0,"",(VLOOKUP($C112,REV!$C:$AA,9,0)-'TRADE IN'!$F112))</f>
        <v>12099</v>
      </c>
      <c r="L112" s="46">
        <f>IF(VLOOKUP($C112,REV!$C:$AA,10,0)-'TRADE IN'!$F112=0,"",(VLOOKUP($C112,REV!$C:$AA,10,0)-'TRADE IN'!$F112))</f>
        <v>12099</v>
      </c>
      <c r="M112" s="46">
        <f>IF(VLOOKUP($C112,REV!$C:$AA,11,0)-'TRADE IN'!$F112=0,"",(VLOOKUP($C112,REV!$C:$AA,11,0)-'TRADE IN'!$F112))</f>
        <v>12099</v>
      </c>
      <c r="N112" s="46">
        <f>IF(VLOOKUP($C112,REV!$C:$AA,12,0)-'TRADE IN'!$F112=0,"",(VLOOKUP($C112,REV!$C:$AA,12,0)-'TRADE IN'!$F112))</f>
        <v>12099</v>
      </c>
      <c r="O112" s="46">
        <f>IF(VLOOKUP($C112,REV!$C:$AA,13,0)-'TRADE IN'!$F112=0,"",(VLOOKUP($C112,REV!$C:$AA,13,0)-'TRADE IN'!$F112))</f>
        <v>11999</v>
      </c>
      <c r="P112" s="46">
        <f>IF(VLOOKUP($C112,REV!$C:$AA,14,0)-'TRADE IN'!$F112=0,"",(VLOOKUP($C112,REV!$C:$AA,14,0)-'TRADE IN'!$F112))</f>
        <v>11899</v>
      </c>
      <c r="Q112" s="46">
        <f>IF(VLOOKUP($C112,REV!$C:$AA,15,0)-'TRADE IN'!$F112=0,"",(VLOOKUP($C112,REV!$C:$AA,15,0)-'TRADE IN'!$F112))</f>
        <v>11099</v>
      </c>
      <c r="R112" s="46">
        <f>IF(VLOOKUP($C112,REV!$C:$AA,16,0)-'TRADE IN'!$F112=0,"",(VLOOKUP($C112,REV!$C:$AA,16,0)-'TRADE IN'!$F112))</f>
        <v>11999</v>
      </c>
      <c r="S112" s="46">
        <f>IF(VLOOKUP($C112,REV!$C:$AA,17,0)-'TRADE IN'!$F112=0,"",(VLOOKUP($C112,REV!$C:$AA,17,0)-'TRADE IN'!$F112))</f>
        <v>11899</v>
      </c>
      <c r="T112" s="46">
        <f>IF(VLOOKUP($C112,REV!$C:$AA,18,0)-'TRADE IN'!$F112=0,"",(VLOOKUP($C112,REV!$C:$AA,18,0)-'TRADE IN'!$F112))</f>
        <v>11099</v>
      </c>
      <c r="U112" s="46">
        <f>IF(VLOOKUP($C112,REV!$C:$AA,19,0)-'TRADE IN'!$F112=0,"",(VLOOKUP($C112,REV!$C:$AA,19,0)-'TRADE IN'!$F112))</f>
        <v>11099</v>
      </c>
      <c r="V112" s="46">
        <f>IF(VLOOKUP($C112,REV!$C:$AA,20,0)-'TRADE IN'!$F112=0,"",(VLOOKUP($C112,REV!$C:$AA,20,0)-'TRADE IN'!$F112))</f>
        <v>11099</v>
      </c>
      <c r="W112" s="46">
        <f>IF(VLOOKUP($C112,REV!$C:$AA,21,0)-'TRADE IN'!$F112=0,"",(VLOOKUP($C112,REV!$C:$AA,21,0)-'TRADE IN'!$F112))</f>
        <v>10999</v>
      </c>
      <c r="X112" s="46">
        <f>IF(VLOOKUP($C112,REV!$C:$AA,22,0)-'TRADE IN'!$F112=0,"",(VLOOKUP($C112,REV!$C:$AA,22,0)-'TRADE IN'!$F112))</f>
        <v>10999</v>
      </c>
      <c r="Y112" s="46">
        <f>IF(VLOOKUP($C112,REV!$C:$AA,23,0)-'TRADE IN'!$F112=0,"",(VLOOKUP($C112,REV!$C:$AA,23,0)-'TRADE IN'!$F112))</f>
        <v>9899</v>
      </c>
      <c r="Z112" s="46">
        <f>IF(VLOOKUP($C112,REV!$C:$AA,24,0)-'TRADE IN'!$F112=0,"",(VLOOKUP($C112,REV!$C:$AA,24,0)-'TRADE IN'!$F112))</f>
        <v>9899</v>
      </c>
      <c r="AA112" s="46">
        <f>IF(VLOOKUP($C112,REV!$C:$AA,25,0)-'TRADE IN'!$F112=0,"",(VLOOKUP($C112,REV!$C:$AA,25,0)-'TRADE IN'!$F112))</f>
        <v>9799</v>
      </c>
      <c r="AB112" s="45"/>
      <c r="AC112" s="45"/>
      <c r="AD112" s="45"/>
      <c r="AE112" s="45"/>
      <c r="AF112" s="45"/>
      <c r="AG112" s="45"/>
      <c r="AH112" s="45"/>
      <c r="AI112" s="45"/>
      <c r="AJ112" s="45"/>
      <c r="AK112" s="45"/>
      <c r="AL112" s="45"/>
      <c r="AM112" s="45"/>
      <c r="AN112" s="45"/>
      <c r="AO112" s="45"/>
      <c r="AP112" s="45"/>
      <c r="AQ112" s="45"/>
      <c r="AR112" s="45"/>
      <c r="AS112" s="45"/>
      <c r="AT112" s="45"/>
      <c r="AU112" s="45"/>
      <c r="AV112" s="47"/>
      <c r="AW112" s="48" t="str">
        <f>REV!AW112</f>
        <v>13.08.2026</v>
      </c>
      <c r="AX112" s="149" t="s">
        <v>68</v>
      </c>
    </row>
    <row r="113" spans="1:50" ht="22.5" customHeight="1">
      <c r="A113" s="41" t="s">
        <v>63</v>
      </c>
      <c r="B113" s="42" t="s">
        <v>64</v>
      </c>
      <c r="C113" s="43">
        <v>4017493</v>
      </c>
      <c r="D113" s="44" t="s">
        <v>198</v>
      </c>
      <c r="E113" s="44" t="s">
        <v>199</v>
      </c>
      <c r="F113" s="45">
        <v>100</v>
      </c>
      <c r="G113" s="45"/>
      <c r="H113" s="45"/>
      <c r="I113" s="45"/>
      <c r="J113" s="46">
        <f>IF(VLOOKUP($C113,REV!$C:$AA,8,0)-'TRADE IN'!$F113=0,"",(VLOOKUP($C113,REV!$C:$AA,8,0)-'TRADE IN'!$F113))</f>
        <v>11599</v>
      </c>
      <c r="K113" s="46">
        <f>IF(VLOOKUP($C113,REV!$C:$AA,9,0)-'TRADE IN'!$F113=0,"",(VLOOKUP($C113,REV!$C:$AA,9,0)-'TRADE IN'!$F113))</f>
        <v>11599</v>
      </c>
      <c r="L113" s="46">
        <f>IF(VLOOKUP($C113,REV!$C:$AA,10,0)-'TRADE IN'!$F113=0,"",(VLOOKUP($C113,REV!$C:$AA,10,0)-'TRADE IN'!$F113))</f>
        <v>11599</v>
      </c>
      <c r="M113" s="46">
        <f>IF(VLOOKUP($C113,REV!$C:$AA,11,0)-'TRADE IN'!$F113=0,"",(VLOOKUP($C113,REV!$C:$AA,11,0)-'TRADE IN'!$F113))</f>
        <v>11599</v>
      </c>
      <c r="N113" s="46">
        <f>IF(VLOOKUP($C113,REV!$C:$AA,12,0)-'TRADE IN'!$F113=0,"",(VLOOKUP($C113,REV!$C:$AA,12,0)-'TRADE IN'!$F113))</f>
        <v>11599</v>
      </c>
      <c r="O113" s="46">
        <f>IF(VLOOKUP($C113,REV!$C:$AA,13,0)-'TRADE IN'!$F113=0,"",(VLOOKUP($C113,REV!$C:$AA,13,0)-'TRADE IN'!$F113))</f>
        <v>11499</v>
      </c>
      <c r="P113" s="46">
        <f>IF(VLOOKUP($C113,REV!$C:$AA,14,0)-'TRADE IN'!$F113=0,"",(VLOOKUP($C113,REV!$C:$AA,14,0)-'TRADE IN'!$F113))</f>
        <v>11399</v>
      </c>
      <c r="Q113" s="46">
        <f>IF(VLOOKUP($C113,REV!$C:$AA,15,0)-'TRADE IN'!$F113=0,"",(VLOOKUP($C113,REV!$C:$AA,15,0)-'TRADE IN'!$F113))</f>
        <v>10599</v>
      </c>
      <c r="R113" s="46">
        <f>IF(VLOOKUP($C113,REV!$C:$AA,16,0)-'TRADE IN'!$F113=0,"",(VLOOKUP($C113,REV!$C:$AA,16,0)-'TRADE IN'!$F113))</f>
        <v>11499</v>
      </c>
      <c r="S113" s="46">
        <f>IF(VLOOKUP($C113,REV!$C:$AA,17,0)-'TRADE IN'!$F113=0,"",(VLOOKUP($C113,REV!$C:$AA,17,0)-'TRADE IN'!$F113))</f>
        <v>11399</v>
      </c>
      <c r="T113" s="46">
        <f>IF(VLOOKUP($C113,REV!$C:$AA,18,0)-'TRADE IN'!$F113=0,"",(VLOOKUP($C113,REV!$C:$AA,18,0)-'TRADE IN'!$F113))</f>
        <v>10599</v>
      </c>
      <c r="U113" s="46">
        <f>IF(VLOOKUP($C113,REV!$C:$AA,19,0)-'TRADE IN'!$F113=0,"",(VLOOKUP($C113,REV!$C:$AA,19,0)-'TRADE IN'!$F113))</f>
        <v>10599</v>
      </c>
      <c r="V113" s="46">
        <f>IF(VLOOKUP($C113,REV!$C:$AA,20,0)-'TRADE IN'!$F113=0,"",(VLOOKUP($C113,REV!$C:$AA,20,0)-'TRADE IN'!$F113))</f>
        <v>10599</v>
      </c>
      <c r="W113" s="46">
        <f>IF(VLOOKUP($C113,REV!$C:$AA,21,0)-'TRADE IN'!$F113=0,"",(VLOOKUP($C113,REV!$C:$AA,21,0)-'TRADE IN'!$F113))</f>
        <v>10499</v>
      </c>
      <c r="X113" s="46">
        <f>IF(VLOOKUP($C113,REV!$C:$AA,22,0)-'TRADE IN'!$F113=0,"",(VLOOKUP($C113,REV!$C:$AA,22,0)-'TRADE IN'!$F113))</f>
        <v>10499</v>
      </c>
      <c r="Y113" s="46">
        <f>IF(VLOOKUP($C113,REV!$C:$AA,23,0)-'TRADE IN'!$F113=0,"",(VLOOKUP($C113,REV!$C:$AA,23,0)-'TRADE IN'!$F113))</f>
        <v>9699</v>
      </c>
      <c r="Z113" s="46">
        <f>IF(VLOOKUP($C113,REV!$C:$AA,24,0)-'TRADE IN'!$F113=0,"",(VLOOKUP($C113,REV!$C:$AA,24,0)-'TRADE IN'!$F113))</f>
        <v>9699</v>
      </c>
      <c r="AA113" s="46">
        <f>IF(VLOOKUP($C113,REV!$C:$AA,25,0)-'TRADE IN'!$F113=0,"",(VLOOKUP($C113,REV!$C:$AA,25,0)-'TRADE IN'!$F113))</f>
        <v>9699</v>
      </c>
      <c r="AB113" s="45"/>
      <c r="AC113" s="45"/>
      <c r="AD113" s="45"/>
      <c r="AE113" s="45"/>
      <c r="AF113" s="45"/>
      <c r="AG113" s="45"/>
      <c r="AH113" s="45"/>
      <c r="AI113" s="45"/>
      <c r="AJ113" s="45"/>
      <c r="AK113" s="45"/>
      <c r="AL113" s="45"/>
      <c r="AM113" s="45"/>
      <c r="AN113" s="45"/>
      <c r="AO113" s="45"/>
      <c r="AP113" s="45"/>
      <c r="AQ113" s="45"/>
      <c r="AR113" s="45"/>
      <c r="AS113" s="45"/>
      <c r="AT113" s="45"/>
      <c r="AU113" s="45"/>
      <c r="AV113" s="47"/>
      <c r="AW113" s="48" t="str">
        <f>REV!AW113</f>
        <v>13.08.2026</v>
      </c>
      <c r="AX113" s="149" t="s">
        <v>68</v>
      </c>
    </row>
    <row r="114" spans="1:50" ht="22.5" customHeight="1">
      <c r="A114" s="41" t="s">
        <v>63</v>
      </c>
      <c r="B114" s="42" t="s">
        <v>64</v>
      </c>
      <c r="C114" s="43">
        <v>4017494</v>
      </c>
      <c r="D114" s="44" t="s">
        <v>198</v>
      </c>
      <c r="E114" s="44" t="s">
        <v>200</v>
      </c>
      <c r="F114" s="45">
        <v>100</v>
      </c>
      <c r="G114" s="45"/>
      <c r="H114" s="45"/>
      <c r="I114" s="45"/>
      <c r="J114" s="46">
        <f>IF(VLOOKUP($C114,REV!$C:$AA,8,0)-'TRADE IN'!$F114=0,"",(VLOOKUP($C114,REV!$C:$AA,8,0)-'TRADE IN'!$F114))</f>
        <v>11599</v>
      </c>
      <c r="K114" s="46">
        <f>IF(VLOOKUP($C114,REV!$C:$AA,9,0)-'TRADE IN'!$F114=0,"",(VLOOKUP($C114,REV!$C:$AA,9,0)-'TRADE IN'!$F114))</f>
        <v>11599</v>
      </c>
      <c r="L114" s="46">
        <f>IF(VLOOKUP($C114,REV!$C:$AA,10,0)-'TRADE IN'!$F114=0,"",(VLOOKUP($C114,REV!$C:$AA,10,0)-'TRADE IN'!$F114))</f>
        <v>11599</v>
      </c>
      <c r="M114" s="46">
        <f>IF(VLOOKUP($C114,REV!$C:$AA,11,0)-'TRADE IN'!$F114=0,"",(VLOOKUP($C114,REV!$C:$AA,11,0)-'TRADE IN'!$F114))</f>
        <v>11599</v>
      </c>
      <c r="N114" s="46">
        <f>IF(VLOOKUP($C114,REV!$C:$AA,12,0)-'TRADE IN'!$F114=0,"",(VLOOKUP($C114,REV!$C:$AA,12,0)-'TRADE IN'!$F114))</f>
        <v>11599</v>
      </c>
      <c r="O114" s="46">
        <f>IF(VLOOKUP($C114,REV!$C:$AA,13,0)-'TRADE IN'!$F114=0,"",(VLOOKUP($C114,REV!$C:$AA,13,0)-'TRADE IN'!$F114))</f>
        <v>11499</v>
      </c>
      <c r="P114" s="46">
        <f>IF(VLOOKUP($C114,REV!$C:$AA,14,0)-'TRADE IN'!$F114=0,"",(VLOOKUP($C114,REV!$C:$AA,14,0)-'TRADE IN'!$F114))</f>
        <v>11399</v>
      </c>
      <c r="Q114" s="46">
        <f>IF(VLOOKUP($C114,REV!$C:$AA,15,0)-'TRADE IN'!$F114=0,"",(VLOOKUP($C114,REV!$C:$AA,15,0)-'TRADE IN'!$F114))</f>
        <v>10599</v>
      </c>
      <c r="R114" s="46">
        <f>IF(VLOOKUP($C114,REV!$C:$AA,16,0)-'TRADE IN'!$F114=0,"",(VLOOKUP($C114,REV!$C:$AA,16,0)-'TRADE IN'!$F114))</f>
        <v>11499</v>
      </c>
      <c r="S114" s="46">
        <f>IF(VLOOKUP($C114,REV!$C:$AA,17,0)-'TRADE IN'!$F114=0,"",(VLOOKUP($C114,REV!$C:$AA,17,0)-'TRADE IN'!$F114))</f>
        <v>11399</v>
      </c>
      <c r="T114" s="46">
        <f>IF(VLOOKUP($C114,REV!$C:$AA,18,0)-'TRADE IN'!$F114=0,"",(VLOOKUP($C114,REV!$C:$AA,18,0)-'TRADE IN'!$F114))</f>
        <v>10599</v>
      </c>
      <c r="U114" s="46">
        <f>IF(VLOOKUP($C114,REV!$C:$AA,19,0)-'TRADE IN'!$F114=0,"",(VLOOKUP($C114,REV!$C:$AA,19,0)-'TRADE IN'!$F114))</f>
        <v>10599</v>
      </c>
      <c r="V114" s="46">
        <f>IF(VLOOKUP($C114,REV!$C:$AA,20,0)-'TRADE IN'!$F114=0,"",(VLOOKUP($C114,REV!$C:$AA,20,0)-'TRADE IN'!$F114))</f>
        <v>10599</v>
      </c>
      <c r="W114" s="46">
        <f>IF(VLOOKUP($C114,REV!$C:$AA,21,0)-'TRADE IN'!$F114=0,"",(VLOOKUP($C114,REV!$C:$AA,21,0)-'TRADE IN'!$F114))</f>
        <v>10499</v>
      </c>
      <c r="X114" s="46">
        <f>IF(VLOOKUP($C114,REV!$C:$AA,22,0)-'TRADE IN'!$F114=0,"",(VLOOKUP($C114,REV!$C:$AA,22,0)-'TRADE IN'!$F114))</f>
        <v>10499</v>
      </c>
      <c r="Y114" s="46">
        <f>IF(VLOOKUP($C114,REV!$C:$AA,23,0)-'TRADE IN'!$F114=0,"",(VLOOKUP($C114,REV!$C:$AA,23,0)-'TRADE IN'!$F114))</f>
        <v>9699</v>
      </c>
      <c r="Z114" s="46">
        <f>IF(VLOOKUP($C114,REV!$C:$AA,24,0)-'TRADE IN'!$F114=0,"",(VLOOKUP($C114,REV!$C:$AA,24,0)-'TRADE IN'!$F114))</f>
        <v>9699</v>
      </c>
      <c r="AA114" s="46">
        <f>IF(VLOOKUP($C114,REV!$C:$AA,25,0)-'TRADE IN'!$F114=0,"",(VLOOKUP($C114,REV!$C:$AA,25,0)-'TRADE IN'!$F114))</f>
        <v>9699</v>
      </c>
      <c r="AB114" s="45"/>
      <c r="AC114" s="45"/>
      <c r="AD114" s="45"/>
      <c r="AE114" s="45"/>
      <c r="AF114" s="45"/>
      <c r="AG114" s="45"/>
      <c r="AH114" s="45"/>
      <c r="AI114" s="45"/>
      <c r="AJ114" s="45"/>
      <c r="AK114" s="45"/>
      <c r="AL114" s="45"/>
      <c r="AM114" s="45"/>
      <c r="AN114" s="45"/>
      <c r="AO114" s="45"/>
      <c r="AP114" s="45"/>
      <c r="AQ114" s="45"/>
      <c r="AR114" s="45"/>
      <c r="AS114" s="45"/>
      <c r="AT114" s="45"/>
      <c r="AU114" s="45"/>
      <c r="AV114" s="47"/>
      <c r="AW114" s="48" t="str">
        <f>REV!AW114</f>
        <v>13.08.2026</v>
      </c>
      <c r="AX114" s="149" t="s">
        <v>68</v>
      </c>
    </row>
    <row r="115" spans="1:50" ht="22.5" customHeight="1">
      <c r="A115" s="41" t="s">
        <v>63</v>
      </c>
      <c r="B115" s="42" t="s">
        <v>64</v>
      </c>
      <c r="C115" s="43">
        <v>4017514</v>
      </c>
      <c r="D115" s="44" t="s">
        <v>198</v>
      </c>
      <c r="E115" s="44" t="s">
        <v>201</v>
      </c>
      <c r="F115" s="45">
        <v>100</v>
      </c>
      <c r="G115" s="45"/>
      <c r="H115" s="45"/>
      <c r="I115" s="45"/>
      <c r="J115" s="46">
        <f>IF(VLOOKUP($C115,REV!$C:$AA,8,0)-'TRADE IN'!$F115=0,"",(VLOOKUP($C115,REV!$C:$AA,8,0)-'TRADE IN'!$F115))</f>
        <v>11599</v>
      </c>
      <c r="K115" s="46">
        <f>IF(VLOOKUP($C115,REV!$C:$AA,9,0)-'TRADE IN'!$F115=0,"",(VLOOKUP($C115,REV!$C:$AA,9,0)-'TRADE IN'!$F115))</f>
        <v>11599</v>
      </c>
      <c r="L115" s="46">
        <f>IF(VLOOKUP($C115,REV!$C:$AA,10,0)-'TRADE IN'!$F115=0,"",(VLOOKUP($C115,REV!$C:$AA,10,0)-'TRADE IN'!$F115))</f>
        <v>11599</v>
      </c>
      <c r="M115" s="46">
        <f>IF(VLOOKUP($C115,REV!$C:$AA,11,0)-'TRADE IN'!$F115=0,"",(VLOOKUP($C115,REV!$C:$AA,11,0)-'TRADE IN'!$F115))</f>
        <v>11599</v>
      </c>
      <c r="N115" s="46">
        <f>IF(VLOOKUP($C115,REV!$C:$AA,12,0)-'TRADE IN'!$F115=0,"",(VLOOKUP($C115,REV!$C:$AA,12,0)-'TRADE IN'!$F115))</f>
        <v>11599</v>
      </c>
      <c r="O115" s="46">
        <f>IF(VLOOKUP($C115,REV!$C:$AA,13,0)-'TRADE IN'!$F115=0,"",(VLOOKUP($C115,REV!$C:$AA,13,0)-'TRADE IN'!$F115))</f>
        <v>11499</v>
      </c>
      <c r="P115" s="46">
        <f>IF(VLOOKUP($C115,REV!$C:$AA,14,0)-'TRADE IN'!$F115=0,"",(VLOOKUP($C115,REV!$C:$AA,14,0)-'TRADE IN'!$F115))</f>
        <v>11399</v>
      </c>
      <c r="Q115" s="46">
        <f>IF(VLOOKUP($C115,REV!$C:$AA,15,0)-'TRADE IN'!$F115=0,"",(VLOOKUP($C115,REV!$C:$AA,15,0)-'TRADE IN'!$F115))</f>
        <v>10599</v>
      </c>
      <c r="R115" s="46">
        <f>IF(VLOOKUP($C115,REV!$C:$AA,16,0)-'TRADE IN'!$F115=0,"",(VLOOKUP($C115,REV!$C:$AA,16,0)-'TRADE IN'!$F115))</f>
        <v>11499</v>
      </c>
      <c r="S115" s="46">
        <f>IF(VLOOKUP($C115,REV!$C:$AA,17,0)-'TRADE IN'!$F115=0,"",(VLOOKUP($C115,REV!$C:$AA,17,0)-'TRADE IN'!$F115))</f>
        <v>11399</v>
      </c>
      <c r="T115" s="46">
        <f>IF(VLOOKUP($C115,REV!$C:$AA,18,0)-'TRADE IN'!$F115=0,"",(VLOOKUP($C115,REV!$C:$AA,18,0)-'TRADE IN'!$F115))</f>
        <v>10599</v>
      </c>
      <c r="U115" s="46">
        <f>IF(VLOOKUP($C115,REV!$C:$AA,19,0)-'TRADE IN'!$F115=0,"",(VLOOKUP($C115,REV!$C:$AA,19,0)-'TRADE IN'!$F115))</f>
        <v>10599</v>
      </c>
      <c r="V115" s="46">
        <f>IF(VLOOKUP($C115,REV!$C:$AA,20,0)-'TRADE IN'!$F115=0,"",(VLOOKUP($C115,REV!$C:$AA,20,0)-'TRADE IN'!$F115))</f>
        <v>10599</v>
      </c>
      <c r="W115" s="46">
        <f>IF(VLOOKUP($C115,REV!$C:$AA,21,0)-'TRADE IN'!$F115=0,"",(VLOOKUP($C115,REV!$C:$AA,21,0)-'TRADE IN'!$F115))</f>
        <v>10499</v>
      </c>
      <c r="X115" s="46">
        <f>IF(VLOOKUP($C115,REV!$C:$AA,22,0)-'TRADE IN'!$F115=0,"",(VLOOKUP($C115,REV!$C:$AA,22,0)-'TRADE IN'!$F115))</f>
        <v>10499</v>
      </c>
      <c r="Y115" s="46">
        <f>IF(VLOOKUP($C115,REV!$C:$AA,23,0)-'TRADE IN'!$F115=0,"",(VLOOKUP($C115,REV!$C:$AA,23,0)-'TRADE IN'!$F115))</f>
        <v>9699</v>
      </c>
      <c r="Z115" s="46">
        <f>IF(VLOOKUP($C115,REV!$C:$AA,24,0)-'TRADE IN'!$F115=0,"",(VLOOKUP($C115,REV!$C:$AA,24,0)-'TRADE IN'!$F115))</f>
        <v>9699</v>
      </c>
      <c r="AA115" s="46">
        <f>IF(VLOOKUP($C115,REV!$C:$AA,25,0)-'TRADE IN'!$F115=0,"",(VLOOKUP($C115,REV!$C:$AA,25,0)-'TRADE IN'!$F115))</f>
        <v>9699</v>
      </c>
      <c r="AB115" s="45"/>
      <c r="AC115" s="45"/>
      <c r="AD115" s="45"/>
      <c r="AE115" s="45"/>
      <c r="AF115" s="45"/>
      <c r="AG115" s="45"/>
      <c r="AH115" s="45"/>
      <c r="AI115" s="45"/>
      <c r="AJ115" s="45"/>
      <c r="AK115" s="45"/>
      <c r="AL115" s="45"/>
      <c r="AM115" s="45"/>
      <c r="AN115" s="45"/>
      <c r="AO115" s="45"/>
      <c r="AP115" s="45"/>
      <c r="AQ115" s="45"/>
      <c r="AR115" s="45"/>
      <c r="AS115" s="45"/>
      <c r="AT115" s="45"/>
      <c r="AU115" s="45"/>
      <c r="AV115" s="47"/>
      <c r="AW115" s="48" t="str">
        <f>REV!AW115</f>
        <v>13.08.2026</v>
      </c>
      <c r="AX115" s="149" t="s">
        <v>68</v>
      </c>
    </row>
    <row r="116" spans="1:50" ht="22.5" customHeight="1">
      <c r="A116" s="41" t="s">
        <v>63</v>
      </c>
      <c r="B116" s="42" t="s">
        <v>64</v>
      </c>
      <c r="C116" s="43">
        <v>4017503</v>
      </c>
      <c r="D116" s="44" t="s">
        <v>202</v>
      </c>
      <c r="E116" s="44" t="s">
        <v>203</v>
      </c>
      <c r="F116" s="45">
        <v>100</v>
      </c>
      <c r="G116" s="45"/>
      <c r="H116" s="45"/>
      <c r="I116" s="45"/>
      <c r="J116" s="46">
        <f>IF(VLOOKUP($C116,REV!$C:$AA,8,0)-'TRADE IN'!$F116=0,"",(VLOOKUP($C116,REV!$C:$AA,8,0)-'TRADE IN'!$F116))</f>
        <v>12999</v>
      </c>
      <c r="K116" s="46">
        <f>IF(VLOOKUP($C116,REV!$C:$AA,9,0)-'TRADE IN'!$F116=0,"",(VLOOKUP($C116,REV!$C:$AA,9,0)-'TRADE IN'!$F116))</f>
        <v>12999</v>
      </c>
      <c r="L116" s="46">
        <f>IF(VLOOKUP($C116,REV!$C:$AA,10,0)-'TRADE IN'!$F116=0,"",(VLOOKUP($C116,REV!$C:$AA,10,0)-'TRADE IN'!$F116))</f>
        <v>12999</v>
      </c>
      <c r="M116" s="46">
        <f>IF(VLOOKUP($C116,REV!$C:$AA,11,0)-'TRADE IN'!$F116=0,"",(VLOOKUP($C116,REV!$C:$AA,11,0)-'TRADE IN'!$F116))</f>
        <v>12999</v>
      </c>
      <c r="N116" s="46">
        <f>IF(VLOOKUP($C116,REV!$C:$AA,12,0)-'TRADE IN'!$F116=0,"",(VLOOKUP($C116,REV!$C:$AA,12,0)-'TRADE IN'!$F116))</f>
        <v>12999</v>
      </c>
      <c r="O116" s="46">
        <f>IF(VLOOKUP($C116,REV!$C:$AA,13,0)-'TRADE IN'!$F116=0,"",(VLOOKUP($C116,REV!$C:$AA,13,0)-'TRADE IN'!$F116))</f>
        <v>12899</v>
      </c>
      <c r="P116" s="46">
        <f>IF(VLOOKUP($C116,REV!$C:$AA,14,0)-'TRADE IN'!$F116=0,"",(VLOOKUP($C116,REV!$C:$AA,14,0)-'TRADE IN'!$F116))</f>
        <v>12799</v>
      </c>
      <c r="Q116" s="46">
        <f>IF(VLOOKUP($C116,REV!$C:$AA,15,0)-'TRADE IN'!$F116=0,"",(VLOOKUP($C116,REV!$C:$AA,15,0)-'TRADE IN'!$F116))</f>
        <v>11999</v>
      </c>
      <c r="R116" s="46">
        <f>IF(VLOOKUP($C116,REV!$C:$AA,16,0)-'TRADE IN'!$F116=0,"",(VLOOKUP($C116,REV!$C:$AA,16,0)-'TRADE IN'!$F116))</f>
        <v>12899</v>
      </c>
      <c r="S116" s="46">
        <f>IF(VLOOKUP($C116,REV!$C:$AA,17,0)-'TRADE IN'!$F116=0,"",(VLOOKUP($C116,REV!$C:$AA,17,0)-'TRADE IN'!$F116))</f>
        <v>12799</v>
      </c>
      <c r="T116" s="46">
        <f>IF(VLOOKUP($C116,REV!$C:$AA,18,0)-'TRADE IN'!$F116=0,"",(VLOOKUP($C116,REV!$C:$AA,18,0)-'TRADE IN'!$F116))</f>
        <v>11999</v>
      </c>
      <c r="U116" s="46">
        <f>IF(VLOOKUP($C116,REV!$C:$AA,19,0)-'TRADE IN'!$F116=0,"",(VLOOKUP($C116,REV!$C:$AA,19,0)-'TRADE IN'!$F116))</f>
        <v>11999</v>
      </c>
      <c r="V116" s="46">
        <f>IF(VLOOKUP($C116,REV!$C:$AA,20,0)-'TRADE IN'!$F116=0,"",(VLOOKUP($C116,REV!$C:$AA,20,0)-'TRADE IN'!$F116))</f>
        <v>11999</v>
      </c>
      <c r="W116" s="46">
        <f>IF(VLOOKUP($C116,REV!$C:$AA,21,0)-'TRADE IN'!$F116=0,"",(VLOOKUP($C116,REV!$C:$AA,21,0)-'TRADE IN'!$F116))</f>
        <v>11899</v>
      </c>
      <c r="X116" s="46">
        <f>IF(VLOOKUP($C116,REV!$C:$AA,22,0)-'TRADE IN'!$F116=0,"",(VLOOKUP($C116,REV!$C:$AA,22,0)-'TRADE IN'!$F116))</f>
        <v>11899</v>
      </c>
      <c r="Y116" s="46">
        <f>IF(VLOOKUP($C116,REV!$C:$AA,23,0)-'TRADE IN'!$F116=0,"",(VLOOKUP($C116,REV!$C:$AA,23,0)-'TRADE IN'!$F116))</f>
        <v>10899</v>
      </c>
      <c r="Z116" s="46">
        <f>IF(VLOOKUP($C116,REV!$C:$AA,24,0)-'TRADE IN'!$F116=0,"",(VLOOKUP($C116,REV!$C:$AA,24,0)-'TRADE IN'!$F116))</f>
        <v>10899</v>
      </c>
      <c r="AA116" s="46">
        <f>IF(VLOOKUP($C116,REV!$C:$AA,25,0)-'TRADE IN'!$F116=0,"",(VLOOKUP($C116,REV!$C:$AA,25,0)-'TRADE IN'!$F116))</f>
        <v>10799</v>
      </c>
      <c r="AB116" s="45"/>
      <c r="AC116" s="45"/>
      <c r="AD116" s="45"/>
      <c r="AE116" s="45"/>
      <c r="AF116" s="45"/>
      <c r="AG116" s="45"/>
      <c r="AH116" s="45"/>
      <c r="AI116" s="45"/>
      <c r="AJ116" s="45"/>
      <c r="AK116" s="45"/>
      <c r="AL116" s="45"/>
      <c r="AM116" s="45"/>
      <c r="AN116" s="45"/>
      <c r="AO116" s="45"/>
      <c r="AP116" s="45"/>
      <c r="AQ116" s="45"/>
      <c r="AR116" s="45"/>
      <c r="AS116" s="45"/>
      <c r="AT116" s="45"/>
      <c r="AU116" s="45"/>
      <c r="AV116" s="47"/>
      <c r="AW116" s="48" t="str">
        <f>REV!AW116</f>
        <v>13.08.2026</v>
      </c>
      <c r="AX116" s="149" t="s">
        <v>68</v>
      </c>
    </row>
    <row r="117" spans="1:50" ht="22.5" customHeight="1">
      <c r="A117" s="41" t="s">
        <v>63</v>
      </c>
      <c r="B117" s="42" t="s">
        <v>64</v>
      </c>
      <c r="C117" s="43">
        <v>4017520</v>
      </c>
      <c r="D117" s="44" t="s">
        <v>202</v>
      </c>
      <c r="E117" s="44" t="s">
        <v>204</v>
      </c>
      <c r="F117" s="45">
        <v>100</v>
      </c>
      <c r="G117" s="45"/>
      <c r="H117" s="45"/>
      <c r="I117" s="45"/>
      <c r="J117" s="46">
        <f>IF(VLOOKUP($C117,REV!$C:$AA,8,0)-'TRADE IN'!$F117=0,"",(VLOOKUP($C117,REV!$C:$AA,8,0)-'TRADE IN'!$F117))</f>
        <v>12999</v>
      </c>
      <c r="K117" s="46">
        <f>IF(VLOOKUP($C117,REV!$C:$AA,9,0)-'TRADE IN'!$F117=0,"",(VLOOKUP($C117,REV!$C:$AA,9,0)-'TRADE IN'!$F117))</f>
        <v>12999</v>
      </c>
      <c r="L117" s="46">
        <f>IF(VLOOKUP($C117,REV!$C:$AA,10,0)-'TRADE IN'!$F117=0,"",(VLOOKUP($C117,REV!$C:$AA,10,0)-'TRADE IN'!$F117))</f>
        <v>12999</v>
      </c>
      <c r="M117" s="46">
        <f>IF(VLOOKUP($C117,REV!$C:$AA,11,0)-'TRADE IN'!$F117=0,"",(VLOOKUP($C117,REV!$C:$AA,11,0)-'TRADE IN'!$F117))</f>
        <v>12999</v>
      </c>
      <c r="N117" s="46">
        <f>IF(VLOOKUP($C117,REV!$C:$AA,12,0)-'TRADE IN'!$F117=0,"",(VLOOKUP($C117,REV!$C:$AA,12,0)-'TRADE IN'!$F117))</f>
        <v>12999</v>
      </c>
      <c r="O117" s="46">
        <f>IF(VLOOKUP($C117,REV!$C:$AA,13,0)-'TRADE IN'!$F117=0,"",(VLOOKUP($C117,REV!$C:$AA,13,0)-'TRADE IN'!$F117))</f>
        <v>12899</v>
      </c>
      <c r="P117" s="46">
        <f>IF(VLOOKUP($C117,REV!$C:$AA,14,0)-'TRADE IN'!$F117=0,"",(VLOOKUP($C117,REV!$C:$AA,14,0)-'TRADE IN'!$F117))</f>
        <v>12799</v>
      </c>
      <c r="Q117" s="46">
        <f>IF(VLOOKUP($C117,REV!$C:$AA,15,0)-'TRADE IN'!$F117=0,"",(VLOOKUP($C117,REV!$C:$AA,15,0)-'TRADE IN'!$F117))</f>
        <v>11999</v>
      </c>
      <c r="R117" s="46">
        <f>IF(VLOOKUP($C117,REV!$C:$AA,16,0)-'TRADE IN'!$F117=0,"",(VLOOKUP($C117,REV!$C:$AA,16,0)-'TRADE IN'!$F117))</f>
        <v>12899</v>
      </c>
      <c r="S117" s="46">
        <f>IF(VLOOKUP($C117,REV!$C:$AA,17,0)-'TRADE IN'!$F117=0,"",(VLOOKUP($C117,REV!$C:$AA,17,0)-'TRADE IN'!$F117))</f>
        <v>12799</v>
      </c>
      <c r="T117" s="46">
        <f>IF(VLOOKUP($C117,REV!$C:$AA,18,0)-'TRADE IN'!$F117=0,"",(VLOOKUP($C117,REV!$C:$AA,18,0)-'TRADE IN'!$F117))</f>
        <v>11999</v>
      </c>
      <c r="U117" s="46">
        <f>IF(VLOOKUP($C117,REV!$C:$AA,19,0)-'TRADE IN'!$F117=0,"",(VLOOKUP($C117,REV!$C:$AA,19,0)-'TRADE IN'!$F117))</f>
        <v>11999</v>
      </c>
      <c r="V117" s="46">
        <f>IF(VLOOKUP($C117,REV!$C:$AA,20,0)-'TRADE IN'!$F117=0,"",(VLOOKUP($C117,REV!$C:$AA,20,0)-'TRADE IN'!$F117))</f>
        <v>11999</v>
      </c>
      <c r="W117" s="46">
        <f>IF(VLOOKUP($C117,REV!$C:$AA,21,0)-'TRADE IN'!$F117=0,"",(VLOOKUP($C117,REV!$C:$AA,21,0)-'TRADE IN'!$F117))</f>
        <v>11899</v>
      </c>
      <c r="X117" s="46">
        <f>IF(VLOOKUP($C117,REV!$C:$AA,22,0)-'TRADE IN'!$F117=0,"",(VLOOKUP($C117,REV!$C:$AA,22,0)-'TRADE IN'!$F117))</f>
        <v>11899</v>
      </c>
      <c r="Y117" s="46">
        <f>IF(VLOOKUP($C117,REV!$C:$AA,23,0)-'TRADE IN'!$F117=0,"",(VLOOKUP($C117,REV!$C:$AA,23,0)-'TRADE IN'!$F117))</f>
        <v>10899</v>
      </c>
      <c r="Z117" s="46">
        <f>IF(VLOOKUP($C117,REV!$C:$AA,24,0)-'TRADE IN'!$F117=0,"",(VLOOKUP($C117,REV!$C:$AA,24,0)-'TRADE IN'!$F117))</f>
        <v>10899</v>
      </c>
      <c r="AA117" s="46">
        <f>IF(VLOOKUP($C117,REV!$C:$AA,25,0)-'TRADE IN'!$F117=0,"",(VLOOKUP($C117,REV!$C:$AA,25,0)-'TRADE IN'!$F117))</f>
        <v>10799</v>
      </c>
      <c r="AB117" s="45"/>
      <c r="AC117" s="45"/>
      <c r="AD117" s="45"/>
      <c r="AE117" s="45"/>
      <c r="AF117" s="45"/>
      <c r="AG117" s="45"/>
      <c r="AH117" s="45"/>
      <c r="AI117" s="45"/>
      <c r="AJ117" s="45"/>
      <c r="AK117" s="45"/>
      <c r="AL117" s="45"/>
      <c r="AM117" s="45"/>
      <c r="AN117" s="45"/>
      <c r="AO117" s="45"/>
      <c r="AP117" s="45"/>
      <c r="AQ117" s="45"/>
      <c r="AR117" s="45"/>
      <c r="AS117" s="45"/>
      <c r="AT117" s="45"/>
      <c r="AU117" s="45"/>
      <c r="AV117" s="47"/>
      <c r="AW117" s="48" t="str">
        <f>REV!AW117</f>
        <v>13.08.2026</v>
      </c>
      <c r="AX117" s="149" t="s">
        <v>68</v>
      </c>
    </row>
    <row r="118" spans="1:50" ht="22.5" customHeight="1">
      <c r="A118" s="41" t="s">
        <v>63</v>
      </c>
      <c r="B118" s="42" t="s">
        <v>64</v>
      </c>
      <c r="C118" s="43">
        <v>4017522</v>
      </c>
      <c r="D118" s="44" t="s">
        <v>202</v>
      </c>
      <c r="E118" s="44" t="s">
        <v>205</v>
      </c>
      <c r="F118" s="45">
        <v>100</v>
      </c>
      <c r="G118" s="45"/>
      <c r="H118" s="45"/>
      <c r="I118" s="45"/>
      <c r="J118" s="46">
        <f>IF(VLOOKUP($C118,REV!$C:$AA,8,0)-'TRADE IN'!$F118=0,"",(VLOOKUP($C118,REV!$C:$AA,8,0)-'TRADE IN'!$F118))</f>
        <v>12999</v>
      </c>
      <c r="K118" s="46">
        <f>IF(VLOOKUP($C118,REV!$C:$AA,9,0)-'TRADE IN'!$F118=0,"",(VLOOKUP($C118,REV!$C:$AA,9,0)-'TRADE IN'!$F118))</f>
        <v>12999</v>
      </c>
      <c r="L118" s="46">
        <f>IF(VLOOKUP($C118,REV!$C:$AA,10,0)-'TRADE IN'!$F118=0,"",(VLOOKUP($C118,REV!$C:$AA,10,0)-'TRADE IN'!$F118))</f>
        <v>12999</v>
      </c>
      <c r="M118" s="46">
        <f>IF(VLOOKUP($C118,REV!$C:$AA,11,0)-'TRADE IN'!$F118=0,"",(VLOOKUP($C118,REV!$C:$AA,11,0)-'TRADE IN'!$F118))</f>
        <v>12999</v>
      </c>
      <c r="N118" s="46">
        <f>IF(VLOOKUP($C118,REV!$C:$AA,12,0)-'TRADE IN'!$F118=0,"",(VLOOKUP($C118,REV!$C:$AA,12,0)-'TRADE IN'!$F118))</f>
        <v>12999</v>
      </c>
      <c r="O118" s="46">
        <f>IF(VLOOKUP($C118,REV!$C:$AA,13,0)-'TRADE IN'!$F118=0,"",(VLOOKUP($C118,REV!$C:$AA,13,0)-'TRADE IN'!$F118))</f>
        <v>12899</v>
      </c>
      <c r="P118" s="46">
        <f>IF(VLOOKUP($C118,REV!$C:$AA,14,0)-'TRADE IN'!$F118=0,"",(VLOOKUP($C118,REV!$C:$AA,14,0)-'TRADE IN'!$F118))</f>
        <v>12799</v>
      </c>
      <c r="Q118" s="46">
        <f>IF(VLOOKUP($C118,REV!$C:$AA,15,0)-'TRADE IN'!$F118=0,"",(VLOOKUP($C118,REV!$C:$AA,15,0)-'TRADE IN'!$F118))</f>
        <v>11999</v>
      </c>
      <c r="R118" s="46">
        <f>IF(VLOOKUP($C118,REV!$C:$AA,16,0)-'TRADE IN'!$F118=0,"",(VLOOKUP($C118,REV!$C:$AA,16,0)-'TRADE IN'!$F118))</f>
        <v>12899</v>
      </c>
      <c r="S118" s="46">
        <f>IF(VLOOKUP($C118,REV!$C:$AA,17,0)-'TRADE IN'!$F118=0,"",(VLOOKUP($C118,REV!$C:$AA,17,0)-'TRADE IN'!$F118))</f>
        <v>12799</v>
      </c>
      <c r="T118" s="46">
        <f>IF(VLOOKUP($C118,REV!$C:$AA,18,0)-'TRADE IN'!$F118=0,"",(VLOOKUP($C118,REV!$C:$AA,18,0)-'TRADE IN'!$F118))</f>
        <v>11999</v>
      </c>
      <c r="U118" s="46">
        <f>IF(VLOOKUP($C118,REV!$C:$AA,19,0)-'TRADE IN'!$F118=0,"",(VLOOKUP($C118,REV!$C:$AA,19,0)-'TRADE IN'!$F118))</f>
        <v>11999</v>
      </c>
      <c r="V118" s="46">
        <f>IF(VLOOKUP($C118,REV!$C:$AA,20,0)-'TRADE IN'!$F118=0,"",(VLOOKUP($C118,REV!$C:$AA,20,0)-'TRADE IN'!$F118))</f>
        <v>11999</v>
      </c>
      <c r="W118" s="46">
        <f>IF(VLOOKUP($C118,REV!$C:$AA,21,0)-'TRADE IN'!$F118=0,"",(VLOOKUP($C118,REV!$C:$AA,21,0)-'TRADE IN'!$F118))</f>
        <v>11899</v>
      </c>
      <c r="X118" s="46">
        <f>IF(VLOOKUP($C118,REV!$C:$AA,22,0)-'TRADE IN'!$F118=0,"",(VLOOKUP($C118,REV!$C:$AA,22,0)-'TRADE IN'!$F118))</f>
        <v>11899</v>
      </c>
      <c r="Y118" s="46">
        <f>IF(VLOOKUP($C118,REV!$C:$AA,23,0)-'TRADE IN'!$F118=0,"",(VLOOKUP($C118,REV!$C:$AA,23,0)-'TRADE IN'!$F118))</f>
        <v>10899</v>
      </c>
      <c r="Z118" s="46">
        <f>IF(VLOOKUP($C118,REV!$C:$AA,24,0)-'TRADE IN'!$F118=0,"",(VLOOKUP($C118,REV!$C:$AA,24,0)-'TRADE IN'!$F118))</f>
        <v>10899</v>
      </c>
      <c r="AA118" s="46">
        <f>IF(VLOOKUP($C118,REV!$C:$AA,25,0)-'TRADE IN'!$F118=0,"",(VLOOKUP($C118,REV!$C:$AA,25,0)-'TRADE IN'!$F118))</f>
        <v>10799</v>
      </c>
      <c r="AB118" s="45"/>
      <c r="AC118" s="45"/>
      <c r="AD118" s="45"/>
      <c r="AE118" s="45"/>
      <c r="AF118" s="45"/>
      <c r="AG118" s="45"/>
      <c r="AH118" s="45"/>
      <c r="AI118" s="45"/>
      <c r="AJ118" s="45"/>
      <c r="AK118" s="45"/>
      <c r="AL118" s="45"/>
      <c r="AM118" s="45"/>
      <c r="AN118" s="45"/>
      <c r="AO118" s="45"/>
      <c r="AP118" s="45"/>
      <c r="AQ118" s="45"/>
      <c r="AR118" s="45"/>
      <c r="AS118" s="45"/>
      <c r="AT118" s="45"/>
      <c r="AU118" s="45"/>
      <c r="AV118" s="47"/>
      <c r="AW118" s="48" t="str">
        <f>REV!AW118</f>
        <v>13.08.2026</v>
      </c>
      <c r="AX118" s="149" t="s">
        <v>68</v>
      </c>
    </row>
    <row r="119" spans="1:50" ht="22.5" customHeight="1">
      <c r="A119" s="41" t="s">
        <v>63</v>
      </c>
      <c r="B119" s="42" t="s">
        <v>64</v>
      </c>
      <c r="C119" s="43">
        <v>4017845</v>
      </c>
      <c r="D119" s="44" t="s">
        <v>206</v>
      </c>
      <c r="E119" s="44" t="s">
        <v>207</v>
      </c>
      <c r="F119" s="45">
        <v>500</v>
      </c>
      <c r="G119" s="45">
        <v>4899</v>
      </c>
      <c r="H119" s="45">
        <v>5399</v>
      </c>
      <c r="I119" s="45">
        <v>5399</v>
      </c>
      <c r="J119" s="46">
        <f>IF(VLOOKUP($C119,REV!$C:$AA,8,0)-'TRADE IN'!$F119=0,"",(VLOOKUP($C119,REV!$C:$AA,8,0)-'TRADE IN'!$F119))</f>
        <v>4599</v>
      </c>
      <c r="K119" s="46">
        <f>IF(VLOOKUP($C119,REV!$C:$AA,9,0)-'TRADE IN'!$F119=0,"",(VLOOKUP($C119,REV!$C:$AA,9,0)-'TRADE IN'!$F119))</f>
        <v>4599</v>
      </c>
      <c r="L119" s="46">
        <f>IF(VLOOKUP($C119,REV!$C:$AA,10,0)-'TRADE IN'!$F119=0,"",(VLOOKUP($C119,REV!$C:$AA,10,0)-'TRADE IN'!$F119))</f>
        <v>4599</v>
      </c>
      <c r="M119" s="46">
        <f>IF(VLOOKUP($C119,REV!$C:$AA,11,0)-'TRADE IN'!$F119=0,"",(VLOOKUP($C119,REV!$C:$AA,11,0)-'TRADE IN'!$F119))</f>
        <v>4599</v>
      </c>
      <c r="N119" s="46">
        <f>IF(VLOOKUP($C119,REV!$C:$AA,12,0)-'TRADE IN'!$F119=0,"",(VLOOKUP($C119,REV!$C:$AA,12,0)-'TRADE IN'!$F119))</f>
        <v>4599</v>
      </c>
      <c r="O119" s="46">
        <f>IF(VLOOKUP($C119,REV!$C:$AA,13,0)-'TRADE IN'!$F119=0,"",(VLOOKUP($C119,REV!$C:$AA,13,0)-'TRADE IN'!$F119))</f>
        <v>4499</v>
      </c>
      <c r="P119" s="46">
        <f>IF(VLOOKUP($C119,REV!$C:$AA,14,0)-'TRADE IN'!$F119=0,"",(VLOOKUP($C119,REV!$C:$AA,14,0)-'TRADE IN'!$F119))</f>
        <v>4399</v>
      </c>
      <c r="Q119" s="46">
        <f>IF(VLOOKUP($C119,REV!$C:$AA,15,0)-'TRADE IN'!$F119=0,"",(VLOOKUP($C119,REV!$C:$AA,15,0)-'TRADE IN'!$F119))</f>
        <v>3999</v>
      </c>
      <c r="R119" s="46">
        <f>IF(VLOOKUP($C119,REV!$C:$AA,16,0)-'TRADE IN'!$F119=0,"",(VLOOKUP($C119,REV!$C:$AA,16,0)-'TRADE IN'!$F119))</f>
        <v>4499</v>
      </c>
      <c r="S119" s="46">
        <f>IF(VLOOKUP($C119,REV!$C:$AA,17,0)-'TRADE IN'!$F119=0,"",(VLOOKUP($C119,REV!$C:$AA,17,0)-'TRADE IN'!$F119))</f>
        <v>4399</v>
      </c>
      <c r="T119" s="46">
        <f>IF(VLOOKUP($C119,REV!$C:$AA,18,0)-'TRADE IN'!$F119=0,"",(VLOOKUP($C119,REV!$C:$AA,18,0)-'TRADE IN'!$F119))</f>
        <v>3999</v>
      </c>
      <c r="U119" s="46">
        <f>IF(VLOOKUP($C119,REV!$C:$AA,19,0)-'TRADE IN'!$F119=0,"",(VLOOKUP($C119,REV!$C:$AA,19,0)-'TRADE IN'!$F119))</f>
        <v>3999</v>
      </c>
      <c r="V119" s="46">
        <f>IF(VLOOKUP($C119,REV!$C:$AA,20,0)-'TRADE IN'!$F119=0,"",(VLOOKUP($C119,REV!$C:$AA,20,0)-'TRADE IN'!$F119))</f>
        <v>3999</v>
      </c>
      <c r="W119" s="46">
        <f>IF(VLOOKUP($C119,REV!$C:$AA,21,0)-'TRADE IN'!$F119=0,"",(VLOOKUP($C119,REV!$C:$AA,21,0)-'TRADE IN'!$F119))</f>
        <v>3999</v>
      </c>
      <c r="X119" s="46">
        <f>IF(VLOOKUP($C119,REV!$C:$AA,22,0)-'TRADE IN'!$F119=0,"",(VLOOKUP($C119,REV!$C:$AA,22,0)-'TRADE IN'!$F119))</f>
        <v>3899</v>
      </c>
      <c r="Y119" s="46">
        <f>IF(VLOOKUP($C119,REV!$C:$AA,23,0)-'TRADE IN'!$F119=0,"",(VLOOKUP($C119,REV!$C:$AA,23,0)-'TRADE IN'!$F119))</f>
        <v>3299</v>
      </c>
      <c r="Z119" s="46">
        <f>IF(VLOOKUP($C119,REV!$C:$AA,24,0)-'TRADE IN'!$F119=0,"",(VLOOKUP($C119,REV!$C:$AA,24,0)-'TRADE IN'!$F119))</f>
        <v>3299</v>
      </c>
      <c r="AA119" s="46">
        <f>IF(VLOOKUP($C119,REV!$C:$AA,25,0)-'TRADE IN'!$F119=0,"",(VLOOKUP($C119,REV!$C:$AA,25,0)-'TRADE IN'!$F119))</f>
        <v>3249</v>
      </c>
      <c r="AB119" s="45">
        <f>IF(VLOOKUP($C119,REV!$C:$AL,27,0)-'TRADE IN'!$F119=0,"",(VLOOKUP($C119,REV!$C:$AL,27,0)-'TRADE IN'!$F119))</f>
        <v>4599</v>
      </c>
      <c r="AC119" s="45">
        <f>IF(VLOOKUP($C119,REV!$C:$AL,28,0)-'TRADE IN'!$F119=0,"",(VLOOKUP($C119,REV!$C:$AL,28,0)-'TRADE IN'!$F119))</f>
        <v>4599</v>
      </c>
      <c r="AD119" s="45">
        <f>IF(VLOOKUP($C119,REV!$C:$AL,29,0)-'TRADE IN'!$F119=0,"",(VLOOKUP($C119,REV!$C:$AL,29,0)-'TRADE IN'!$F119))</f>
        <v>4499</v>
      </c>
      <c r="AE119" s="45">
        <f>IF(VLOOKUP($C119,REV!$C:$AL,30,0)-'TRADE IN'!$F119=0,"",(VLOOKUP($C119,REV!$C:$AL,30,0)-'TRADE IN'!$F119))</f>
        <v>4399</v>
      </c>
      <c r="AF119" s="45">
        <f>IF(VLOOKUP($C119,REV!$C:$AL,31,0)-'TRADE IN'!$F119=0,"",(VLOOKUP($C119,REV!$C:$AL,31,0)-'TRADE IN'!$F119))</f>
        <v>4399</v>
      </c>
      <c r="AG119" s="45">
        <f>IF(VLOOKUP($C119,REV!$C:$AL,31,0)-'TRADE IN'!$F119=0,"",(VLOOKUP($C119,REV!$C:$AL,31,0)-'TRADE IN'!$F119))</f>
        <v>4399</v>
      </c>
      <c r="AH119" s="45">
        <f>IF(VLOOKUP($C119,REV!$C:$AL,32,0)-'TRADE IN'!$F119=0,"",(VLOOKUP($C119,REV!$C:$AL,32,0)-'TRADE IN'!$F119))</f>
        <v>3999</v>
      </c>
      <c r="AI119" s="45">
        <f>IF(VLOOKUP($C119,REV!$C:$AL,33,0)-'TRADE IN'!$F119=0,"",(VLOOKUP($C119,REV!$C:$AL,33,0)-'TRADE IN'!$F119))</f>
        <v>3999</v>
      </c>
      <c r="AJ119" s="45">
        <f>IF(VLOOKUP($C119,REV!$C:$AL,34,0)-'TRADE IN'!$F119=0,"",(VLOOKUP($C119,REV!$C:$AL,34,0)-'TRADE IN'!$F119))</f>
        <v>3999</v>
      </c>
      <c r="AK119" s="45">
        <f>IF(VLOOKUP($C119,REV!$C:$AL,35,0)-'TRADE IN'!$F119=0,"",(VLOOKUP($C119,REV!$C:$AL,35,0)-'TRADE IN'!$F119))</f>
        <v>3999</v>
      </c>
      <c r="AL119" s="45">
        <f>IF(VLOOKUP($C119,REV!$C:$AL,36,0)-'TRADE IN'!$F119=0,"",(VLOOKUP($C119,REV!$C:$AL,36,0)-'TRADE IN'!$F119))</f>
        <v>3299</v>
      </c>
      <c r="AM119" s="45"/>
      <c r="AN119" s="45"/>
      <c r="AO119" s="45"/>
      <c r="AP119" s="45"/>
      <c r="AQ119" s="45"/>
      <c r="AR119" s="45"/>
      <c r="AS119" s="45"/>
      <c r="AT119" s="45"/>
      <c r="AU119" s="45"/>
      <c r="AV119" s="47"/>
      <c r="AW119" s="48" t="str">
        <f>REV!AW119</f>
        <v>13.08.2026</v>
      </c>
      <c r="AX119" s="149" t="s">
        <v>68</v>
      </c>
    </row>
    <row r="120" spans="1:50" ht="22.5" customHeight="1">
      <c r="A120" s="41" t="s">
        <v>63</v>
      </c>
      <c r="B120" s="42" t="s">
        <v>64</v>
      </c>
      <c r="C120" s="43">
        <v>4017841</v>
      </c>
      <c r="D120" s="44" t="s">
        <v>206</v>
      </c>
      <c r="E120" s="44" t="s">
        <v>208</v>
      </c>
      <c r="F120" s="45">
        <v>500</v>
      </c>
      <c r="G120" s="45">
        <v>4899</v>
      </c>
      <c r="H120" s="45">
        <v>5399</v>
      </c>
      <c r="I120" s="45">
        <v>5399</v>
      </c>
      <c r="J120" s="46">
        <f>IF(VLOOKUP($C120,REV!$C:$AA,8,0)-'TRADE IN'!$F120=0,"",(VLOOKUP($C120,REV!$C:$AA,8,0)-'TRADE IN'!$F120))</f>
        <v>4599</v>
      </c>
      <c r="K120" s="46">
        <f>IF(VLOOKUP($C120,REV!$C:$AA,9,0)-'TRADE IN'!$F120=0,"",(VLOOKUP($C120,REV!$C:$AA,9,0)-'TRADE IN'!$F120))</f>
        <v>4599</v>
      </c>
      <c r="L120" s="46">
        <f>IF(VLOOKUP($C120,REV!$C:$AA,10,0)-'TRADE IN'!$F120=0,"",(VLOOKUP($C120,REV!$C:$AA,10,0)-'TRADE IN'!$F120))</f>
        <v>4599</v>
      </c>
      <c r="M120" s="46">
        <f>IF(VLOOKUP($C120,REV!$C:$AA,11,0)-'TRADE IN'!$F120=0,"",(VLOOKUP($C120,REV!$C:$AA,11,0)-'TRADE IN'!$F120))</f>
        <v>4599</v>
      </c>
      <c r="N120" s="46">
        <f>IF(VLOOKUP($C120,REV!$C:$AA,12,0)-'TRADE IN'!$F120=0,"",(VLOOKUP($C120,REV!$C:$AA,12,0)-'TRADE IN'!$F120))</f>
        <v>4599</v>
      </c>
      <c r="O120" s="46">
        <f>IF(VLOOKUP($C120,REV!$C:$AA,13,0)-'TRADE IN'!$F120=0,"",(VLOOKUP($C120,REV!$C:$AA,13,0)-'TRADE IN'!$F120))</f>
        <v>4499</v>
      </c>
      <c r="P120" s="46">
        <f>IF(VLOOKUP($C120,REV!$C:$AA,14,0)-'TRADE IN'!$F120=0,"",(VLOOKUP($C120,REV!$C:$AA,14,0)-'TRADE IN'!$F120))</f>
        <v>4399</v>
      </c>
      <c r="Q120" s="46">
        <f>IF(VLOOKUP($C120,REV!$C:$AA,15,0)-'TRADE IN'!$F120=0,"",(VLOOKUP($C120,REV!$C:$AA,15,0)-'TRADE IN'!$F120))</f>
        <v>3999</v>
      </c>
      <c r="R120" s="46">
        <f>IF(VLOOKUP($C120,REV!$C:$AA,16,0)-'TRADE IN'!$F120=0,"",(VLOOKUP($C120,REV!$C:$AA,16,0)-'TRADE IN'!$F120))</f>
        <v>4499</v>
      </c>
      <c r="S120" s="46">
        <f>IF(VLOOKUP($C120,REV!$C:$AA,17,0)-'TRADE IN'!$F120=0,"",(VLOOKUP($C120,REV!$C:$AA,17,0)-'TRADE IN'!$F120))</f>
        <v>4399</v>
      </c>
      <c r="T120" s="46">
        <f>IF(VLOOKUP($C120,REV!$C:$AA,18,0)-'TRADE IN'!$F120=0,"",(VLOOKUP($C120,REV!$C:$AA,18,0)-'TRADE IN'!$F120))</f>
        <v>3999</v>
      </c>
      <c r="U120" s="46">
        <f>IF(VLOOKUP($C120,REV!$C:$AA,19,0)-'TRADE IN'!$F120=0,"",(VLOOKUP($C120,REV!$C:$AA,19,0)-'TRADE IN'!$F120))</f>
        <v>3999</v>
      </c>
      <c r="V120" s="46">
        <f>IF(VLOOKUP($C120,REV!$C:$AA,20,0)-'TRADE IN'!$F120=0,"",(VLOOKUP($C120,REV!$C:$AA,20,0)-'TRADE IN'!$F120))</f>
        <v>3999</v>
      </c>
      <c r="W120" s="46">
        <f>IF(VLOOKUP($C120,REV!$C:$AA,21,0)-'TRADE IN'!$F120=0,"",(VLOOKUP($C120,REV!$C:$AA,21,0)-'TRADE IN'!$F120))</f>
        <v>3999</v>
      </c>
      <c r="X120" s="46">
        <f>IF(VLOOKUP($C120,REV!$C:$AA,22,0)-'TRADE IN'!$F120=0,"",(VLOOKUP($C120,REV!$C:$AA,22,0)-'TRADE IN'!$F120))</f>
        <v>3899</v>
      </c>
      <c r="Y120" s="46">
        <f>IF(VLOOKUP($C120,REV!$C:$AA,23,0)-'TRADE IN'!$F120=0,"",(VLOOKUP($C120,REV!$C:$AA,23,0)-'TRADE IN'!$F120))</f>
        <v>3299</v>
      </c>
      <c r="Z120" s="46">
        <f>IF(VLOOKUP($C120,REV!$C:$AA,24,0)-'TRADE IN'!$F120=0,"",(VLOOKUP($C120,REV!$C:$AA,24,0)-'TRADE IN'!$F120))</f>
        <v>3299</v>
      </c>
      <c r="AA120" s="46">
        <f>IF(VLOOKUP($C120,REV!$C:$AA,25,0)-'TRADE IN'!$F120=0,"",(VLOOKUP($C120,REV!$C:$AA,25,0)-'TRADE IN'!$F120))</f>
        <v>3249</v>
      </c>
      <c r="AB120" s="45">
        <f>IF(VLOOKUP($C120,REV!$C:$AL,27,0)-'TRADE IN'!$F120=0,"",(VLOOKUP($C120,REV!$C:$AL,27,0)-'TRADE IN'!$F120))</f>
        <v>4599</v>
      </c>
      <c r="AC120" s="45">
        <f>IF(VLOOKUP($C120,REV!$C:$AL,28,0)-'TRADE IN'!$F120=0,"",(VLOOKUP($C120,REV!$C:$AL,28,0)-'TRADE IN'!$F120))</f>
        <v>4599</v>
      </c>
      <c r="AD120" s="45">
        <f>IF(VLOOKUP($C120,REV!$C:$AL,29,0)-'TRADE IN'!$F120=0,"",(VLOOKUP($C120,REV!$C:$AL,29,0)-'TRADE IN'!$F120))</f>
        <v>4499</v>
      </c>
      <c r="AE120" s="45">
        <f>IF(VLOOKUP($C120,REV!$C:$AL,30,0)-'TRADE IN'!$F120=0,"",(VLOOKUP($C120,REV!$C:$AL,30,0)-'TRADE IN'!$F120))</f>
        <v>4399</v>
      </c>
      <c r="AF120" s="45">
        <f>IF(VLOOKUP($C120,REV!$C:$AL,31,0)-'TRADE IN'!$F120=0,"",(VLOOKUP($C120,REV!$C:$AL,31,0)-'TRADE IN'!$F120))</f>
        <v>4399</v>
      </c>
      <c r="AG120" s="45">
        <f>IF(VLOOKUP($C120,REV!$C:$AL,31,0)-'TRADE IN'!$F120=0,"",(VLOOKUP($C120,REV!$C:$AL,31,0)-'TRADE IN'!$F120))</f>
        <v>4399</v>
      </c>
      <c r="AH120" s="45">
        <f>IF(VLOOKUP($C120,REV!$C:$AL,32,0)-'TRADE IN'!$F120=0,"",(VLOOKUP($C120,REV!$C:$AL,32,0)-'TRADE IN'!$F120))</f>
        <v>3999</v>
      </c>
      <c r="AI120" s="45">
        <f>IF(VLOOKUP($C120,REV!$C:$AL,33,0)-'TRADE IN'!$F120=0,"",(VLOOKUP($C120,REV!$C:$AL,33,0)-'TRADE IN'!$F120))</f>
        <v>3999</v>
      </c>
      <c r="AJ120" s="45">
        <f>IF(VLOOKUP($C120,REV!$C:$AL,34,0)-'TRADE IN'!$F120=0,"",(VLOOKUP($C120,REV!$C:$AL,34,0)-'TRADE IN'!$F120))</f>
        <v>3999</v>
      </c>
      <c r="AK120" s="45">
        <f>IF(VLOOKUP($C120,REV!$C:$AL,35,0)-'TRADE IN'!$F120=0,"",(VLOOKUP($C120,REV!$C:$AL,35,0)-'TRADE IN'!$F120))</f>
        <v>3999</v>
      </c>
      <c r="AL120" s="45">
        <f>IF(VLOOKUP($C120,REV!$C:$AL,36,0)-'TRADE IN'!$F120=0,"",(VLOOKUP($C120,REV!$C:$AL,36,0)-'TRADE IN'!$F120))</f>
        <v>3299</v>
      </c>
      <c r="AM120" s="45"/>
      <c r="AN120" s="45"/>
      <c r="AO120" s="45"/>
      <c r="AP120" s="45"/>
      <c r="AQ120" s="45"/>
      <c r="AR120" s="45"/>
      <c r="AS120" s="45"/>
      <c r="AT120" s="45"/>
      <c r="AU120" s="45"/>
      <c r="AV120" s="47"/>
      <c r="AW120" s="48" t="str">
        <f>REV!AW120</f>
        <v>13.08.2026</v>
      </c>
      <c r="AX120" s="149" t="s">
        <v>68</v>
      </c>
    </row>
    <row r="121" spans="1:50" ht="22.5" customHeight="1">
      <c r="A121" s="41" t="s">
        <v>63</v>
      </c>
      <c r="B121" s="42" t="s">
        <v>64</v>
      </c>
      <c r="C121" s="43">
        <v>4017846</v>
      </c>
      <c r="D121" s="44" t="s">
        <v>206</v>
      </c>
      <c r="E121" s="44" t="s">
        <v>209</v>
      </c>
      <c r="F121" s="45">
        <v>500</v>
      </c>
      <c r="G121" s="45">
        <v>4899</v>
      </c>
      <c r="H121" s="45">
        <v>5399</v>
      </c>
      <c r="I121" s="45">
        <v>5399</v>
      </c>
      <c r="J121" s="46">
        <f>IF(VLOOKUP($C121,REV!$C:$AA,8,0)-'TRADE IN'!$F121=0,"",(VLOOKUP($C121,REV!$C:$AA,8,0)-'TRADE IN'!$F121))</f>
        <v>4599</v>
      </c>
      <c r="K121" s="46">
        <f>IF(VLOOKUP($C121,REV!$C:$AA,9,0)-'TRADE IN'!$F121=0,"",(VLOOKUP($C121,REV!$C:$AA,9,0)-'TRADE IN'!$F121))</f>
        <v>4599</v>
      </c>
      <c r="L121" s="46">
        <f>IF(VLOOKUP($C121,REV!$C:$AA,10,0)-'TRADE IN'!$F121=0,"",(VLOOKUP($C121,REV!$C:$AA,10,0)-'TRADE IN'!$F121))</f>
        <v>4599</v>
      </c>
      <c r="M121" s="46">
        <f>IF(VLOOKUP($C121,REV!$C:$AA,11,0)-'TRADE IN'!$F121=0,"",(VLOOKUP($C121,REV!$C:$AA,11,0)-'TRADE IN'!$F121))</f>
        <v>4599</v>
      </c>
      <c r="N121" s="46">
        <f>IF(VLOOKUP($C121,REV!$C:$AA,12,0)-'TRADE IN'!$F121=0,"",(VLOOKUP($C121,REV!$C:$AA,12,0)-'TRADE IN'!$F121))</f>
        <v>4599</v>
      </c>
      <c r="O121" s="46">
        <f>IF(VLOOKUP($C121,REV!$C:$AA,13,0)-'TRADE IN'!$F121=0,"",(VLOOKUP($C121,REV!$C:$AA,13,0)-'TRADE IN'!$F121))</f>
        <v>4499</v>
      </c>
      <c r="P121" s="46">
        <f>IF(VLOOKUP($C121,REV!$C:$AA,14,0)-'TRADE IN'!$F121=0,"",(VLOOKUP($C121,REV!$C:$AA,14,0)-'TRADE IN'!$F121))</f>
        <v>4399</v>
      </c>
      <c r="Q121" s="46">
        <f>IF(VLOOKUP($C121,REV!$C:$AA,15,0)-'TRADE IN'!$F121=0,"",(VLOOKUP($C121,REV!$C:$AA,15,0)-'TRADE IN'!$F121))</f>
        <v>3999</v>
      </c>
      <c r="R121" s="46">
        <f>IF(VLOOKUP($C121,REV!$C:$AA,16,0)-'TRADE IN'!$F121=0,"",(VLOOKUP($C121,REV!$C:$AA,16,0)-'TRADE IN'!$F121))</f>
        <v>4499</v>
      </c>
      <c r="S121" s="46">
        <f>IF(VLOOKUP($C121,REV!$C:$AA,17,0)-'TRADE IN'!$F121=0,"",(VLOOKUP($C121,REV!$C:$AA,17,0)-'TRADE IN'!$F121))</f>
        <v>4399</v>
      </c>
      <c r="T121" s="46">
        <f>IF(VLOOKUP($C121,REV!$C:$AA,18,0)-'TRADE IN'!$F121=0,"",(VLOOKUP($C121,REV!$C:$AA,18,0)-'TRADE IN'!$F121))</f>
        <v>3999</v>
      </c>
      <c r="U121" s="46">
        <f>IF(VLOOKUP($C121,REV!$C:$AA,19,0)-'TRADE IN'!$F121=0,"",(VLOOKUP($C121,REV!$C:$AA,19,0)-'TRADE IN'!$F121))</f>
        <v>3999</v>
      </c>
      <c r="V121" s="46">
        <f>IF(VLOOKUP($C121,REV!$C:$AA,20,0)-'TRADE IN'!$F121=0,"",(VLOOKUP($C121,REV!$C:$AA,20,0)-'TRADE IN'!$F121))</f>
        <v>3999</v>
      </c>
      <c r="W121" s="46">
        <f>IF(VLOOKUP($C121,REV!$C:$AA,21,0)-'TRADE IN'!$F121=0,"",(VLOOKUP($C121,REV!$C:$AA,21,0)-'TRADE IN'!$F121))</f>
        <v>3999</v>
      </c>
      <c r="X121" s="46">
        <f>IF(VLOOKUP($C121,REV!$C:$AA,22,0)-'TRADE IN'!$F121=0,"",(VLOOKUP($C121,REV!$C:$AA,22,0)-'TRADE IN'!$F121))</f>
        <v>3899</v>
      </c>
      <c r="Y121" s="46">
        <f>IF(VLOOKUP($C121,REV!$C:$AA,23,0)-'TRADE IN'!$F121=0,"",(VLOOKUP($C121,REV!$C:$AA,23,0)-'TRADE IN'!$F121))</f>
        <v>3299</v>
      </c>
      <c r="Z121" s="46">
        <f>IF(VLOOKUP($C121,REV!$C:$AA,24,0)-'TRADE IN'!$F121=0,"",(VLOOKUP($C121,REV!$C:$AA,24,0)-'TRADE IN'!$F121))</f>
        <v>3299</v>
      </c>
      <c r="AA121" s="46">
        <f>IF(VLOOKUP($C121,REV!$C:$AA,25,0)-'TRADE IN'!$F121=0,"",(VLOOKUP($C121,REV!$C:$AA,25,0)-'TRADE IN'!$F121))</f>
        <v>3249</v>
      </c>
      <c r="AB121" s="45">
        <f>IF(VLOOKUP($C121,REV!$C:$AL,27,0)-'TRADE IN'!$F121=0,"",(VLOOKUP($C121,REV!$C:$AL,27,0)-'TRADE IN'!$F121))</f>
        <v>4599</v>
      </c>
      <c r="AC121" s="45">
        <f>IF(VLOOKUP($C121,REV!$C:$AL,28,0)-'TRADE IN'!$F121=0,"",(VLOOKUP($C121,REV!$C:$AL,28,0)-'TRADE IN'!$F121))</f>
        <v>4599</v>
      </c>
      <c r="AD121" s="45">
        <f>IF(VLOOKUP($C121,REV!$C:$AL,29,0)-'TRADE IN'!$F121=0,"",(VLOOKUP($C121,REV!$C:$AL,29,0)-'TRADE IN'!$F121))</f>
        <v>4499</v>
      </c>
      <c r="AE121" s="45">
        <f>IF(VLOOKUP($C121,REV!$C:$AL,30,0)-'TRADE IN'!$F121=0,"",(VLOOKUP($C121,REV!$C:$AL,30,0)-'TRADE IN'!$F121))</f>
        <v>4399</v>
      </c>
      <c r="AF121" s="45">
        <f>IF(VLOOKUP($C121,REV!$C:$AL,31,0)-'TRADE IN'!$F121=0,"",(VLOOKUP($C121,REV!$C:$AL,31,0)-'TRADE IN'!$F121))</f>
        <v>4399</v>
      </c>
      <c r="AG121" s="45">
        <f>IF(VLOOKUP($C121,REV!$C:$AL,31,0)-'TRADE IN'!$F121=0,"",(VLOOKUP($C121,REV!$C:$AL,31,0)-'TRADE IN'!$F121))</f>
        <v>4399</v>
      </c>
      <c r="AH121" s="45">
        <f>IF(VLOOKUP($C121,REV!$C:$AL,32,0)-'TRADE IN'!$F121=0,"",(VLOOKUP($C121,REV!$C:$AL,32,0)-'TRADE IN'!$F121))</f>
        <v>3999</v>
      </c>
      <c r="AI121" s="45">
        <f>IF(VLOOKUP($C121,REV!$C:$AL,33,0)-'TRADE IN'!$F121=0,"",(VLOOKUP($C121,REV!$C:$AL,33,0)-'TRADE IN'!$F121))</f>
        <v>3999</v>
      </c>
      <c r="AJ121" s="45">
        <f>IF(VLOOKUP($C121,REV!$C:$AL,34,0)-'TRADE IN'!$F121=0,"",(VLOOKUP($C121,REV!$C:$AL,34,0)-'TRADE IN'!$F121))</f>
        <v>3999</v>
      </c>
      <c r="AK121" s="45">
        <f>IF(VLOOKUP($C121,REV!$C:$AL,35,0)-'TRADE IN'!$F121=0,"",(VLOOKUP($C121,REV!$C:$AL,35,0)-'TRADE IN'!$F121))</f>
        <v>3999</v>
      </c>
      <c r="AL121" s="45">
        <f>IF(VLOOKUP($C121,REV!$C:$AL,36,0)-'TRADE IN'!$F121=0,"",(VLOOKUP($C121,REV!$C:$AL,36,0)-'TRADE IN'!$F121))</f>
        <v>3299</v>
      </c>
      <c r="AM121" s="45"/>
      <c r="AN121" s="45"/>
      <c r="AO121" s="45"/>
      <c r="AP121" s="45"/>
      <c r="AQ121" s="45"/>
      <c r="AR121" s="45"/>
      <c r="AS121" s="45"/>
      <c r="AT121" s="45"/>
      <c r="AU121" s="45"/>
      <c r="AV121" s="47"/>
      <c r="AW121" s="48" t="str">
        <f>REV!AW121</f>
        <v>13.08.2026</v>
      </c>
      <c r="AX121" s="149" t="s">
        <v>68</v>
      </c>
    </row>
    <row r="122" spans="1:50" ht="22.5" customHeight="1">
      <c r="A122" s="41" t="s">
        <v>63</v>
      </c>
      <c r="B122" s="42" t="s">
        <v>64</v>
      </c>
      <c r="C122" s="43">
        <v>4017981</v>
      </c>
      <c r="D122" s="44" t="s">
        <v>206</v>
      </c>
      <c r="E122" s="44" t="s">
        <v>210</v>
      </c>
      <c r="F122" s="45">
        <v>500</v>
      </c>
      <c r="G122" s="45">
        <v>4899</v>
      </c>
      <c r="H122" s="45">
        <v>5399</v>
      </c>
      <c r="I122" s="45">
        <v>5399</v>
      </c>
      <c r="J122" s="46">
        <f>IF(VLOOKUP($C122,REV!$C:$AA,8,0)-'TRADE IN'!$F122=0,"",(VLOOKUP($C122,REV!$C:$AA,8,0)-'TRADE IN'!$F122))</f>
        <v>4599</v>
      </c>
      <c r="K122" s="46">
        <f>IF(VLOOKUP($C122,REV!$C:$AA,9,0)-'TRADE IN'!$F122=0,"",(VLOOKUP($C122,REV!$C:$AA,9,0)-'TRADE IN'!$F122))</f>
        <v>4599</v>
      </c>
      <c r="L122" s="46">
        <f>IF(VLOOKUP($C122,REV!$C:$AA,10,0)-'TRADE IN'!$F122=0,"",(VLOOKUP($C122,REV!$C:$AA,10,0)-'TRADE IN'!$F122))</f>
        <v>4599</v>
      </c>
      <c r="M122" s="46">
        <f>IF(VLOOKUP($C122,REV!$C:$AA,11,0)-'TRADE IN'!$F122=0,"",(VLOOKUP($C122,REV!$C:$AA,11,0)-'TRADE IN'!$F122))</f>
        <v>4599</v>
      </c>
      <c r="N122" s="46">
        <f>IF(VLOOKUP($C122,REV!$C:$AA,12,0)-'TRADE IN'!$F122=0,"",(VLOOKUP($C122,REV!$C:$AA,12,0)-'TRADE IN'!$F122))</f>
        <v>4599</v>
      </c>
      <c r="O122" s="46">
        <f>IF(VLOOKUP($C122,REV!$C:$AA,13,0)-'TRADE IN'!$F122=0,"",(VLOOKUP($C122,REV!$C:$AA,13,0)-'TRADE IN'!$F122))</f>
        <v>4499</v>
      </c>
      <c r="P122" s="46">
        <f>IF(VLOOKUP($C122,REV!$C:$AA,14,0)-'TRADE IN'!$F122=0,"",(VLOOKUP($C122,REV!$C:$AA,14,0)-'TRADE IN'!$F122))</f>
        <v>4399</v>
      </c>
      <c r="Q122" s="46">
        <f>IF(VLOOKUP($C122,REV!$C:$AA,15,0)-'TRADE IN'!$F122=0,"",(VLOOKUP($C122,REV!$C:$AA,15,0)-'TRADE IN'!$F122))</f>
        <v>3999</v>
      </c>
      <c r="R122" s="46">
        <f>IF(VLOOKUP($C122,REV!$C:$AA,16,0)-'TRADE IN'!$F122=0,"",(VLOOKUP($C122,REV!$C:$AA,16,0)-'TRADE IN'!$F122))</f>
        <v>4499</v>
      </c>
      <c r="S122" s="46">
        <f>IF(VLOOKUP($C122,REV!$C:$AA,17,0)-'TRADE IN'!$F122=0,"",(VLOOKUP($C122,REV!$C:$AA,17,0)-'TRADE IN'!$F122))</f>
        <v>4399</v>
      </c>
      <c r="T122" s="46">
        <f>IF(VLOOKUP($C122,REV!$C:$AA,18,0)-'TRADE IN'!$F122=0,"",(VLOOKUP($C122,REV!$C:$AA,18,0)-'TRADE IN'!$F122))</f>
        <v>3999</v>
      </c>
      <c r="U122" s="46">
        <f>IF(VLOOKUP($C122,REV!$C:$AA,19,0)-'TRADE IN'!$F122=0,"",(VLOOKUP($C122,REV!$C:$AA,19,0)-'TRADE IN'!$F122))</f>
        <v>3999</v>
      </c>
      <c r="V122" s="46">
        <f>IF(VLOOKUP($C122,REV!$C:$AA,20,0)-'TRADE IN'!$F122=0,"",(VLOOKUP($C122,REV!$C:$AA,20,0)-'TRADE IN'!$F122))</f>
        <v>3999</v>
      </c>
      <c r="W122" s="46">
        <f>IF(VLOOKUP($C122,REV!$C:$AA,21,0)-'TRADE IN'!$F122=0,"",(VLOOKUP($C122,REV!$C:$AA,21,0)-'TRADE IN'!$F122))</f>
        <v>3999</v>
      </c>
      <c r="X122" s="46">
        <f>IF(VLOOKUP($C122,REV!$C:$AA,22,0)-'TRADE IN'!$F122=0,"",(VLOOKUP($C122,REV!$C:$AA,22,0)-'TRADE IN'!$F122))</f>
        <v>3899</v>
      </c>
      <c r="Y122" s="46">
        <f>IF(VLOOKUP($C122,REV!$C:$AA,23,0)-'TRADE IN'!$F122=0,"",(VLOOKUP($C122,REV!$C:$AA,23,0)-'TRADE IN'!$F122))</f>
        <v>3299</v>
      </c>
      <c r="Z122" s="46">
        <f>IF(VLOOKUP($C122,REV!$C:$AA,24,0)-'TRADE IN'!$F122=0,"",(VLOOKUP($C122,REV!$C:$AA,24,0)-'TRADE IN'!$F122))</f>
        <v>3299</v>
      </c>
      <c r="AA122" s="46">
        <f>IF(VLOOKUP($C122,REV!$C:$AA,25,0)-'TRADE IN'!$F122=0,"",(VLOOKUP($C122,REV!$C:$AA,25,0)-'TRADE IN'!$F122))</f>
        <v>3249</v>
      </c>
      <c r="AB122" s="45">
        <f>IF(VLOOKUP($C122,REV!$C:$AL,27,0)-'TRADE IN'!$F122=0,"",(VLOOKUP($C122,REV!$C:$AL,27,0)-'TRADE IN'!$F122))</f>
        <v>4599</v>
      </c>
      <c r="AC122" s="45">
        <f>IF(VLOOKUP($C122,REV!$C:$AL,28,0)-'TRADE IN'!$F122=0,"",(VLOOKUP($C122,REV!$C:$AL,28,0)-'TRADE IN'!$F122))</f>
        <v>4599</v>
      </c>
      <c r="AD122" s="45">
        <f>IF(VLOOKUP($C122,REV!$C:$AL,29,0)-'TRADE IN'!$F122=0,"",(VLOOKUP($C122,REV!$C:$AL,29,0)-'TRADE IN'!$F122))</f>
        <v>4499</v>
      </c>
      <c r="AE122" s="45">
        <f>IF(VLOOKUP($C122,REV!$C:$AL,30,0)-'TRADE IN'!$F122=0,"",(VLOOKUP($C122,REV!$C:$AL,30,0)-'TRADE IN'!$F122))</f>
        <v>4399</v>
      </c>
      <c r="AF122" s="45">
        <f>IF(VLOOKUP($C122,REV!$C:$AL,31,0)-'TRADE IN'!$F122=0,"",(VLOOKUP($C122,REV!$C:$AL,31,0)-'TRADE IN'!$F122))</f>
        <v>4399</v>
      </c>
      <c r="AG122" s="45">
        <f>IF(VLOOKUP($C122,REV!$C:$AL,31,0)-'TRADE IN'!$F122=0,"",(VLOOKUP($C122,REV!$C:$AL,31,0)-'TRADE IN'!$F122))</f>
        <v>4399</v>
      </c>
      <c r="AH122" s="45">
        <f>IF(VLOOKUP($C122,REV!$C:$AL,32,0)-'TRADE IN'!$F122=0,"",(VLOOKUP($C122,REV!$C:$AL,32,0)-'TRADE IN'!$F122))</f>
        <v>3999</v>
      </c>
      <c r="AI122" s="45">
        <f>IF(VLOOKUP($C122,REV!$C:$AL,33,0)-'TRADE IN'!$F122=0,"",(VLOOKUP($C122,REV!$C:$AL,33,0)-'TRADE IN'!$F122))</f>
        <v>3999</v>
      </c>
      <c r="AJ122" s="45">
        <f>IF(VLOOKUP($C122,REV!$C:$AL,34,0)-'TRADE IN'!$F122=0,"",(VLOOKUP($C122,REV!$C:$AL,34,0)-'TRADE IN'!$F122))</f>
        <v>3999</v>
      </c>
      <c r="AK122" s="45">
        <f>IF(VLOOKUP($C122,REV!$C:$AL,35,0)-'TRADE IN'!$F122=0,"",(VLOOKUP($C122,REV!$C:$AL,35,0)-'TRADE IN'!$F122))</f>
        <v>3999</v>
      </c>
      <c r="AL122" s="45">
        <f>IF(VLOOKUP($C122,REV!$C:$AL,36,0)-'TRADE IN'!$F122=0,"",(VLOOKUP($C122,REV!$C:$AL,36,0)-'TRADE IN'!$F122))</f>
        <v>3299</v>
      </c>
      <c r="AM122" s="45"/>
      <c r="AN122" s="45"/>
      <c r="AO122" s="45"/>
      <c r="AP122" s="45"/>
      <c r="AQ122" s="45"/>
      <c r="AR122" s="45"/>
      <c r="AS122" s="45"/>
      <c r="AT122" s="45"/>
      <c r="AU122" s="45"/>
      <c r="AV122" s="47"/>
      <c r="AW122" s="48" t="str">
        <f>REV!AW122</f>
        <v>13.08.2026</v>
      </c>
      <c r="AX122" s="149" t="s">
        <v>68</v>
      </c>
    </row>
    <row r="123" spans="1:50" ht="22.5" customHeight="1">
      <c r="A123" s="41" t="s">
        <v>63</v>
      </c>
      <c r="B123" s="42" t="s">
        <v>64</v>
      </c>
      <c r="C123" s="43">
        <v>4017980</v>
      </c>
      <c r="D123" s="44" t="s">
        <v>206</v>
      </c>
      <c r="E123" s="44" t="s">
        <v>211</v>
      </c>
      <c r="F123" s="45">
        <v>500</v>
      </c>
      <c r="G123" s="45">
        <v>4899</v>
      </c>
      <c r="H123" s="45">
        <v>5399</v>
      </c>
      <c r="I123" s="45">
        <v>5399</v>
      </c>
      <c r="J123" s="46">
        <f>IF(VLOOKUP($C123,REV!$C:$AA,8,0)-'TRADE IN'!$F123=0,"",(VLOOKUP($C123,REV!$C:$AA,8,0)-'TRADE IN'!$F123))</f>
        <v>4599</v>
      </c>
      <c r="K123" s="46">
        <f>IF(VLOOKUP($C123,REV!$C:$AA,9,0)-'TRADE IN'!$F123=0,"",(VLOOKUP($C123,REV!$C:$AA,9,0)-'TRADE IN'!$F123))</f>
        <v>4599</v>
      </c>
      <c r="L123" s="46">
        <f>IF(VLOOKUP($C123,REV!$C:$AA,10,0)-'TRADE IN'!$F123=0,"",(VLOOKUP($C123,REV!$C:$AA,10,0)-'TRADE IN'!$F123))</f>
        <v>4599</v>
      </c>
      <c r="M123" s="46">
        <f>IF(VLOOKUP($C123,REV!$C:$AA,11,0)-'TRADE IN'!$F123=0,"",(VLOOKUP($C123,REV!$C:$AA,11,0)-'TRADE IN'!$F123))</f>
        <v>4599</v>
      </c>
      <c r="N123" s="46">
        <f>IF(VLOOKUP($C123,REV!$C:$AA,12,0)-'TRADE IN'!$F123=0,"",(VLOOKUP($C123,REV!$C:$AA,12,0)-'TRADE IN'!$F123))</f>
        <v>4599</v>
      </c>
      <c r="O123" s="46">
        <f>IF(VLOOKUP($C123,REV!$C:$AA,13,0)-'TRADE IN'!$F123=0,"",(VLOOKUP($C123,REV!$C:$AA,13,0)-'TRADE IN'!$F123))</f>
        <v>4499</v>
      </c>
      <c r="P123" s="46">
        <f>IF(VLOOKUP($C123,REV!$C:$AA,14,0)-'TRADE IN'!$F123=0,"",(VLOOKUP($C123,REV!$C:$AA,14,0)-'TRADE IN'!$F123))</f>
        <v>4399</v>
      </c>
      <c r="Q123" s="46">
        <f>IF(VLOOKUP($C123,REV!$C:$AA,15,0)-'TRADE IN'!$F123=0,"",(VLOOKUP($C123,REV!$C:$AA,15,0)-'TRADE IN'!$F123))</f>
        <v>3999</v>
      </c>
      <c r="R123" s="46">
        <f>IF(VLOOKUP($C123,REV!$C:$AA,16,0)-'TRADE IN'!$F123=0,"",(VLOOKUP($C123,REV!$C:$AA,16,0)-'TRADE IN'!$F123))</f>
        <v>4499</v>
      </c>
      <c r="S123" s="46">
        <f>IF(VLOOKUP($C123,REV!$C:$AA,17,0)-'TRADE IN'!$F123=0,"",(VLOOKUP($C123,REV!$C:$AA,17,0)-'TRADE IN'!$F123))</f>
        <v>4399</v>
      </c>
      <c r="T123" s="46">
        <f>IF(VLOOKUP($C123,REV!$C:$AA,18,0)-'TRADE IN'!$F123=0,"",(VLOOKUP($C123,REV!$C:$AA,18,0)-'TRADE IN'!$F123))</f>
        <v>3999</v>
      </c>
      <c r="U123" s="46">
        <f>IF(VLOOKUP($C123,REV!$C:$AA,19,0)-'TRADE IN'!$F123=0,"",(VLOOKUP($C123,REV!$C:$AA,19,0)-'TRADE IN'!$F123))</f>
        <v>3999</v>
      </c>
      <c r="V123" s="46">
        <f>IF(VLOOKUP($C123,REV!$C:$AA,20,0)-'TRADE IN'!$F123=0,"",(VLOOKUP($C123,REV!$C:$AA,20,0)-'TRADE IN'!$F123))</f>
        <v>3999</v>
      </c>
      <c r="W123" s="46">
        <f>IF(VLOOKUP($C123,REV!$C:$AA,21,0)-'TRADE IN'!$F123=0,"",(VLOOKUP($C123,REV!$C:$AA,21,0)-'TRADE IN'!$F123))</f>
        <v>3999</v>
      </c>
      <c r="X123" s="46">
        <f>IF(VLOOKUP($C123,REV!$C:$AA,22,0)-'TRADE IN'!$F123=0,"",(VLOOKUP($C123,REV!$C:$AA,22,0)-'TRADE IN'!$F123))</f>
        <v>3899</v>
      </c>
      <c r="Y123" s="46">
        <f>IF(VLOOKUP($C123,REV!$C:$AA,23,0)-'TRADE IN'!$F123=0,"",(VLOOKUP($C123,REV!$C:$AA,23,0)-'TRADE IN'!$F123))</f>
        <v>3299</v>
      </c>
      <c r="Z123" s="46">
        <f>IF(VLOOKUP($C123,REV!$C:$AA,24,0)-'TRADE IN'!$F123=0,"",(VLOOKUP($C123,REV!$C:$AA,24,0)-'TRADE IN'!$F123))</f>
        <v>3299</v>
      </c>
      <c r="AA123" s="46">
        <f>IF(VLOOKUP($C123,REV!$C:$AA,25,0)-'TRADE IN'!$F123=0,"",(VLOOKUP($C123,REV!$C:$AA,25,0)-'TRADE IN'!$F123))</f>
        <v>3249</v>
      </c>
      <c r="AB123" s="45">
        <f>IF(VLOOKUP($C123,REV!$C:$AL,27,0)-'TRADE IN'!$F123=0,"",(VLOOKUP($C123,REV!$C:$AL,27,0)-'TRADE IN'!$F123))</f>
        <v>4599</v>
      </c>
      <c r="AC123" s="45">
        <f>IF(VLOOKUP($C123,REV!$C:$AL,28,0)-'TRADE IN'!$F123=0,"",(VLOOKUP($C123,REV!$C:$AL,28,0)-'TRADE IN'!$F123))</f>
        <v>4599</v>
      </c>
      <c r="AD123" s="45">
        <f>IF(VLOOKUP($C123,REV!$C:$AL,29,0)-'TRADE IN'!$F123=0,"",(VLOOKUP($C123,REV!$C:$AL,29,0)-'TRADE IN'!$F123))</f>
        <v>4499</v>
      </c>
      <c r="AE123" s="45">
        <f>IF(VLOOKUP($C123,REV!$C:$AL,30,0)-'TRADE IN'!$F123=0,"",(VLOOKUP($C123,REV!$C:$AL,30,0)-'TRADE IN'!$F123))</f>
        <v>4399</v>
      </c>
      <c r="AF123" s="45">
        <f>IF(VLOOKUP($C123,REV!$C:$AL,31,0)-'TRADE IN'!$F123=0,"",(VLOOKUP($C123,REV!$C:$AL,31,0)-'TRADE IN'!$F123))</f>
        <v>4399</v>
      </c>
      <c r="AG123" s="45">
        <f>IF(VLOOKUP($C123,REV!$C:$AL,31,0)-'TRADE IN'!$F123=0,"",(VLOOKUP($C123,REV!$C:$AL,31,0)-'TRADE IN'!$F123))</f>
        <v>4399</v>
      </c>
      <c r="AH123" s="45">
        <f>IF(VLOOKUP($C123,REV!$C:$AL,32,0)-'TRADE IN'!$F123=0,"",(VLOOKUP($C123,REV!$C:$AL,32,0)-'TRADE IN'!$F123))</f>
        <v>3999</v>
      </c>
      <c r="AI123" s="45">
        <f>IF(VLOOKUP($C123,REV!$C:$AL,33,0)-'TRADE IN'!$F123=0,"",(VLOOKUP($C123,REV!$C:$AL,33,0)-'TRADE IN'!$F123))</f>
        <v>3999</v>
      </c>
      <c r="AJ123" s="45">
        <f>IF(VLOOKUP($C123,REV!$C:$AL,34,0)-'TRADE IN'!$F123=0,"",(VLOOKUP($C123,REV!$C:$AL,34,0)-'TRADE IN'!$F123))</f>
        <v>3999</v>
      </c>
      <c r="AK123" s="45">
        <f>IF(VLOOKUP($C123,REV!$C:$AL,35,0)-'TRADE IN'!$F123=0,"",(VLOOKUP($C123,REV!$C:$AL,35,0)-'TRADE IN'!$F123))</f>
        <v>3999</v>
      </c>
      <c r="AL123" s="45">
        <f>IF(VLOOKUP($C123,REV!$C:$AL,36,0)-'TRADE IN'!$F123=0,"",(VLOOKUP($C123,REV!$C:$AL,36,0)-'TRADE IN'!$F123))</f>
        <v>3299</v>
      </c>
      <c r="AM123" s="45"/>
      <c r="AN123" s="45"/>
      <c r="AO123" s="45"/>
      <c r="AP123" s="45"/>
      <c r="AQ123" s="45"/>
      <c r="AR123" s="45"/>
      <c r="AS123" s="45"/>
      <c r="AT123" s="45"/>
      <c r="AU123" s="45"/>
      <c r="AV123" s="47"/>
      <c r="AW123" s="48" t="str">
        <f>REV!AW123</f>
        <v>13.08.2026</v>
      </c>
      <c r="AX123" s="149" t="s">
        <v>68</v>
      </c>
    </row>
    <row r="124" spans="1:50" ht="22.5" customHeight="1">
      <c r="A124" s="41" t="s">
        <v>63</v>
      </c>
      <c r="B124" s="42" t="s">
        <v>64</v>
      </c>
      <c r="C124" s="43">
        <v>4017985</v>
      </c>
      <c r="D124" s="44" t="s">
        <v>206</v>
      </c>
      <c r="E124" s="44" t="s">
        <v>212</v>
      </c>
      <c r="F124" s="45">
        <v>500</v>
      </c>
      <c r="G124" s="45">
        <v>4899</v>
      </c>
      <c r="H124" s="45">
        <v>5399</v>
      </c>
      <c r="I124" s="45">
        <v>5399</v>
      </c>
      <c r="J124" s="46">
        <f>IF(VLOOKUP($C124,REV!$C:$AA,8,0)-'TRADE IN'!$F124=0,"",(VLOOKUP($C124,REV!$C:$AA,8,0)-'TRADE IN'!$F124))</f>
        <v>4599</v>
      </c>
      <c r="K124" s="46">
        <f>IF(VLOOKUP($C124,REV!$C:$AA,9,0)-'TRADE IN'!$F124=0,"",(VLOOKUP($C124,REV!$C:$AA,9,0)-'TRADE IN'!$F124))</f>
        <v>4599</v>
      </c>
      <c r="L124" s="46">
        <f>IF(VLOOKUP($C124,REV!$C:$AA,10,0)-'TRADE IN'!$F124=0,"",(VLOOKUP($C124,REV!$C:$AA,10,0)-'TRADE IN'!$F124))</f>
        <v>4599</v>
      </c>
      <c r="M124" s="46">
        <f>IF(VLOOKUP($C124,REV!$C:$AA,11,0)-'TRADE IN'!$F124=0,"",(VLOOKUP($C124,REV!$C:$AA,11,0)-'TRADE IN'!$F124))</f>
        <v>4599</v>
      </c>
      <c r="N124" s="46">
        <f>IF(VLOOKUP($C124,REV!$C:$AA,12,0)-'TRADE IN'!$F124=0,"",(VLOOKUP($C124,REV!$C:$AA,12,0)-'TRADE IN'!$F124))</f>
        <v>4599</v>
      </c>
      <c r="O124" s="46">
        <f>IF(VLOOKUP($C124,REV!$C:$AA,13,0)-'TRADE IN'!$F124=0,"",(VLOOKUP($C124,REV!$C:$AA,13,0)-'TRADE IN'!$F124))</f>
        <v>4499</v>
      </c>
      <c r="P124" s="46">
        <f>IF(VLOOKUP($C124,REV!$C:$AA,14,0)-'TRADE IN'!$F124=0,"",(VLOOKUP($C124,REV!$C:$AA,14,0)-'TRADE IN'!$F124))</f>
        <v>4399</v>
      </c>
      <c r="Q124" s="46">
        <f>IF(VLOOKUP($C124,REV!$C:$AA,15,0)-'TRADE IN'!$F124=0,"",(VLOOKUP($C124,REV!$C:$AA,15,0)-'TRADE IN'!$F124))</f>
        <v>3999</v>
      </c>
      <c r="R124" s="46">
        <f>IF(VLOOKUP($C124,REV!$C:$AA,16,0)-'TRADE IN'!$F124=0,"",(VLOOKUP($C124,REV!$C:$AA,16,0)-'TRADE IN'!$F124))</f>
        <v>4499</v>
      </c>
      <c r="S124" s="46">
        <f>IF(VLOOKUP($C124,REV!$C:$AA,17,0)-'TRADE IN'!$F124=0,"",(VLOOKUP($C124,REV!$C:$AA,17,0)-'TRADE IN'!$F124))</f>
        <v>4399</v>
      </c>
      <c r="T124" s="46">
        <f>IF(VLOOKUP($C124,REV!$C:$AA,18,0)-'TRADE IN'!$F124=0,"",(VLOOKUP($C124,REV!$C:$AA,18,0)-'TRADE IN'!$F124))</f>
        <v>3999</v>
      </c>
      <c r="U124" s="46">
        <f>IF(VLOOKUP($C124,REV!$C:$AA,19,0)-'TRADE IN'!$F124=0,"",(VLOOKUP($C124,REV!$C:$AA,19,0)-'TRADE IN'!$F124))</f>
        <v>3999</v>
      </c>
      <c r="V124" s="46">
        <f>IF(VLOOKUP($C124,REV!$C:$AA,20,0)-'TRADE IN'!$F124=0,"",(VLOOKUP($C124,REV!$C:$AA,20,0)-'TRADE IN'!$F124))</f>
        <v>3999</v>
      </c>
      <c r="W124" s="46">
        <f>IF(VLOOKUP($C124,REV!$C:$AA,21,0)-'TRADE IN'!$F124=0,"",(VLOOKUP($C124,REV!$C:$AA,21,0)-'TRADE IN'!$F124))</f>
        <v>3999</v>
      </c>
      <c r="X124" s="46">
        <f>IF(VLOOKUP($C124,REV!$C:$AA,22,0)-'TRADE IN'!$F124=0,"",(VLOOKUP($C124,REV!$C:$AA,22,0)-'TRADE IN'!$F124))</f>
        <v>3899</v>
      </c>
      <c r="Y124" s="46">
        <f>IF(VLOOKUP($C124,REV!$C:$AA,23,0)-'TRADE IN'!$F124=0,"",(VLOOKUP($C124,REV!$C:$AA,23,0)-'TRADE IN'!$F124))</f>
        <v>3299</v>
      </c>
      <c r="Z124" s="46">
        <f>IF(VLOOKUP($C124,REV!$C:$AA,24,0)-'TRADE IN'!$F124=0,"",(VLOOKUP($C124,REV!$C:$AA,24,0)-'TRADE IN'!$F124))</f>
        <v>3299</v>
      </c>
      <c r="AA124" s="46">
        <f>IF(VLOOKUP($C124,REV!$C:$AA,25,0)-'TRADE IN'!$F124=0,"",(VLOOKUP($C124,REV!$C:$AA,25,0)-'TRADE IN'!$F124))</f>
        <v>3249</v>
      </c>
      <c r="AB124" s="45">
        <f>IF(VLOOKUP($C124,REV!$C:$AL,27,0)-'TRADE IN'!$F124=0,"",(VLOOKUP($C124,REV!$C:$AL,27,0)-'TRADE IN'!$F124))</f>
        <v>4599</v>
      </c>
      <c r="AC124" s="45">
        <f>IF(VLOOKUP($C124,REV!$C:$AL,28,0)-'TRADE IN'!$F124=0,"",(VLOOKUP($C124,REV!$C:$AL,28,0)-'TRADE IN'!$F124))</f>
        <v>4599</v>
      </c>
      <c r="AD124" s="45">
        <f>IF(VLOOKUP($C124,REV!$C:$AL,29,0)-'TRADE IN'!$F124=0,"",(VLOOKUP($C124,REV!$C:$AL,29,0)-'TRADE IN'!$F124))</f>
        <v>4499</v>
      </c>
      <c r="AE124" s="45">
        <f>IF(VLOOKUP($C124,REV!$C:$AL,30,0)-'TRADE IN'!$F124=0,"",(VLOOKUP($C124,REV!$C:$AL,30,0)-'TRADE IN'!$F124))</f>
        <v>4399</v>
      </c>
      <c r="AF124" s="45">
        <f>IF(VLOOKUP($C124,REV!$C:$AL,31,0)-'TRADE IN'!$F124=0,"",(VLOOKUP($C124,REV!$C:$AL,31,0)-'TRADE IN'!$F124))</f>
        <v>4399</v>
      </c>
      <c r="AG124" s="45">
        <f>IF(VLOOKUP($C124,REV!$C:$AL,31,0)-'TRADE IN'!$F124=0,"",(VLOOKUP($C124,REV!$C:$AL,31,0)-'TRADE IN'!$F124))</f>
        <v>4399</v>
      </c>
      <c r="AH124" s="45">
        <f>IF(VLOOKUP($C124,REV!$C:$AL,32,0)-'TRADE IN'!$F124=0,"",(VLOOKUP($C124,REV!$C:$AL,32,0)-'TRADE IN'!$F124))</f>
        <v>3999</v>
      </c>
      <c r="AI124" s="45">
        <f>IF(VLOOKUP($C124,REV!$C:$AL,33,0)-'TRADE IN'!$F124=0,"",(VLOOKUP($C124,REV!$C:$AL,33,0)-'TRADE IN'!$F124))</f>
        <v>3999</v>
      </c>
      <c r="AJ124" s="45">
        <f>IF(VLOOKUP($C124,REV!$C:$AL,34,0)-'TRADE IN'!$F124=0,"",(VLOOKUP($C124,REV!$C:$AL,34,0)-'TRADE IN'!$F124))</f>
        <v>3999</v>
      </c>
      <c r="AK124" s="45">
        <f>IF(VLOOKUP($C124,REV!$C:$AL,35,0)-'TRADE IN'!$F124=0,"",(VLOOKUP($C124,REV!$C:$AL,35,0)-'TRADE IN'!$F124))</f>
        <v>3999</v>
      </c>
      <c r="AL124" s="45">
        <f>IF(VLOOKUP($C124,REV!$C:$AL,36,0)-'TRADE IN'!$F124=0,"",(VLOOKUP($C124,REV!$C:$AL,36,0)-'TRADE IN'!$F124))</f>
        <v>3299</v>
      </c>
      <c r="AM124" s="45"/>
      <c r="AN124" s="45"/>
      <c r="AO124" s="45"/>
      <c r="AP124" s="45"/>
      <c r="AQ124" s="45"/>
      <c r="AR124" s="45"/>
      <c r="AS124" s="45"/>
      <c r="AT124" s="45"/>
      <c r="AU124" s="45"/>
      <c r="AV124" s="47"/>
      <c r="AW124" s="48" t="str">
        <f>REV!AW124</f>
        <v>13.08.2026</v>
      </c>
      <c r="AX124" s="149" t="s">
        <v>68</v>
      </c>
    </row>
    <row r="125" spans="1:50" ht="22.5" customHeight="1">
      <c r="A125" s="41" t="s">
        <v>63</v>
      </c>
      <c r="B125" s="42" t="s">
        <v>64</v>
      </c>
      <c r="C125" s="43">
        <v>4017020</v>
      </c>
      <c r="D125" s="44" t="s">
        <v>213</v>
      </c>
      <c r="E125" s="44" t="s">
        <v>214</v>
      </c>
      <c r="F125" s="45">
        <v>100</v>
      </c>
      <c r="G125" s="45"/>
      <c r="H125" s="45"/>
      <c r="I125" s="45"/>
      <c r="J125" s="46">
        <f>IF(VLOOKUP($C125,REV!$C:$AA,8,0)-'TRADE IN'!$F125=0,"",(VLOOKUP($C125,REV!$C:$AA,8,0)-'TRADE IN'!$F125))</f>
        <v>2399</v>
      </c>
      <c r="K125" s="46">
        <f>IF(VLOOKUP($C125,REV!$C:$AA,9,0)-'TRADE IN'!$F125=0,"",(VLOOKUP($C125,REV!$C:$AA,9,0)-'TRADE IN'!$F125))</f>
        <v>2199</v>
      </c>
      <c r="L125" s="46">
        <f>IF(VLOOKUP($C125,REV!$C:$AA,10,0)-'TRADE IN'!$F125=0,"",(VLOOKUP($C125,REV!$C:$AA,10,0)-'TRADE IN'!$F125))</f>
        <v>2199</v>
      </c>
      <c r="M125" s="46">
        <f>IF(VLOOKUP($C125,REV!$C:$AA,11,0)-'TRADE IN'!$F125=0,"",(VLOOKUP($C125,REV!$C:$AA,11,0)-'TRADE IN'!$F125))</f>
        <v>2399</v>
      </c>
      <c r="N125" s="46">
        <f>IF(VLOOKUP($C125,REV!$C:$AA,12,0)-'TRADE IN'!$F125=0,"",(VLOOKUP($C125,REV!$C:$AA,12,0)-'TRADE IN'!$F125))</f>
        <v>2199</v>
      </c>
      <c r="O125" s="46">
        <f>IF(VLOOKUP($C125,REV!$C:$AA,13,0)-'TRADE IN'!$F125=0,"",(VLOOKUP($C125,REV!$C:$AA,13,0)-'TRADE IN'!$F125))</f>
        <v>2099</v>
      </c>
      <c r="P125" s="46">
        <f>IF(VLOOKUP($C125,REV!$C:$AA,14,0)-'TRADE IN'!$F125=0,"",(VLOOKUP($C125,REV!$C:$AA,14,0)-'TRADE IN'!$F125))</f>
        <v>1999</v>
      </c>
      <c r="Q125" s="46">
        <f>IF(VLOOKUP($C125,REV!$C:$AA,15,0)-'TRADE IN'!$F125=0,"",(VLOOKUP($C125,REV!$C:$AA,15,0)-'TRADE IN'!$F125))</f>
        <v>1699</v>
      </c>
      <c r="R125" s="46">
        <f>IF(VLOOKUP($C125,REV!$C:$AA,16,0)-'TRADE IN'!$F125=0,"",(VLOOKUP($C125,REV!$C:$AA,16,0)-'TRADE IN'!$F125))</f>
        <v>2099</v>
      </c>
      <c r="S125" s="46">
        <f>IF(VLOOKUP($C125,REV!$C:$AA,17,0)-'TRADE IN'!$F125=0,"",(VLOOKUP($C125,REV!$C:$AA,17,0)-'TRADE IN'!$F125))</f>
        <v>1999</v>
      </c>
      <c r="T125" s="46">
        <f>IF(VLOOKUP($C125,REV!$C:$AA,18,0)-'TRADE IN'!$F125=0,"",(VLOOKUP($C125,REV!$C:$AA,18,0)-'TRADE IN'!$F125))</f>
        <v>1699</v>
      </c>
      <c r="U125" s="46">
        <f>IF(VLOOKUP($C125,REV!$C:$AA,19,0)-'TRADE IN'!$F125=0,"",(VLOOKUP($C125,REV!$C:$AA,19,0)-'TRADE IN'!$F125))</f>
        <v>1699</v>
      </c>
      <c r="V125" s="46">
        <f>IF(VLOOKUP($C125,REV!$C:$AA,20,0)-'TRADE IN'!$F125=0,"",(VLOOKUP($C125,REV!$C:$AA,20,0)-'TRADE IN'!$F125))</f>
        <v>1699</v>
      </c>
      <c r="W125" s="46">
        <f>IF(VLOOKUP($C125,REV!$C:$AA,21,0)-'TRADE IN'!$F125=0,"",(VLOOKUP($C125,REV!$C:$AA,21,0)-'TRADE IN'!$F125))</f>
        <v>1699</v>
      </c>
      <c r="X125" s="46">
        <f>IF(VLOOKUP($C125,REV!$C:$AA,22,0)-'TRADE IN'!$F125=0,"",(VLOOKUP($C125,REV!$C:$AA,22,0)-'TRADE IN'!$F125))</f>
        <v>1599</v>
      </c>
      <c r="Y125" s="46">
        <f>IF(VLOOKUP($C125,REV!$C:$AA,23,0)-'TRADE IN'!$F125=0,"",(VLOOKUP($C125,REV!$C:$AA,23,0)-'TRADE IN'!$F125))</f>
        <v>1199</v>
      </c>
      <c r="Z125" s="46">
        <f>IF(VLOOKUP($C125,REV!$C:$AA,24,0)-'TRADE IN'!$F125=0,"",(VLOOKUP($C125,REV!$C:$AA,24,0)-'TRADE IN'!$F125))</f>
        <v>1199</v>
      </c>
      <c r="AA125" s="46">
        <f>IF(VLOOKUP($C125,REV!$C:$AA,25,0)-'TRADE IN'!$F125=0,"",(VLOOKUP($C125,REV!$C:$AA,25,0)-'TRADE IN'!$F125))</f>
        <v>1199</v>
      </c>
      <c r="AB125" s="45"/>
      <c r="AC125" s="45"/>
      <c r="AD125" s="45"/>
      <c r="AE125" s="45"/>
      <c r="AF125" s="45"/>
      <c r="AG125" s="45"/>
      <c r="AH125" s="45"/>
      <c r="AI125" s="45"/>
      <c r="AJ125" s="45"/>
      <c r="AK125" s="45"/>
      <c r="AL125" s="45"/>
      <c r="AM125" s="45"/>
      <c r="AN125" s="45"/>
      <c r="AO125" s="45"/>
      <c r="AP125" s="45"/>
      <c r="AQ125" s="45"/>
      <c r="AR125" s="45"/>
      <c r="AS125" s="45"/>
      <c r="AT125" s="45"/>
      <c r="AU125" s="45"/>
      <c r="AV125" s="47"/>
      <c r="AW125" s="48" t="str">
        <f>REV!AW125</f>
        <v>13.08.2026</v>
      </c>
      <c r="AX125" s="149" t="s">
        <v>68</v>
      </c>
    </row>
    <row r="126" spans="1:50" ht="22.5" customHeight="1">
      <c r="A126" s="41" t="s">
        <v>63</v>
      </c>
      <c r="B126" s="42" t="s">
        <v>64</v>
      </c>
      <c r="C126" s="43">
        <v>4017022</v>
      </c>
      <c r="D126" s="44" t="s">
        <v>213</v>
      </c>
      <c r="E126" s="44" t="s">
        <v>215</v>
      </c>
      <c r="F126" s="45">
        <v>100</v>
      </c>
      <c r="G126" s="45"/>
      <c r="H126" s="45"/>
      <c r="I126" s="45"/>
      <c r="J126" s="46">
        <f>IF(VLOOKUP($C126,REV!$C:$AA,8,0)-'TRADE IN'!$F126=0,"",(VLOOKUP($C126,REV!$C:$AA,8,0)-'TRADE IN'!$F126))</f>
        <v>2399</v>
      </c>
      <c r="K126" s="46">
        <f>IF(VLOOKUP($C126,REV!$C:$AA,9,0)-'TRADE IN'!$F126=0,"",(VLOOKUP($C126,REV!$C:$AA,9,0)-'TRADE IN'!$F126))</f>
        <v>2199</v>
      </c>
      <c r="L126" s="46">
        <f>IF(VLOOKUP($C126,REV!$C:$AA,10,0)-'TRADE IN'!$F126=0,"",(VLOOKUP($C126,REV!$C:$AA,10,0)-'TRADE IN'!$F126))</f>
        <v>2199</v>
      </c>
      <c r="M126" s="46">
        <f>IF(VLOOKUP($C126,REV!$C:$AA,11,0)-'TRADE IN'!$F126=0,"",(VLOOKUP($C126,REV!$C:$AA,11,0)-'TRADE IN'!$F126))</f>
        <v>2399</v>
      </c>
      <c r="N126" s="46">
        <f>IF(VLOOKUP($C126,REV!$C:$AA,12,0)-'TRADE IN'!$F126=0,"",(VLOOKUP($C126,REV!$C:$AA,12,0)-'TRADE IN'!$F126))</f>
        <v>2199</v>
      </c>
      <c r="O126" s="46">
        <f>IF(VLOOKUP($C126,REV!$C:$AA,13,0)-'TRADE IN'!$F126=0,"",(VLOOKUP($C126,REV!$C:$AA,13,0)-'TRADE IN'!$F126))</f>
        <v>2099</v>
      </c>
      <c r="P126" s="46">
        <f>IF(VLOOKUP($C126,REV!$C:$AA,14,0)-'TRADE IN'!$F126=0,"",(VLOOKUP($C126,REV!$C:$AA,14,0)-'TRADE IN'!$F126))</f>
        <v>1999</v>
      </c>
      <c r="Q126" s="46">
        <f>IF(VLOOKUP($C126,REV!$C:$AA,15,0)-'TRADE IN'!$F126=0,"",(VLOOKUP($C126,REV!$C:$AA,15,0)-'TRADE IN'!$F126))</f>
        <v>1699</v>
      </c>
      <c r="R126" s="46">
        <f>IF(VLOOKUP($C126,REV!$C:$AA,16,0)-'TRADE IN'!$F126=0,"",(VLOOKUP($C126,REV!$C:$AA,16,0)-'TRADE IN'!$F126))</f>
        <v>2099</v>
      </c>
      <c r="S126" s="46">
        <f>IF(VLOOKUP($C126,REV!$C:$AA,17,0)-'TRADE IN'!$F126=0,"",(VLOOKUP($C126,REV!$C:$AA,17,0)-'TRADE IN'!$F126))</f>
        <v>1999</v>
      </c>
      <c r="T126" s="46">
        <f>IF(VLOOKUP($C126,REV!$C:$AA,18,0)-'TRADE IN'!$F126=0,"",(VLOOKUP($C126,REV!$C:$AA,18,0)-'TRADE IN'!$F126))</f>
        <v>1699</v>
      </c>
      <c r="U126" s="46">
        <f>IF(VLOOKUP($C126,REV!$C:$AA,19,0)-'TRADE IN'!$F126=0,"",(VLOOKUP($C126,REV!$C:$AA,19,0)-'TRADE IN'!$F126))</f>
        <v>1699</v>
      </c>
      <c r="V126" s="46">
        <f>IF(VLOOKUP($C126,REV!$C:$AA,20,0)-'TRADE IN'!$F126=0,"",(VLOOKUP($C126,REV!$C:$AA,20,0)-'TRADE IN'!$F126))</f>
        <v>1699</v>
      </c>
      <c r="W126" s="46">
        <f>IF(VLOOKUP($C126,REV!$C:$AA,21,0)-'TRADE IN'!$F126=0,"",(VLOOKUP($C126,REV!$C:$AA,21,0)-'TRADE IN'!$F126))</f>
        <v>1699</v>
      </c>
      <c r="X126" s="46">
        <f>IF(VLOOKUP($C126,REV!$C:$AA,22,0)-'TRADE IN'!$F126=0,"",(VLOOKUP($C126,REV!$C:$AA,22,0)-'TRADE IN'!$F126))</f>
        <v>1599</v>
      </c>
      <c r="Y126" s="46">
        <f>IF(VLOOKUP($C126,REV!$C:$AA,23,0)-'TRADE IN'!$F126=0,"",(VLOOKUP($C126,REV!$C:$AA,23,0)-'TRADE IN'!$F126))</f>
        <v>1199</v>
      </c>
      <c r="Z126" s="46">
        <f>IF(VLOOKUP($C126,REV!$C:$AA,24,0)-'TRADE IN'!$F126=0,"",(VLOOKUP($C126,REV!$C:$AA,24,0)-'TRADE IN'!$F126))</f>
        <v>1199</v>
      </c>
      <c r="AA126" s="46">
        <f>IF(VLOOKUP($C126,REV!$C:$AA,25,0)-'TRADE IN'!$F126=0,"",(VLOOKUP($C126,REV!$C:$AA,25,0)-'TRADE IN'!$F126))</f>
        <v>1199</v>
      </c>
      <c r="AB126" s="45"/>
      <c r="AC126" s="45"/>
      <c r="AD126" s="45"/>
      <c r="AE126" s="45"/>
      <c r="AF126" s="45"/>
      <c r="AG126" s="45"/>
      <c r="AH126" s="45"/>
      <c r="AI126" s="45"/>
      <c r="AJ126" s="45"/>
      <c r="AK126" s="45"/>
      <c r="AL126" s="45"/>
      <c r="AM126" s="45"/>
      <c r="AN126" s="45"/>
      <c r="AO126" s="45"/>
      <c r="AP126" s="45"/>
      <c r="AQ126" s="45"/>
      <c r="AR126" s="45"/>
      <c r="AS126" s="45"/>
      <c r="AT126" s="45"/>
      <c r="AU126" s="45"/>
      <c r="AV126" s="47"/>
      <c r="AW126" s="48" t="str">
        <f>REV!AW126</f>
        <v>13.08.2026</v>
      </c>
      <c r="AX126" s="149" t="s">
        <v>68</v>
      </c>
    </row>
    <row r="127" spans="1:50" ht="22.5" customHeight="1">
      <c r="A127" s="41" t="s">
        <v>63</v>
      </c>
      <c r="B127" s="42" t="s">
        <v>64</v>
      </c>
      <c r="C127" s="43">
        <v>4017045</v>
      </c>
      <c r="D127" s="44" t="s">
        <v>216</v>
      </c>
      <c r="E127" s="44" t="s">
        <v>217</v>
      </c>
      <c r="F127" s="45">
        <v>100</v>
      </c>
      <c r="G127" s="45"/>
      <c r="H127" s="45"/>
      <c r="I127" s="45"/>
      <c r="J127" s="46">
        <f>IF(VLOOKUP($C127,REV!$C:$AA,8,0)-'TRADE IN'!$F127=0,"",(VLOOKUP($C127,REV!$C:$AA,8,0)-'TRADE IN'!$F127))</f>
        <v>1399</v>
      </c>
      <c r="K127" s="46">
        <f>IF(VLOOKUP($C127,REV!$C:$AA,9,0)-'TRADE IN'!$F127=0,"",(VLOOKUP($C127,REV!$C:$AA,9,0)-'TRADE IN'!$F127))</f>
        <v>1399</v>
      </c>
      <c r="L127" s="46">
        <f>IF(VLOOKUP($C127,REV!$C:$AA,10,0)-'TRADE IN'!$F127=0,"",(VLOOKUP($C127,REV!$C:$AA,10,0)-'TRADE IN'!$F127))</f>
        <v>1399</v>
      </c>
      <c r="M127" s="46">
        <f>IF(VLOOKUP($C127,REV!$C:$AA,11,0)-'TRADE IN'!$F127=0,"",(VLOOKUP($C127,REV!$C:$AA,11,0)-'TRADE IN'!$F127))</f>
        <v>1399</v>
      </c>
      <c r="N127" s="46">
        <f>IF(VLOOKUP($C127,REV!$C:$AA,12,0)-'TRADE IN'!$F127=0,"",(VLOOKUP($C127,REV!$C:$AA,12,0)-'TRADE IN'!$F127))</f>
        <v>1399</v>
      </c>
      <c r="O127" s="46">
        <f>IF(VLOOKUP($C127,REV!$C:$AA,13,0)-'TRADE IN'!$F127=0,"",(VLOOKUP($C127,REV!$C:$AA,13,0)-'TRADE IN'!$F127))</f>
        <v>1349</v>
      </c>
      <c r="P127" s="46">
        <f>IF(VLOOKUP($C127,REV!$C:$AA,14,0)-'TRADE IN'!$F127=0,"",(VLOOKUP($C127,REV!$C:$AA,14,0)-'TRADE IN'!$F127))</f>
        <v>1299</v>
      </c>
      <c r="Q127" s="46">
        <f>IF(VLOOKUP($C127,REV!$C:$AA,15,0)-'TRADE IN'!$F127=0,"",(VLOOKUP($C127,REV!$C:$AA,15,0)-'TRADE IN'!$F127))</f>
        <v>699</v>
      </c>
      <c r="R127" s="46">
        <f>IF(VLOOKUP($C127,REV!$C:$AA,16,0)-'TRADE IN'!$F127=0,"",(VLOOKUP($C127,REV!$C:$AA,16,0)-'TRADE IN'!$F127))</f>
        <v>1349</v>
      </c>
      <c r="S127" s="46">
        <f>IF(VLOOKUP($C127,REV!$C:$AA,17,0)-'TRADE IN'!$F127=0,"",(VLOOKUP($C127,REV!$C:$AA,17,0)-'TRADE IN'!$F127))</f>
        <v>1299</v>
      </c>
      <c r="T127" s="46">
        <f>IF(VLOOKUP($C127,REV!$C:$AA,18,0)-'TRADE IN'!$F127=0,"",(VLOOKUP($C127,REV!$C:$AA,18,0)-'TRADE IN'!$F127))</f>
        <v>699</v>
      </c>
      <c r="U127" s="46">
        <f>IF(VLOOKUP($C127,REV!$C:$AA,19,0)-'TRADE IN'!$F127=0,"",(VLOOKUP($C127,REV!$C:$AA,19,0)-'TRADE IN'!$F127))</f>
        <v>699</v>
      </c>
      <c r="V127" s="46">
        <f>IF(VLOOKUP($C127,REV!$C:$AA,20,0)-'TRADE IN'!$F127=0,"",(VLOOKUP($C127,REV!$C:$AA,20,0)-'TRADE IN'!$F127))</f>
        <v>699</v>
      </c>
      <c r="W127" s="46">
        <f>IF(VLOOKUP($C127,REV!$C:$AA,21,0)-'TRADE IN'!$F127=0,"",(VLOOKUP($C127,REV!$C:$AA,21,0)-'TRADE IN'!$F127))</f>
        <v>699</v>
      </c>
      <c r="X127" s="46">
        <f>IF(VLOOKUP($C127,REV!$C:$AA,22,0)-'TRADE IN'!$F127=0,"",(VLOOKUP($C127,REV!$C:$AA,22,0)-'TRADE IN'!$F127))</f>
        <v>699</v>
      </c>
      <c r="Y127" s="46">
        <f>IF(VLOOKUP($C127,REV!$C:$AA,23,0)-'TRADE IN'!$F127=0,"",(VLOOKUP($C127,REV!$C:$AA,23,0)-'TRADE IN'!$F127))</f>
        <v>599</v>
      </c>
      <c r="Z127" s="46">
        <f>IF(VLOOKUP($C127,REV!$C:$AA,24,0)-'TRADE IN'!$F127=0,"",(VLOOKUP($C127,REV!$C:$AA,24,0)-'TRADE IN'!$F127))</f>
        <v>599</v>
      </c>
      <c r="AA127" s="46">
        <f>IF(VLOOKUP($C127,REV!$C:$AA,25,0)-'TRADE IN'!$F127=0,"",(VLOOKUP($C127,REV!$C:$AA,25,0)-'TRADE IN'!$F127))</f>
        <v>599</v>
      </c>
      <c r="AB127" s="45"/>
      <c r="AC127" s="45"/>
      <c r="AD127" s="45"/>
      <c r="AE127" s="45"/>
      <c r="AF127" s="45"/>
      <c r="AG127" s="45"/>
      <c r="AH127" s="45"/>
      <c r="AI127" s="45"/>
      <c r="AJ127" s="45"/>
      <c r="AK127" s="45"/>
      <c r="AL127" s="45"/>
      <c r="AM127" s="45"/>
      <c r="AN127" s="45"/>
      <c r="AO127" s="45"/>
      <c r="AP127" s="45"/>
      <c r="AQ127" s="45"/>
      <c r="AR127" s="45"/>
      <c r="AS127" s="45"/>
      <c r="AT127" s="45"/>
      <c r="AU127" s="45"/>
      <c r="AV127" s="47"/>
      <c r="AW127" s="48" t="str">
        <f>REV!AW127</f>
        <v>13.08.2026</v>
      </c>
      <c r="AX127" s="149" t="s">
        <v>68</v>
      </c>
    </row>
    <row r="128" spans="1:50" ht="22.5" customHeight="1">
      <c r="A128" s="41" t="s">
        <v>63</v>
      </c>
      <c r="B128" s="42" t="s">
        <v>64</v>
      </c>
      <c r="C128" s="43">
        <v>4017047</v>
      </c>
      <c r="D128" s="44" t="s">
        <v>216</v>
      </c>
      <c r="E128" s="44" t="s">
        <v>218</v>
      </c>
      <c r="F128" s="45">
        <v>100</v>
      </c>
      <c r="G128" s="45"/>
      <c r="H128" s="45"/>
      <c r="I128" s="45"/>
      <c r="J128" s="46">
        <f>IF(VLOOKUP($C128,REV!$C:$AA,8,0)-'TRADE IN'!$F128=0,"",(VLOOKUP($C128,REV!$C:$AA,8,0)-'TRADE IN'!$F128))</f>
        <v>1399</v>
      </c>
      <c r="K128" s="46">
        <f>IF(VLOOKUP($C128,REV!$C:$AA,9,0)-'TRADE IN'!$F128=0,"",(VLOOKUP($C128,REV!$C:$AA,9,0)-'TRADE IN'!$F128))</f>
        <v>1399</v>
      </c>
      <c r="L128" s="46">
        <f>IF(VLOOKUP($C128,REV!$C:$AA,10,0)-'TRADE IN'!$F128=0,"",(VLOOKUP($C128,REV!$C:$AA,10,0)-'TRADE IN'!$F128))</f>
        <v>1399</v>
      </c>
      <c r="M128" s="46">
        <f>IF(VLOOKUP($C128,REV!$C:$AA,11,0)-'TRADE IN'!$F128=0,"",(VLOOKUP($C128,REV!$C:$AA,11,0)-'TRADE IN'!$F128))</f>
        <v>1399</v>
      </c>
      <c r="N128" s="46">
        <f>IF(VLOOKUP($C128,REV!$C:$AA,12,0)-'TRADE IN'!$F128=0,"",(VLOOKUP($C128,REV!$C:$AA,12,0)-'TRADE IN'!$F128))</f>
        <v>1399</v>
      </c>
      <c r="O128" s="46">
        <f>IF(VLOOKUP($C128,REV!$C:$AA,13,0)-'TRADE IN'!$F128=0,"",(VLOOKUP($C128,REV!$C:$AA,13,0)-'TRADE IN'!$F128))</f>
        <v>1349</v>
      </c>
      <c r="P128" s="46">
        <f>IF(VLOOKUP($C128,REV!$C:$AA,14,0)-'TRADE IN'!$F128=0,"",(VLOOKUP($C128,REV!$C:$AA,14,0)-'TRADE IN'!$F128))</f>
        <v>1299</v>
      </c>
      <c r="Q128" s="46">
        <f>IF(VLOOKUP($C128,REV!$C:$AA,15,0)-'TRADE IN'!$F128=0,"",(VLOOKUP($C128,REV!$C:$AA,15,0)-'TRADE IN'!$F128))</f>
        <v>699</v>
      </c>
      <c r="R128" s="46">
        <f>IF(VLOOKUP($C128,REV!$C:$AA,16,0)-'TRADE IN'!$F128=0,"",(VLOOKUP($C128,REV!$C:$AA,16,0)-'TRADE IN'!$F128))</f>
        <v>1349</v>
      </c>
      <c r="S128" s="46">
        <f>IF(VLOOKUP($C128,REV!$C:$AA,17,0)-'TRADE IN'!$F128=0,"",(VLOOKUP($C128,REV!$C:$AA,17,0)-'TRADE IN'!$F128))</f>
        <v>1299</v>
      </c>
      <c r="T128" s="46">
        <f>IF(VLOOKUP($C128,REV!$C:$AA,18,0)-'TRADE IN'!$F128=0,"",(VLOOKUP($C128,REV!$C:$AA,18,0)-'TRADE IN'!$F128))</f>
        <v>699</v>
      </c>
      <c r="U128" s="46">
        <f>IF(VLOOKUP($C128,REV!$C:$AA,19,0)-'TRADE IN'!$F128=0,"",(VLOOKUP($C128,REV!$C:$AA,19,0)-'TRADE IN'!$F128))</f>
        <v>699</v>
      </c>
      <c r="V128" s="46">
        <f>IF(VLOOKUP($C128,REV!$C:$AA,20,0)-'TRADE IN'!$F128=0,"",(VLOOKUP($C128,REV!$C:$AA,20,0)-'TRADE IN'!$F128))</f>
        <v>699</v>
      </c>
      <c r="W128" s="46">
        <f>IF(VLOOKUP($C128,REV!$C:$AA,21,0)-'TRADE IN'!$F128=0,"",(VLOOKUP($C128,REV!$C:$AA,21,0)-'TRADE IN'!$F128))</f>
        <v>699</v>
      </c>
      <c r="X128" s="46">
        <f>IF(VLOOKUP($C128,REV!$C:$AA,22,0)-'TRADE IN'!$F128=0,"",(VLOOKUP($C128,REV!$C:$AA,22,0)-'TRADE IN'!$F128))</f>
        <v>699</v>
      </c>
      <c r="Y128" s="46">
        <f>IF(VLOOKUP($C128,REV!$C:$AA,23,0)-'TRADE IN'!$F128=0,"",(VLOOKUP($C128,REV!$C:$AA,23,0)-'TRADE IN'!$F128))</f>
        <v>599</v>
      </c>
      <c r="Z128" s="46">
        <f>IF(VLOOKUP($C128,REV!$C:$AA,24,0)-'TRADE IN'!$F128=0,"",(VLOOKUP($C128,REV!$C:$AA,24,0)-'TRADE IN'!$F128))</f>
        <v>599</v>
      </c>
      <c r="AA128" s="46">
        <f>IF(VLOOKUP($C128,REV!$C:$AA,25,0)-'TRADE IN'!$F128=0,"",(VLOOKUP($C128,REV!$C:$AA,25,0)-'TRADE IN'!$F128))</f>
        <v>599</v>
      </c>
      <c r="AB128" s="45"/>
      <c r="AC128" s="45"/>
      <c r="AD128" s="45"/>
      <c r="AE128" s="45"/>
      <c r="AF128" s="45"/>
      <c r="AG128" s="45"/>
      <c r="AH128" s="45"/>
      <c r="AI128" s="45"/>
      <c r="AJ128" s="45"/>
      <c r="AK128" s="45"/>
      <c r="AL128" s="45"/>
      <c r="AM128" s="45"/>
      <c r="AN128" s="45"/>
      <c r="AO128" s="45"/>
      <c r="AP128" s="45"/>
      <c r="AQ128" s="45"/>
      <c r="AR128" s="45"/>
      <c r="AS128" s="45"/>
      <c r="AT128" s="45"/>
      <c r="AU128" s="45"/>
      <c r="AV128" s="47"/>
      <c r="AW128" s="48" t="str">
        <f>REV!AW128</f>
        <v>13.08.2026</v>
      </c>
      <c r="AX128" s="149" t="s">
        <v>68</v>
      </c>
    </row>
    <row r="129" spans="1:50" ht="22.5" customHeight="1">
      <c r="A129" s="41" t="s">
        <v>63</v>
      </c>
      <c r="B129" s="42" t="s">
        <v>64</v>
      </c>
      <c r="C129" s="43">
        <v>4017758</v>
      </c>
      <c r="D129" s="44" t="s">
        <v>219</v>
      </c>
      <c r="E129" s="44" t="s">
        <v>220</v>
      </c>
      <c r="F129" s="45">
        <v>100</v>
      </c>
      <c r="G129" s="45"/>
      <c r="H129" s="45"/>
      <c r="I129" s="45"/>
      <c r="J129" s="46">
        <f>IF(VLOOKUP($C129,REV!$C:$AA,8,0)-'TRADE IN'!$F129=0,"",(VLOOKUP($C129,REV!$C:$AA,8,0)-'TRADE IN'!$F129))</f>
        <v>2699</v>
      </c>
      <c r="K129" s="46">
        <f>IF(VLOOKUP($C129,REV!$C:$AA,9,0)-'TRADE IN'!$F129=0,"",(VLOOKUP($C129,REV!$C:$AA,9,0)-'TRADE IN'!$F129))</f>
        <v>2699</v>
      </c>
      <c r="L129" s="46">
        <f>IF(VLOOKUP($C129,REV!$C:$AA,10,0)-'TRADE IN'!$F129=0,"",(VLOOKUP($C129,REV!$C:$AA,10,0)-'TRADE IN'!$F129))</f>
        <v>2699</v>
      </c>
      <c r="M129" s="46">
        <f>IF(VLOOKUP($C129,REV!$C:$AA,11,0)-'TRADE IN'!$F129=0,"",(VLOOKUP($C129,REV!$C:$AA,11,0)-'TRADE IN'!$F129))</f>
        <v>2699</v>
      </c>
      <c r="N129" s="46">
        <f>IF(VLOOKUP($C129,REV!$C:$AA,12,0)-'TRADE IN'!$F129=0,"",(VLOOKUP($C129,REV!$C:$AA,12,0)-'TRADE IN'!$F129))</f>
        <v>2699</v>
      </c>
      <c r="O129" s="46">
        <f>IF(VLOOKUP($C129,REV!$C:$AA,13,0)-'TRADE IN'!$F129=0,"",(VLOOKUP($C129,REV!$C:$AA,13,0)-'TRADE IN'!$F129))</f>
        <v>2599</v>
      </c>
      <c r="P129" s="46">
        <f>IF(VLOOKUP($C129,REV!$C:$AA,14,0)-'TRADE IN'!$F129=0,"",(VLOOKUP($C129,REV!$C:$AA,14,0)-'TRADE IN'!$F129))</f>
        <v>2499</v>
      </c>
      <c r="Q129" s="46">
        <f>IF(VLOOKUP($C129,REV!$C:$AA,15,0)-'TRADE IN'!$F129=0,"",(VLOOKUP($C129,REV!$C:$AA,15,0)-'TRADE IN'!$F129))</f>
        <v>2099</v>
      </c>
      <c r="R129" s="46">
        <f>IF(VLOOKUP($C129,REV!$C:$AA,16,0)-'TRADE IN'!$F129=0,"",(VLOOKUP($C129,REV!$C:$AA,16,0)-'TRADE IN'!$F129))</f>
        <v>2599</v>
      </c>
      <c r="S129" s="46">
        <f>IF(VLOOKUP($C129,REV!$C:$AA,17,0)-'TRADE IN'!$F129=0,"",(VLOOKUP($C129,REV!$C:$AA,17,0)-'TRADE IN'!$F129))</f>
        <v>2499</v>
      </c>
      <c r="T129" s="46">
        <f>IF(VLOOKUP($C129,REV!$C:$AA,18,0)-'TRADE IN'!$F129=0,"",(VLOOKUP($C129,REV!$C:$AA,18,0)-'TRADE IN'!$F129))</f>
        <v>2099</v>
      </c>
      <c r="U129" s="46">
        <f>IF(VLOOKUP($C129,REV!$C:$AA,19,0)-'TRADE IN'!$F129=0,"",(VLOOKUP($C129,REV!$C:$AA,19,0)-'TRADE IN'!$F129))</f>
        <v>2099</v>
      </c>
      <c r="V129" s="46">
        <f>IF(VLOOKUP($C129,REV!$C:$AA,20,0)-'TRADE IN'!$F129=0,"",(VLOOKUP($C129,REV!$C:$AA,20,0)-'TRADE IN'!$F129))</f>
        <v>2099</v>
      </c>
      <c r="W129" s="46">
        <f>IF(VLOOKUP($C129,REV!$C:$AA,21,0)-'TRADE IN'!$F129=0,"",(VLOOKUP($C129,REV!$C:$AA,21,0)-'TRADE IN'!$F129))</f>
        <v>2099</v>
      </c>
      <c r="X129" s="46">
        <f>IF(VLOOKUP($C129,REV!$C:$AA,22,0)-'TRADE IN'!$F129=0,"",(VLOOKUP($C129,REV!$C:$AA,22,0)-'TRADE IN'!$F129))</f>
        <v>1999</v>
      </c>
      <c r="Y129" s="46">
        <f>IF(VLOOKUP($C129,REV!$C:$AA,23,0)-'TRADE IN'!$F129=0,"",(VLOOKUP($C129,REV!$C:$AA,23,0)-'TRADE IN'!$F129))</f>
        <v>1599</v>
      </c>
      <c r="Z129" s="46">
        <f>IF(VLOOKUP($C129,REV!$C:$AA,24,0)-'TRADE IN'!$F129=0,"",(VLOOKUP($C129,REV!$C:$AA,24,0)-'TRADE IN'!$F129))</f>
        <v>1599</v>
      </c>
      <c r="AA129" s="46">
        <f>IF(VLOOKUP($C129,REV!$C:$AA,25,0)-'TRADE IN'!$F129=0,"",(VLOOKUP($C129,REV!$C:$AA,25,0)-'TRADE IN'!$F129))</f>
        <v>1499</v>
      </c>
      <c r="AB129" s="45"/>
      <c r="AC129" s="45"/>
      <c r="AD129" s="45"/>
      <c r="AE129" s="45"/>
      <c r="AF129" s="45"/>
      <c r="AG129" s="45"/>
      <c r="AH129" s="45"/>
      <c r="AI129" s="45"/>
      <c r="AJ129" s="45"/>
      <c r="AK129" s="45"/>
      <c r="AL129" s="45"/>
      <c r="AM129" s="45"/>
      <c r="AN129" s="45"/>
      <c r="AO129" s="45"/>
      <c r="AP129" s="45"/>
      <c r="AQ129" s="45"/>
      <c r="AR129" s="45"/>
      <c r="AS129" s="45"/>
      <c r="AT129" s="45"/>
      <c r="AU129" s="45"/>
      <c r="AV129" s="47"/>
      <c r="AW129" s="48" t="str">
        <f>REV!AW129</f>
        <v>13.08.2026</v>
      </c>
      <c r="AX129" s="149" t="s">
        <v>68</v>
      </c>
    </row>
    <row r="130" spans="1:50" ht="22.5" customHeight="1">
      <c r="A130" s="41" t="s">
        <v>63</v>
      </c>
      <c r="B130" s="42" t="s">
        <v>64</v>
      </c>
      <c r="C130" s="43">
        <v>4017773</v>
      </c>
      <c r="D130" s="44" t="s">
        <v>219</v>
      </c>
      <c r="E130" s="44" t="s">
        <v>221</v>
      </c>
      <c r="F130" s="45">
        <v>100</v>
      </c>
      <c r="G130" s="45"/>
      <c r="H130" s="45"/>
      <c r="I130" s="45"/>
      <c r="J130" s="46">
        <f>IF(VLOOKUP($C130,REV!$C:$AA,8,0)-'TRADE IN'!$F130=0,"",(VLOOKUP($C130,REV!$C:$AA,8,0)-'TRADE IN'!$F130))</f>
        <v>2699</v>
      </c>
      <c r="K130" s="46">
        <f>IF(VLOOKUP($C130,REV!$C:$AA,9,0)-'TRADE IN'!$F130=0,"",(VLOOKUP($C130,REV!$C:$AA,9,0)-'TRADE IN'!$F130))</f>
        <v>2699</v>
      </c>
      <c r="L130" s="46">
        <f>IF(VLOOKUP($C130,REV!$C:$AA,10,0)-'TRADE IN'!$F130=0,"",(VLOOKUP($C130,REV!$C:$AA,10,0)-'TRADE IN'!$F130))</f>
        <v>2699</v>
      </c>
      <c r="M130" s="46">
        <f>IF(VLOOKUP($C130,REV!$C:$AA,11,0)-'TRADE IN'!$F130=0,"",(VLOOKUP($C130,REV!$C:$AA,11,0)-'TRADE IN'!$F130))</f>
        <v>2699</v>
      </c>
      <c r="N130" s="46">
        <f>IF(VLOOKUP($C130,REV!$C:$AA,12,0)-'TRADE IN'!$F130=0,"",(VLOOKUP($C130,REV!$C:$AA,12,0)-'TRADE IN'!$F130))</f>
        <v>2699</v>
      </c>
      <c r="O130" s="46">
        <f>IF(VLOOKUP($C130,REV!$C:$AA,13,0)-'TRADE IN'!$F130=0,"",(VLOOKUP($C130,REV!$C:$AA,13,0)-'TRADE IN'!$F130))</f>
        <v>2599</v>
      </c>
      <c r="P130" s="46">
        <f>IF(VLOOKUP($C130,REV!$C:$AA,14,0)-'TRADE IN'!$F130=0,"",(VLOOKUP($C130,REV!$C:$AA,14,0)-'TRADE IN'!$F130))</f>
        <v>2499</v>
      </c>
      <c r="Q130" s="46">
        <f>IF(VLOOKUP($C130,REV!$C:$AA,15,0)-'TRADE IN'!$F130=0,"",(VLOOKUP($C130,REV!$C:$AA,15,0)-'TRADE IN'!$F130))</f>
        <v>2099</v>
      </c>
      <c r="R130" s="46">
        <f>IF(VLOOKUP($C130,REV!$C:$AA,16,0)-'TRADE IN'!$F130=0,"",(VLOOKUP($C130,REV!$C:$AA,16,0)-'TRADE IN'!$F130))</f>
        <v>2599</v>
      </c>
      <c r="S130" s="46">
        <f>IF(VLOOKUP($C130,REV!$C:$AA,17,0)-'TRADE IN'!$F130=0,"",(VLOOKUP($C130,REV!$C:$AA,17,0)-'TRADE IN'!$F130))</f>
        <v>2499</v>
      </c>
      <c r="T130" s="46">
        <f>IF(VLOOKUP($C130,REV!$C:$AA,18,0)-'TRADE IN'!$F130=0,"",(VLOOKUP($C130,REV!$C:$AA,18,0)-'TRADE IN'!$F130))</f>
        <v>2099</v>
      </c>
      <c r="U130" s="46">
        <f>IF(VLOOKUP($C130,REV!$C:$AA,19,0)-'TRADE IN'!$F130=0,"",(VLOOKUP($C130,REV!$C:$AA,19,0)-'TRADE IN'!$F130))</f>
        <v>2099</v>
      </c>
      <c r="V130" s="46">
        <f>IF(VLOOKUP($C130,REV!$C:$AA,20,0)-'TRADE IN'!$F130=0,"",(VLOOKUP($C130,REV!$C:$AA,20,0)-'TRADE IN'!$F130))</f>
        <v>2099</v>
      </c>
      <c r="W130" s="46">
        <f>IF(VLOOKUP($C130,REV!$C:$AA,21,0)-'TRADE IN'!$F130=0,"",(VLOOKUP($C130,REV!$C:$AA,21,0)-'TRADE IN'!$F130))</f>
        <v>2099</v>
      </c>
      <c r="X130" s="46">
        <f>IF(VLOOKUP($C130,REV!$C:$AA,22,0)-'TRADE IN'!$F130=0,"",(VLOOKUP($C130,REV!$C:$AA,22,0)-'TRADE IN'!$F130))</f>
        <v>1999</v>
      </c>
      <c r="Y130" s="46">
        <f>IF(VLOOKUP($C130,REV!$C:$AA,23,0)-'TRADE IN'!$F130=0,"",(VLOOKUP($C130,REV!$C:$AA,23,0)-'TRADE IN'!$F130))</f>
        <v>1599</v>
      </c>
      <c r="Z130" s="46">
        <f>IF(VLOOKUP($C130,REV!$C:$AA,24,0)-'TRADE IN'!$F130=0,"",(VLOOKUP($C130,REV!$C:$AA,24,0)-'TRADE IN'!$F130))</f>
        <v>1599</v>
      </c>
      <c r="AA130" s="46">
        <f>IF(VLOOKUP($C130,REV!$C:$AA,25,0)-'TRADE IN'!$F130=0,"",(VLOOKUP($C130,REV!$C:$AA,25,0)-'TRADE IN'!$F130))</f>
        <v>1499</v>
      </c>
      <c r="AB130" s="45"/>
      <c r="AC130" s="45"/>
      <c r="AD130" s="45"/>
      <c r="AE130" s="45"/>
      <c r="AF130" s="45"/>
      <c r="AG130" s="45"/>
      <c r="AH130" s="45"/>
      <c r="AI130" s="45"/>
      <c r="AJ130" s="45"/>
      <c r="AK130" s="45"/>
      <c r="AL130" s="45"/>
      <c r="AM130" s="45"/>
      <c r="AN130" s="45"/>
      <c r="AO130" s="45"/>
      <c r="AP130" s="45"/>
      <c r="AQ130" s="45"/>
      <c r="AR130" s="45"/>
      <c r="AS130" s="45"/>
      <c r="AT130" s="45"/>
      <c r="AU130" s="45"/>
      <c r="AV130" s="47"/>
      <c r="AW130" s="48" t="str">
        <f>REV!AW130</f>
        <v>13.08.2026</v>
      </c>
      <c r="AX130" s="149" t="s">
        <v>68</v>
      </c>
    </row>
    <row r="131" spans="1:50" ht="22.5" customHeight="1">
      <c r="A131" s="55" t="s">
        <v>222</v>
      </c>
      <c r="B131" s="42" t="s">
        <v>64</v>
      </c>
      <c r="C131" s="43">
        <v>4017737</v>
      </c>
      <c r="D131" s="44" t="s">
        <v>223</v>
      </c>
      <c r="E131" s="44" t="s">
        <v>224</v>
      </c>
      <c r="F131" s="45">
        <v>100</v>
      </c>
      <c r="G131" s="45"/>
      <c r="H131" s="45"/>
      <c r="I131" s="45"/>
      <c r="J131" s="46">
        <f>IF(VLOOKUP($C131,REV!$C:$AA,8,0)-'TRADE IN'!$F131=0,"",(VLOOKUP($C131,REV!$C:$AA,8,0)-'TRADE IN'!$F131))</f>
        <v>1099</v>
      </c>
      <c r="K131" s="46">
        <f>IF(VLOOKUP($C131,REV!$C:$AA,9,0)-'TRADE IN'!$F131=0,"",(VLOOKUP($C131,REV!$C:$AA,9,0)-'TRADE IN'!$F131))</f>
        <v>1099</v>
      </c>
      <c r="L131" s="46">
        <f>IF(VLOOKUP($C131,REV!$C:$AA,10,0)-'TRADE IN'!$F131=0,"",(VLOOKUP($C131,REV!$C:$AA,10,0)-'TRADE IN'!$F131))</f>
        <v>1099</v>
      </c>
      <c r="M131" s="46">
        <f>IF(VLOOKUP($C131,REV!$C:$AA,11,0)-'TRADE IN'!$F131=0,"",(VLOOKUP($C131,REV!$C:$AA,11,0)-'TRADE IN'!$F131))</f>
        <v>1099</v>
      </c>
      <c r="N131" s="46">
        <f>IF(VLOOKUP($C131,REV!$C:$AA,12,0)-'TRADE IN'!$F131=0,"",(VLOOKUP($C131,REV!$C:$AA,12,0)-'TRADE IN'!$F131))</f>
        <v>1099</v>
      </c>
      <c r="O131" s="46">
        <f>IF(VLOOKUP($C131,REV!$C:$AA,13,0)-'TRADE IN'!$F131=0,"",(VLOOKUP($C131,REV!$C:$AA,13,0)-'TRADE IN'!$F131))</f>
        <v>999</v>
      </c>
      <c r="P131" s="46">
        <f>IF(VLOOKUP($C131,REV!$C:$AA,14,0)-'TRADE IN'!$F131=0,"",(VLOOKUP($C131,REV!$C:$AA,14,0)-'TRADE IN'!$F131))</f>
        <v>899</v>
      </c>
      <c r="Q131" s="46">
        <f>IF(VLOOKUP($C131,REV!$C:$AA,15,0)-'TRADE IN'!$F131=0,"",(VLOOKUP($C131,REV!$C:$AA,15,0)-'TRADE IN'!$F131))</f>
        <v>899</v>
      </c>
      <c r="R131" s="46">
        <f>IF(VLOOKUP($C131,REV!$C:$AA,16,0)-'TRADE IN'!$F131=0,"",(VLOOKUP($C131,REV!$C:$AA,16,0)-'TRADE IN'!$F131))</f>
        <v>999</v>
      </c>
      <c r="S131" s="46">
        <f>IF(VLOOKUP($C131,REV!$C:$AA,17,0)-'TRADE IN'!$F131=0,"",(VLOOKUP($C131,REV!$C:$AA,17,0)-'TRADE IN'!$F131))</f>
        <v>899</v>
      </c>
      <c r="T131" s="46">
        <f>IF(VLOOKUP($C131,REV!$C:$AA,18,0)-'TRADE IN'!$F131=0,"",(VLOOKUP($C131,REV!$C:$AA,18,0)-'TRADE IN'!$F131))</f>
        <v>899</v>
      </c>
      <c r="U131" s="46">
        <f>IF(VLOOKUP($C131,REV!$C:$AA,19,0)-'TRADE IN'!$F131=0,"",(VLOOKUP($C131,REV!$C:$AA,19,0)-'TRADE IN'!$F131))</f>
        <v>899</v>
      </c>
      <c r="V131" s="46">
        <f>IF(VLOOKUP($C131,REV!$C:$AA,20,0)-'TRADE IN'!$F131=0,"",(VLOOKUP($C131,REV!$C:$AA,20,0)-'TRADE IN'!$F131))</f>
        <v>899</v>
      </c>
      <c r="W131" s="46">
        <f>IF(VLOOKUP($C131,REV!$C:$AA,21,0)-'TRADE IN'!$F131=0,"",(VLOOKUP($C131,REV!$C:$AA,21,0)-'TRADE IN'!$F131))</f>
        <v>899</v>
      </c>
      <c r="X131" s="46">
        <f>IF(VLOOKUP($C131,REV!$C:$AA,22,0)-'TRADE IN'!$F131=0,"",(VLOOKUP($C131,REV!$C:$AA,22,0)-'TRADE IN'!$F131))</f>
        <v>899</v>
      </c>
      <c r="Y131" s="46">
        <f>IF(VLOOKUP($C131,REV!$C:$AA,23,0)-'TRADE IN'!$F131=0,"",(VLOOKUP($C131,REV!$C:$AA,23,0)-'TRADE IN'!$F131))</f>
        <v>799</v>
      </c>
      <c r="Z131" s="46">
        <f>IF(VLOOKUP($C131,REV!$C:$AA,24,0)-'TRADE IN'!$F131=0,"",(VLOOKUP($C131,REV!$C:$AA,24,0)-'TRADE IN'!$F131))</f>
        <v>799</v>
      </c>
      <c r="AA131" s="46">
        <f>IF(VLOOKUP($C131,REV!$C:$AA,25,0)-'TRADE IN'!$F131=0,"",(VLOOKUP($C131,REV!$C:$AA,25,0)-'TRADE IN'!$F131))</f>
        <v>799</v>
      </c>
      <c r="AB131" s="45"/>
      <c r="AC131" s="45"/>
      <c r="AD131" s="45"/>
      <c r="AE131" s="45"/>
      <c r="AF131" s="45"/>
      <c r="AG131" s="45"/>
      <c r="AH131" s="45"/>
      <c r="AI131" s="45"/>
      <c r="AJ131" s="45"/>
      <c r="AK131" s="45"/>
      <c r="AL131" s="45"/>
      <c r="AM131" s="45"/>
      <c r="AN131" s="45"/>
      <c r="AO131" s="45"/>
      <c r="AP131" s="45"/>
      <c r="AQ131" s="45"/>
      <c r="AR131" s="45"/>
      <c r="AS131" s="45"/>
      <c r="AT131" s="45"/>
      <c r="AU131" s="45"/>
      <c r="AV131" s="47"/>
      <c r="AW131" s="48" t="str">
        <f>REV!AW131</f>
        <v>13.08.2026</v>
      </c>
      <c r="AX131" s="149" t="s">
        <v>68</v>
      </c>
    </row>
    <row r="132" spans="1:50" ht="22.5" customHeight="1">
      <c r="A132" s="55" t="s">
        <v>222</v>
      </c>
      <c r="B132" s="42" t="s">
        <v>64</v>
      </c>
      <c r="C132" s="43">
        <v>4017770</v>
      </c>
      <c r="D132" s="44" t="s">
        <v>223</v>
      </c>
      <c r="E132" s="44" t="s">
        <v>225</v>
      </c>
      <c r="F132" s="45">
        <v>100</v>
      </c>
      <c r="G132" s="45"/>
      <c r="H132" s="45"/>
      <c r="I132" s="45"/>
      <c r="J132" s="46">
        <f>IF(VLOOKUP($C132,REV!$C:$AA,8,0)-'TRADE IN'!$F132=0,"",(VLOOKUP($C132,REV!$C:$AA,8,0)-'TRADE IN'!$F132))</f>
        <v>1099</v>
      </c>
      <c r="K132" s="46">
        <f>IF(VLOOKUP($C132,REV!$C:$AA,9,0)-'TRADE IN'!$F132=0,"",(VLOOKUP($C132,REV!$C:$AA,9,0)-'TRADE IN'!$F132))</f>
        <v>1099</v>
      </c>
      <c r="L132" s="46">
        <f>IF(VLOOKUP($C132,REV!$C:$AA,10,0)-'TRADE IN'!$F132=0,"",(VLOOKUP($C132,REV!$C:$AA,10,0)-'TRADE IN'!$F132))</f>
        <v>1099</v>
      </c>
      <c r="M132" s="46">
        <f>IF(VLOOKUP($C132,REV!$C:$AA,11,0)-'TRADE IN'!$F132=0,"",(VLOOKUP($C132,REV!$C:$AA,11,0)-'TRADE IN'!$F132))</f>
        <v>1099</v>
      </c>
      <c r="N132" s="46">
        <f>IF(VLOOKUP($C132,REV!$C:$AA,12,0)-'TRADE IN'!$F132=0,"",(VLOOKUP($C132,REV!$C:$AA,12,0)-'TRADE IN'!$F132))</f>
        <v>1099</v>
      </c>
      <c r="O132" s="46">
        <f>IF(VLOOKUP($C132,REV!$C:$AA,13,0)-'TRADE IN'!$F132=0,"",(VLOOKUP($C132,REV!$C:$AA,13,0)-'TRADE IN'!$F132))</f>
        <v>999</v>
      </c>
      <c r="P132" s="46">
        <f>IF(VLOOKUP($C132,REV!$C:$AA,14,0)-'TRADE IN'!$F132=0,"",(VLOOKUP($C132,REV!$C:$AA,14,0)-'TRADE IN'!$F132))</f>
        <v>899</v>
      </c>
      <c r="Q132" s="46">
        <f>IF(VLOOKUP($C132,REV!$C:$AA,15,0)-'TRADE IN'!$F132=0,"",(VLOOKUP($C132,REV!$C:$AA,15,0)-'TRADE IN'!$F132))</f>
        <v>899</v>
      </c>
      <c r="R132" s="46">
        <f>IF(VLOOKUP($C132,REV!$C:$AA,16,0)-'TRADE IN'!$F132=0,"",(VLOOKUP($C132,REV!$C:$AA,16,0)-'TRADE IN'!$F132))</f>
        <v>999</v>
      </c>
      <c r="S132" s="46">
        <f>IF(VLOOKUP($C132,REV!$C:$AA,17,0)-'TRADE IN'!$F132=0,"",(VLOOKUP($C132,REV!$C:$AA,17,0)-'TRADE IN'!$F132))</f>
        <v>899</v>
      </c>
      <c r="T132" s="46">
        <f>IF(VLOOKUP($C132,REV!$C:$AA,18,0)-'TRADE IN'!$F132=0,"",(VLOOKUP($C132,REV!$C:$AA,18,0)-'TRADE IN'!$F132))</f>
        <v>899</v>
      </c>
      <c r="U132" s="46">
        <f>IF(VLOOKUP($C132,REV!$C:$AA,19,0)-'TRADE IN'!$F132=0,"",(VLOOKUP($C132,REV!$C:$AA,19,0)-'TRADE IN'!$F132))</f>
        <v>899</v>
      </c>
      <c r="V132" s="46">
        <f>IF(VLOOKUP($C132,REV!$C:$AA,20,0)-'TRADE IN'!$F132=0,"",(VLOOKUP($C132,REV!$C:$AA,20,0)-'TRADE IN'!$F132))</f>
        <v>899</v>
      </c>
      <c r="W132" s="46">
        <f>IF(VLOOKUP($C132,REV!$C:$AA,21,0)-'TRADE IN'!$F132=0,"",(VLOOKUP($C132,REV!$C:$AA,21,0)-'TRADE IN'!$F132))</f>
        <v>899</v>
      </c>
      <c r="X132" s="46">
        <f>IF(VLOOKUP($C132,REV!$C:$AA,22,0)-'TRADE IN'!$F132=0,"",(VLOOKUP($C132,REV!$C:$AA,22,0)-'TRADE IN'!$F132))</f>
        <v>899</v>
      </c>
      <c r="Y132" s="46">
        <f>IF(VLOOKUP($C132,REV!$C:$AA,23,0)-'TRADE IN'!$F132=0,"",(VLOOKUP($C132,REV!$C:$AA,23,0)-'TRADE IN'!$F132))</f>
        <v>799</v>
      </c>
      <c r="Z132" s="46">
        <f>IF(VLOOKUP($C132,REV!$C:$AA,24,0)-'TRADE IN'!$F132=0,"",(VLOOKUP($C132,REV!$C:$AA,24,0)-'TRADE IN'!$F132))</f>
        <v>799</v>
      </c>
      <c r="AA132" s="46">
        <f>IF(VLOOKUP($C132,REV!$C:$AA,25,0)-'TRADE IN'!$F132=0,"",(VLOOKUP($C132,REV!$C:$AA,25,0)-'TRADE IN'!$F132))</f>
        <v>799</v>
      </c>
      <c r="AB132" s="45"/>
      <c r="AC132" s="45"/>
      <c r="AD132" s="45"/>
      <c r="AE132" s="45"/>
      <c r="AF132" s="45"/>
      <c r="AG132" s="45"/>
      <c r="AH132" s="45"/>
      <c r="AI132" s="45"/>
      <c r="AJ132" s="45"/>
      <c r="AK132" s="45"/>
      <c r="AL132" s="45"/>
      <c r="AM132" s="45"/>
      <c r="AN132" s="45"/>
      <c r="AO132" s="45"/>
      <c r="AP132" s="45"/>
      <c r="AQ132" s="45"/>
      <c r="AR132" s="45"/>
      <c r="AS132" s="45"/>
      <c r="AT132" s="45"/>
      <c r="AU132" s="45"/>
      <c r="AV132" s="47"/>
      <c r="AW132" s="48" t="str">
        <f>REV!AW132</f>
        <v>13.08.2026</v>
      </c>
      <c r="AX132" s="149" t="s">
        <v>68</v>
      </c>
    </row>
    <row r="133" spans="1:50" ht="22.5" customHeight="1">
      <c r="A133" s="55" t="s">
        <v>222</v>
      </c>
      <c r="B133" s="42" t="s">
        <v>64</v>
      </c>
      <c r="C133" s="43">
        <v>4017200</v>
      </c>
      <c r="D133" s="44" t="s">
        <v>226</v>
      </c>
      <c r="E133" s="44" t="s">
        <v>227</v>
      </c>
      <c r="F133" s="45">
        <v>100</v>
      </c>
      <c r="G133" s="45"/>
      <c r="H133" s="45"/>
      <c r="I133" s="45"/>
      <c r="J133" s="46">
        <f>IF(VLOOKUP($C133,REV!$C:$AA,8,0)-'TRADE IN'!$F133=0,"",(VLOOKUP($C133,REV!$C:$AA,8,0)-'TRADE IN'!$F133))</f>
        <v>1199</v>
      </c>
      <c r="K133" s="46">
        <f>IF(VLOOKUP($C133,REV!$C:$AA,9,0)-'TRADE IN'!$F133=0,"",(VLOOKUP($C133,REV!$C:$AA,9,0)-'TRADE IN'!$F133))</f>
        <v>899</v>
      </c>
      <c r="L133" s="46">
        <f>IF(VLOOKUP($C133,REV!$C:$AA,10,0)-'TRADE IN'!$F133=0,"",(VLOOKUP($C133,REV!$C:$AA,10,0)-'TRADE IN'!$F133))</f>
        <v>899</v>
      </c>
      <c r="M133" s="46">
        <f>IF(VLOOKUP($C133,REV!$C:$AA,11,0)-'TRADE IN'!$F133=0,"",(VLOOKUP($C133,REV!$C:$AA,11,0)-'TRADE IN'!$F133))</f>
        <v>1199</v>
      </c>
      <c r="N133" s="46">
        <f>IF(VLOOKUP($C133,REV!$C:$AA,12,0)-'TRADE IN'!$F133=0,"",(VLOOKUP($C133,REV!$C:$AA,12,0)-'TRADE IN'!$F133))</f>
        <v>899</v>
      </c>
      <c r="O133" s="46">
        <f>IF(VLOOKUP($C133,REV!$C:$AA,13,0)-'TRADE IN'!$F133=0,"",(VLOOKUP($C133,REV!$C:$AA,13,0)-'TRADE IN'!$F133))</f>
        <v>899</v>
      </c>
      <c r="P133" s="46">
        <f>IF(VLOOKUP($C133,REV!$C:$AA,14,0)-'TRADE IN'!$F133=0,"",(VLOOKUP($C133,REV!$C:$AA,14,0)-'TRADE IN'!$F133))</f>
        <v>899</v>
      </c>
      <c r="Q133" s="46">
        <f>IF(VLOOKUP($C133,REV!$C:$AA,15,0)-'TRADE IN'!$F133=0,"",(VLOOKUP($C133,REV!$C:$AA,15,0)-'TRADE IN'!$F133))</f>
        <v>799</v>
      </c>
      <c r="R133" s="46">
        <f>IF(VLOOKUP($C133,REV!$C:$AA,16,0)-'TRADE IN'!$F133=0,"",(VLOOKUP($C133,REV!$C:$AA,16,0)-'TRADE IN'!$F133))</f>
        <v>899</v>
      </c>
      <c r="S133" s="46">
        <f>IF(VLOOKUP($C133,REV!$C:$AA,17,0)-'TRADE IN'!$F133=0,"",(VLOOKUP($C133,REV!$C:$AA,17,0)-'TRADE IN'!$F133))</f>
        <v>899</v>
      </c>
      <c r="T133" s="46">
        <f>IF(VLOOKUP($C133,REV!$C:$AA,18,0)-'TRADE IN'!$F133=0,"",(VLOOKUP($C133,REV!$C:$AA,18,0)-'TRADE IN'!$F133))</f>
        <v>799</v>
      </c>
      <c r="U133" s="46">
        <f>IF(VLOOKUP($C133,REV!$C:$AA,19,0)-'TRADE IN'!$F133=0,"",(VLOOKUP($C133,REV!$C:$AA,19,0)-'TRADE IN'!$F133))</f>
        <v>799</v>
      </c>
      <c r="V133" s="46">
        <f>IF(VLOOKUP($C133,REV!$C:$AA,20,0)-'TRADE IN'!$F133=0,"",(VLOOKUP($C133,REV!$C:$AA,20,0)-'TRADE IN'!$F133))</f>
        <v>799</v>
      </c>
      <c r="W133" s="46">
        <f>IF(VLOOKUP($C133,REV!$C:$AA,21,0)-'TRADE IN'!$F133=0,"",(VLOOKUP($C133,REV!$C:$AA,21,0)-'TRADE IN'!$F133))</f>
        <v>799</v>
      </c>
      <c r="X133" s="46">
        <f>IF(VLOOKUP($C133,REV!$C:$AA,22,0)-'TRADE IN'!$F133=0,"",(VLOOKUP($C133,REV!$C:$AA,22,0)-'TRADE IN'!$F133))</f>
        <v>799</v>
      </c>
      <c r="Y133" s="46">
        <f>IF(VLOOKUP($C133,REV!$C:$AA,23,0)-'TRADE IN'!$F133=0,"",(VLOOKUP($C133,REV!$C:$AA,23,0)-'TRADE IN'!$F133))</f>
        <v>799</v>
      </c>
      <c r="Z133" s="46">
        <f>IF(VLOOKUP($C133,REV!$C:$AA,24,0)-'TRADE IN'!$F133=0,"",(VLOOKUP($C133,REV!$C:$AA,24,0)-'TRADE IN'!$F133))</f>
        <v>799</v>
      </c>
      <c r="AA133" s="46">
        <f>IF(VLOOKUP($C133,REV!$C:$AA,25,0)-'TRADE IN'!$F133=0,"",(VLOOKUP($C133,REV!$C:$AA,25,0)-'TRADE IN'!$F133))</f>
        <v>799</v>
      </c>
      <c r="AB133" s="45"/>
      <c r="AC133" s="45"/>
      <c r="AD133" s="45"/>
      <c r="AE133" s="45"/>
      <c r="AF133" s="45"/>
      <c r="AG133" s="45"/>
      <c r="AH133" s="45"/>
      <c r="AI133" s="45"/>
      <c r="AJ133" s="45"/>
      <c r="AK133" s="45"/>
      <c r="AL133" s="45"/>
      <c r="AM133" s="45"/>
      <c r="AN133" s="45"/>
      <c r="AO133" s="45"/>
      <c r="AP133" s="45"/>
      <c r="AQ133" s="45"/>
      <c r="AR133" s="45"/>
      <c r="AS133" s="45"/>
      <c r="AT133" s="45"/>
      <c r="AU133" s="45"/>
      <c r="AV133" s="47"/>
      <c r="AW133" s="48" t="str">
        <f>REV!AW133</f>
        <v>13.08.2026</v>
      </c>
      <c r="AX133" s="149" t="s">
        <v>68</v>
      </c>
    </row>
    <row r="134" spans="1:50" ht="22.5" customHeight="1">
      <c r="A134" s="55" t="s">
        <v>222</v>
      </c>
      <c r="B134" s="42" t="s">
        <v>64</v>
      </c>
      <c r="C134" s="43">
        <v>4015390</v>
      </c>
      <c r="D134" s="56" t="s">
        <v>228</v>
      </c>
      <c r="E134" s="56" t="s">
        <v>229</v>
      </c>
      <c r="F134" s="45">
        <v>100</v>
      </c>
      <c r="G134" s="45"/>
      <c r="H134" s="45"/>
      <c r="I134" s="45"/>
      <c r="J134" s="46">
        <f>IF(VLOOKUP($C134,REV!$C:$AA,8,0)-'TRADE IN'!$F134=0,"",(VLOOKUP($C134,REV!$C:$AA,8,0)-'TRADE IN'!$F134))</f>
        <v>349</v>
      </c>
      <c r="K134" s="46">
        <f>IF(VLOOKUP($C134,REV!$C:$AA,9,0)-'TRADE IN'!$F134=0,"",(VLOOKUP($C134,REV!$C:$AA,9,0)-'TRADE IN'!$F134))</f>
        <v>349</v>
      </c>
      <c r="L134" s="46">
        <f>IF(VLOOKUP($C134,REV!$C:$AA,10,0)-'TRADE IN'!$F134=0,"",(VLOOKUP($C134,REV!$C:$AA,10,0)-'TRADE IN'!$F134))</f>
        <v>349</v>
      </c>
      <c r="M134" s="46">
        <f>IF(VLOOKUP($C134,REV!$C:$AA,11,0)-'TRADE IN'!$F134=0,"",(VLOOKUP($C134,REV!$C:$AA,11,0)-'TRADE IN'!$F134))</f>
        <v>349</v>
      </c>
      <c r="N134" s="46">
        <f>IF(VLOOKUP($C134,REV!$C:$AA,12,0)-'TRADE IN'!$F134=0,"",(VLOOKUP($C134,REV!$C:$AA,12,0)-'TRADE IN'!$F134))</f>
        <v>349</v>
      </c>
      <c r="O134" s="46">
        <f>IF(VLOOKUP($C134,REV!$C:$AA,13,0)-'TRADE IN'!$F134=0,"",(VLOOKUP($C134,REV!$C:$AA,13,0)-'TRADE IN'!$F134))</f>
        <v>299</v>
      </c>
      <c r="P134" s="46">
        <f>IF(VLOOKUP($C134,REV!$C:$AA,14,0)-'TRADE IN'!$F134=0,"",(VLOOKUP($C134,REV!$C:$AA,14,0)-'TRADE IN'!$F134))</f>
        <v>249</v>
      </c>
      <c r="Q134" s="46">
        <f>IF(VLOOKUP($C134,REV!$C:$AA,15,0)-'TRADE IN'!$F134=0,"",(VLOOKUP($C134,REV!$C:$AA,15,0)-'TRADE IN'!$F134))</f>
        <v>199</v>
      </c>
      <c r="R134" s="46">
        <f>IF(VLOOKUP($C134,REV!$C:$AA,16,0)-'TRADE IN'!$F134=0,"",(VLOOKUP($C134,REV!$C:$AA,16,0)-'TRADE IN'!$F134))</f>
        <v>299</v>
      </c>
      <c r="S134" s="46">
        <f>IF(VLOOKUP($C134,REV!$C:$AA,17,0)-'TRADE IN'!$F134=0,"",(VLOOKUP($C134,REV!$C:$AA,17,0)-'TRADE IN'!$F134))</f>
        <v>249</v>
      </c>
      <c r="T134" s="46">
        <f>IF(VLOOKUP($C134,REV!$C:$AA,18,0)-'TRADE IN'!$F134=0,"",(VLOOKUP($C134,REV!$C:$AA,18,0)-'TRADE IN'!$F134))</f>
        <v>199</v>
      </c>
      <c r="U134" s="46">
        <f>IF(VLOOKUP($C134,REV!$C:$AA,19,0)-'TRADE IN'!$F134=0,"",(VLOOKUP($C134,REV!$C:$AA,19,0)-'TRADE IN'!$F134))</f>
        <v>199</v>
      </c>
      <c r="V134" s="46">
        <f>IF(VLOOKUP($C134,REV!$C:$AA,20,0)-'TRADE IN'!$F134=0,"",(VLOOKUP($C134,REV!$C:$AA,20,0)-'TRADE IN'!$F134))</f>
        <v>199</v>
      </c>
      <c r="W134" s="46">
        <f>IF(VLOOKUP($C134,REV!$C:$AA,21,0)-'TRADE IN'!$F134=0,"",(VLOOKUP($C134,REV!$C:$AA,21,0)-'TRADE IN'!$F134))</f>
        <v>199</v>
      </c>
      <c r="X134" s="46">
        <f>IF(VLOOKUP($C134,REV!$C:$AA,22,0)-'TRADE IN'!$F134=0,"",(VLOOKUP($C134,REV!$C:$AA,22,0)-'TRADE IN'!$F134))</f>
        <v>199</v>
      </c>
      <c r="Y134" s="46">
        <f>IF(VLOOKUP($C134,REV!$C:$AA,23,0)-'TRADE IN'!$F134=0,"",(VLOOKUP($C134,REV!$C:$AA,23,0)-'TRADE IN'!$F134))</f>
        <v>199</v>
      </c>
      <c r="Z134" s="46">
        <f>IF(VLOOKUP($C134,REV!$C:$AA,24,0)-'TRADE IN'!$F134=0,"",(VLOOKUP($C134,REV!$C:$AA,24,0)-'TRADE IN'!$F134))</f>
        <v>199</v>
      </c>
      <c r="AA134" s="46">
        <f>IF(VLOOKUP($C134,REV!$C:$AA,25,0)-'TRADE IN'!$F134=0,"",(VLOOKUP($C134,REV!$C:$AA,25,0)-'TRADE IN'!$F134))</f>
        <v>199</v>
      </c>
      <c r="AB134" s="45"/>
      <c r="AC134" s="45"/>
      <c r="AD134" s="45"/>
      <c r="AE134" s="45"/>
      <c r="AF134" s="45"/>
      <c r="AG134" s="45"/>
      <c r="AH134" s="45"/>
      <c r="AI134" s="45"/>
      <c r="AJ134" s="45"/>
      <c r="AK134" s="45"/>
      <c r="AL134" s="45"/>
      <c r="AM134" s="45"/>
      <c r="AN134" s="45"/>
      <c r="AO134" s="45"/>
      <c r="AP134" s="45"/>
      <c r="AQ134" s="45"/>
      <c r="AR134" s="45"/>
      <c r="AS134" s="45"/>
      <c r="AT134" s="45"/>
      <c r="AU134" s="45"/>
      <c r="AV134" s="47"/>
      <c r="AW134" s="48" t="str">
        <f>REV!AW134</f>
        <v>13.08.2026</v>
      </c>
      <c r="AX134" s="149" t="s">
        <v>230</v>
      </c>
    </row>
    <row r="135" spans="1:50" ht="22.5" customHeight="1">
      <c r="A135" s="41" t="s">
        <v>63</v>
      </c>
      <c r="B135" s="42" t="s">
        <v>64</v>
      </c>
      <c r="C135" s="43">
        <v>4015070</v>
      </c>
      <c r="D135" s="56" t="s">
        <v>231</v>
      </c>
      <c r="E135" s="56" t="s">
        <v>232</v>
      </c>
      <c r="F135" s="45">
        <v>100</v>
      </c>
      <c r="G135" s="45"/>
      <c r="H135" s="45"/>
      <c r="I135" s="45"/>
      <c r="J135" s="46">
        <f>IF(VLOOKUP($C135,REV!$C:$AA,8,0)-'TRADE IN'!$F135=0,"",(VLOOKUP($C135,REV!$C:$AA,8,0)-'TRADE IN'!$F135))</f>
        <v>799</v>
      </c>
      <c r="K135" s="46">
        <f>IF(VLOOKUP($C135,REV!$C:$AA,9,0)-'TRADE IN'!$F135=0,"",(VLOOKUP($C135,REV!$C:$AA,9,0)-'TRADE IN'!$F135))</f>
        <v>699</v>
      </c>
      <c r="L135" s="46">
        <f>IF(VLOOKUP($C135,REV!$C:$AA,10,0)-'TRADE IN'!$F135=0,"",(VLOOKUP($C135,REV!$C:$AA,10,0)-'TRADE IN'!$F135))</f>
        <v>699</v>
      </c>
      <c r="M135" s="46">
        <f>IF(VLOOKUP($C135,REV!$C:$AA,11,0)-'TRADE IN'!$F135=0,"",(VLOOKUP($C135,REV!$C:$AA,11,0)-'TRADE IN'!$F135))</f>
        <v>799</v>
      </c>
      <c r="N135" s="46">
        <f>IF(VLOOKUP($C135,REV!$C:$AA,12,0)-'TRADE IN'!$F135=0,"",(VLOOKUP($C135,REV!$C:$AA,12,0)-'TRADE IN'!$F135))</f>
        <v>799</v>
      </c>
      <c r="O135" s="46">
        <f>IF(VLOOKUP($C135,REV!$C:$AA,13,0)-'TRADE IN'!$F135=0,"",(VLOOKUP($C135,REV!$C:$AA,13,0)-'TRADE IN'!$F135))</f>
        <v>649</v>
      </c>
      <c r="P135" s="46">
        <f>IF(VLOOKUP($C135,REV!$C:$AA,14,0)-'TRADE IN'!$F135=0,"",(VLOOKUP($C135,REV!$C:$AA,14,0)-'TRADE IN'!$F135))</f>
        <v>649</v>
      </c>
      <c r="Q135" s="46">
        <f>IF(VLOOKUP($C135,REV!$C:$AA,15,0)-'TRADE IN'!$F135=0,"",(VLOOKUP($C135,REV!$C:$AA,15,0)-'TRADE IN'!$F135))</f>
        <v>649</v>
      </c>
      <c r="R135" s="46">
        <f>IF(VLOOKUP($C135,REV!$C:$AA,16,0)-'TRADE IN'!$F135=0,"",(VLOOKUP($C135,REV!$C:$AA,16,0)-'TRADE IN'!$F135))</f>
        <v>649</v>
      </c>
      <c r="S135" s="46">
        <f>IF(VLOOKUP($C135,REV!$C:$AA,17,0)-'TRADE IN'!$F135=0,"",(VLOOKUP($C135,REV!$C:$AA,17,0)-'TRADE IN'!$F135))</f>
        <v>649</v>
      </c>
      <c r="T135" s="46">
        <f>IF(VLOOKUP($C135,REV!$C:$AA,18,0)-'TRADE IN'!$F135=0,"",(VLOOKUP($C135,REV!$C:$AA,18,0)-'TRADE IN'!$F135))</f>
        <v>649</v>
      </c>
      <c r="U135" s="46">
        <f>IF(VLOOKUP($C135,REV!$C:$AA,19,0)-'TRADE IN'!$F135=0,"",(VLOOKUP($C135,REV!$C:$AA,19,0)-'TRADE IN'!$F135))</f>
        <v>649</v>
      </c>
      <c r="V135" s="46">
        <f>IF(VLOOKUP($C135,REV!$C:$AA,20,0)-'TRADE IN'!$F135=0,"",(VLOOKUP($C135,REV!$C:$AA,20,0)-'TRADE IN'!$F135))</f>
        <v>649</v>
      </c>
      <c r="W135" s="46">
        <f>IF(VLOOKUP($C135,REV!$C:$AA,21,0)-'TRADE IN'!$F135=0,"",(VLOOKUP($C135,REV!$C:$AA,21,0)-'TRADE IN'!$F135))</f>
        <v>649</v>
      </c>
      <c r="X135" s="46">
        <f>IF(VLOOKUP($C135,REV!$C:$AA,22,0)-'TRADE IN'!$F135=0,"",(VLOOKUP($C135,REV!$C:$AA,22,0)-'TRADE IN'!$F135))</f>
        <v>649</v>
      </c>
      <c r="Y135" s="46">
        <f>IF(VLOOKUP($C135,REV!$C:$AA,23,0)-'TRADE IN'!$F135=0,"",(VLOOKUP($C135,REV!$C:$AA,23,0)-'TRADE IN'!$F135))</f>
        <v>649</v>
      </c>
      <c r="Z135" s="46">
        <f>IF(VLOOKUP($C135,REV!$C:$AA,24,0)-'TRADE IN'!$F135=0,"",(VLOOKUP($C135,REV!$C:$AA,24,0)-'TRADE IN'!$F135))</f>
        <v>649</v>
      </c>
      <c r="AA135" s="46">
        <f>IF(VLOOKUP($C135,REV!$C:$AA,25,0)-'TRADE IN'!$F135=0,"",(VLOOKUP($C135,REV!$C:$AA,25,0)-'TRADE IN'!$F135))</f>
        <v>649</v>
      </c>
      <c r="AB135" s="45"/>
      <c r="AC135" s="45"/>
      <c r="AD135" s="45"/>
      <c r="AE135" s="45"/>
      <c r="AF135" s="45"/>
      <c r="AG135" s="45"/>
      <c r="AH135" s="45"/>
      <c r="AI135" s="45"/>
      <c r="AJ135" s="45"/>
      <c r="AK135" s="45"/>
      <c r="AL135" s="45"/>
      <c r="AM135" s="45"/>
      <c r="AN135" s="45"/>
      <c r="AO135" s="45"/>
      <c r="AP135" s="45"/>
      <c r="AQ135" s="45"/>
      <c r="AR135" s="45"/>
      <c r="AS135" s="45"/>
      <c r="AT135" s="45"/>
      <c r="AU135" s="45"/>
      <c r="AV135" s="47"/>
      <c r="AW135" s="48" t="str">
        <f>REV!AW135</f>
        <v>13.08.2026</v>
      </c>
      <c r="AX135" s="149" t="s">
        <v>68</v>
      </c>
    </row>
    <row r="136" spans="1:50" ht="22.5" customHeight="1">
      <c r="A136" s="41" t="s">
        <v>63</v>
      </c>
      <c r="B136" s="42" t="s">
        <v>64</v>
      </c>
      <c r="C136" s="43">
        <v>4014800</v>
      </c>
      <c r="D136" s="56" t="s">
        <v>233</v>
      </c>
      <c r="E136" s="56" t="s">
        <v>234</v>
      </c>
      <c r="F136" s="45">
        <v>100</v>
      </c>
      <c r="G136" s="45"/>
      <c r="H136" s="45"/>
      <c r="I136" s="45"/>
      <c r="J136" s="46">
        <f>IF(VLOOKUP($C136,REV!$C:$AA,8,0)-'TRADE IN'!$F136=0,"",(VLOOKUP($C136,REV!$C:$AA,8,0)-'TRADE IN'!$F136))</f>
        <v>2199</v>
      </c>
      <c r="K136" s="46">
        <f>IF(VLOOKUP($C136,REV!$C:$AA,9,0)-'TRADE IN'!$F136=0,"",(VLOOKUP($C136,REV!$C:$AA,9,0)-'TRADE IN'!$F136))</f>
        <v>2199</v>
      </c>
      <c r="L136" s="46">
        <f>IF(VLOOKUP($C136,REV!$C:$AA,10,0)-'TRADE IN'!$F136=0,"",(VLOOKUP($C136,REV!$C:$AA,10,0)-'TRADE IN'!$F136))</f>
        <v>2199</v>
      </c>
      <c r="M136" s="46">
        <f>IF(VLOOKUP($C136,REV!$C:$AA,11,0)-'TRADE IN'!$F136=0,"",(VLOOKUP($C136,REV!$C:$AA,11,0)-'TRADE IN'!$F136))</f>
        <v>2199</v>
      </c>
      <c r="N136" s="46">
        <f>IF(VLOOKUP($C136,REV!$C:$AA,12,0)-'TRADE IN'!$F136=0,"",(VLOOKUP($C136,REV!$C:$AA,12,0)-'TRADE IN'!$F136))</f>
        <v>2199</v>
      </c>
      <c r="O136" s="46">
        <f>IF(VLOOKUP($C136,REV!$C:$AA,13,0)-'TRADE IN'!$F136=0,"",(VLOOKUP($C136,REV!$C:$AA,13,0)-'TRADE IN'!$F136))</f>
        <v>1799</v>
      </c>
      <c r="P136" s="46">
        <f>IF(VLOOKUP($C136,REV!$C:$AA,14,0)-'TRADE IN'!$F136=0,"",(VLOOKUP($C136,REV!$C:$AA,14,0)-'TRADE IN'!$F136))</f>
        <v>1699</v>
      </c>
      <c r="Q136" s="46">
        <f>IF(VLOOKUP($C136,REV!$C:$AA,15,0)-'TRADE IN'!$F136=0,"",(VLOOKUP($C136,REV!$C:$AA,15,0)-'TRADE IN'!$F136))</f>
        <v>1399</v>
      </c>
      <c r="R136" s="46">
        <f>IF(VLOOKUP($C136,REV!$C:$AA,16,0)-'TRADE IN'!$F136=0,"",(VLOOKUP($C136,REV!$C:$AA,16,0)-'TRADE IN'!$F136))</f>
        <v>1799</v>
      </c>
      <c r="S136" s="46">
        <f>IF(VLOOKUP($C136,REV!$C:$AA,17,0)-'TRADE IN'!$F136=0,"",(VLOOKUP($C136,REV!$C:$AA,17,0)-'TRADE IN'!$F136))</f>
        <v>1699</v>
      </c>
      <c r="T136" s="46">
        <f>IF(VLOOKUP($C136,REV!$C:$AA,18,0)-'TRADE IN'!$F136=0,"",(VLOOKUP($C136,REV!$C:$AA,18,0)-'TRADE IN'!$F136))</f>
        <v>1399</v>
      </c>
      <c r="U136" s="46">
        <f>IF(VLOOKUP($C136,REV!$C:$AA,19,0)-'TRADE IN'!$F136=0,"",(VLOOKUP($C136,REV!$C:$AA,19,0)-'TRADE IN'!$F136))</f>
        <v>1399</v>
      </c>
      <c r="V136" s="46">
        <f>IF(VLOOKUP($C136,REV!$C:$AA,20,0)-'TRADE IN'!$F136=0,"",(VLOOKUP($C136,REV!$C:$AA,20,0)-'TRADE IN'!$F136))</f>
        <v>1399</v>
      </c>
      <c r="W136" s="46">
        <f>IF(VLOOKUP($C136,REV!$C:$AA,21,0)-'TRADE IN'!$F136=0,"",(VLOOKUP($C136,REV!$C:$AA,21,0)-'TRADE IN'!$F136))</f>
        <v>1399</v>
      </c>
      <c r="X136" s="46">
        <f>IF(VLOOKUP($C136,REV!$C:$AA,22,0)-'TRADE IN'!$F136=0,"",(VLOOKUP($C136,REV!$C:$AA,22,0)-'TRADE IN'!$F136))</f>
        <v>1299</v>
      </c>
      <c r="Y136" s="46">
        <f>IF(VLOOKUP($C136,REV!$C:$AA,23,0)-'TRADE IN'!$F136=0,"",(VLOOKUP($C136,REV!$C:$AA,23,0)-'TRADE IN'!$F136))</f>
        <v>899</v>
      </c>
      <c r="Z136" s="46">
        <f>IF(VLOOKUP($C136,REV!$C:$AA,24,0)-'TRADE IN'!$F136=0,"",(VLOOKUP($C136,REV!$C:$AA,24,0)-'TRADE IN'!$F136))</f>
        <v>899</v>
      </c>
      <c r="AA136" s="46">
        <f>IF(VLOOKUP($C136,REV!$C:$AA,25,0)-'TRADE IN'!$F136=0,"",(VLOOKUP($C136,REV!$C:$AA,25,0)-'TRADE IN'!$F136))</f>
        <v>849</v>
      </c>
      <c r="AB136" s="45"/>
      <c r="AC136" s="45"/>
      <c r="AD136" s="45"/>
      <c r="AE136" s="45"/>
      <c r="AF136" s="45"/>
      <c r="AG136" s="45"/>
      <c r="AH136" s="45"/>
      <c r="AI136" s="45"/>
      <c r="AJ136" s="45"/>
      <c r="AK136" s="45"/>
      <c r="AL136" s="45"/>
      <c r="AM136" s="45"/>
      <c r="AN136" s="45"/>
      <c r="AO136" s="45"/>
      <c r="AP136" s="45"/>
      <c r="AQ136" s="45"/>
      <c r="AR136" s="45"/>
      <c r="AS136" s="45"/>
      <c r="AT136" s="45"/>
      <c r="AU136" s="45"/>
      <c r="AV136" s="47"/>
      <c r="AW136" s="48" t="str">
        <f>REV!AW136</f>
        <v>13.08.2026</v>
      </c>
      <c r="AX136" s="149" t="s">
        <v>68</v>
      </c>
    </row>
    <row r="137" spans="1:50" ht="22.5" customHeight="1">
      <c r="A137" s="41" t="s">
        <v>63</v>
      </c>
      <c r="B137" s="42" t="s">
        <v>64</v>
      </c>
      <c r="C137" s="43">
        <v>4015553</v>
      </c>
      <c r="D137" s="56" t="s">
        <v>235</v>
      </c>
      <c r="E137" s="56" t="s">
        <v>236</v>
      </c>
      <c r="F137" s="45">
        <v>100</v>
      </c>
      <c r="G137" s="45"/>
      <c r="H137" s="45"/>
      <c r="I137" s="45"/>
      <c r="J137" s="46">
        <f>IF(VLOOKUP($C137,REV!$C:$AA,8,0)-'TRADE IN'!$F137=0,"",(VLOOKUP($C137,REV!$C:$AA,8,0)-'TRADE IN'!$F137))</f>
        <v>1499</v>
      </c>
      <c r="K137" s="46">
        <f>IF(VLOOKUP($C137,REV!$C:$AA,9,0)-'TRADE IN'!$F137=0,"",(VLOOKUP($C137,REV!$C:$AA,9,0)-'TRADE IN'!$F137))</f>
        <v>1399</v>
      </c>
      <c r="L137" s="46">
        <f>IF(VLOOKUP($C137,REV!$C:$AA,10,0)-'TRADE IN'!$F137=0,"",(VLOOKUP($C137,REV!$C:$AA,10,0)-'TRADE IN'!$F137))</f>
        <v>1399</v>
      </c>
      <c r="M137" s="46">
        <f>IF(VLOOKUP($C137,REV!$C:$AA,11,0)-'TRADE IN'!$F137=0,"",(VLOOKUP($C137,REV!$C:$AA,11,0)-'TRADE IN'!$F137))</f>
        <v>1499</v>
      </c>
      <c r="N137" s="46">
        <f>IF(VLOOKUP($C137,REV!$C:$AA,12,0)-'TRADE IN'!$F137=0,"",(VLOOKUP($C137,REV!$C:$AA,12,0)-'TRADE IN'!$F137))</f>
        <v>1499</v>
      </c>
      <c r="O137" s="46">
        <f>IF(VLOOKUP($C137,REV!$C:$AA,13,0)-'TRADE IN'!$F137=0,"",(VLOOKUP($C137,REV!$C:$AA,13,0)-'TRADE IN'!$F137))</f>
        <v>1299</v>
      </c>
      <c r="P137" s="46">
        <f>IF(VLOOKUP($C137,REV!$C:$AA,14,0)-'TRADE IN'!$F137=0,"",(VLOOKUP($C137,REV!$C:$AA,14,0)-'TRADE IN'!$F137))</f>
        <v>1199</v>
      </c>
      <c r="Q137" s="46">
        <f>IF(VLOOKUP($C137,REV!$C:$AA,15,0)-'TRADE IN'!$F137=0,"",(VLOOKUP($C137,REV!$C:$AA,15,0)-'TRADE IN'!$F137))</f>
        <v>999</v>
      </c>
      <c r="R137" s="46">
        <f>IF(VLOOKUP($C137,REV!$C:$AA,16,0)-'TRADE IN'!$F137=0,"",(VLOOKUP($C137,REV!$C:$AA,16,0)-'TRADE IN'!$F137))</f>
        <v>1299</v>
      </c>
      <c r="S137" s="46">
        <f>IF(VLOOKUP($C137,REV!$C:$AA,17,0)-'TRADE IN'!$F137=0,"",(VLOOKUP($C137,REV!$C:$AA,17,0)-'TRADE IN'!$F137))</f>
        <v>1199</v>
      </c>
      <c r="T137" s="46">
        <f>IF(VLOOKUP($C137,REV!$C:$AA,18,0)-'TRADE IN'!$F137=0,"",(VLOOKUP($C137,REV!$C:$AA,18,0)-'TRADE IN'!$F137))</f>
        <v>999</v>
      </c>
      <c r="U137" s="46">
        <f>IF(VLOOKUP($C137,REV!$C:$AA,19,0)-'TRADE IN'!$F137=0,"",(VLOOKUP($C137,REV!$C:$AA,19,0)-'TRADE IN'!$F137))</f>
        <v>999</v>
      </c>
      <c r="V137" s="46">
        <f>IF(VLOOKUP($C137,REV!$C:$AA,20,0)-'TRADE IN'!$F137=0,"",(VLOOKUP($C137,REV!$C:$AA,20,0)-'TRADE IN'!$F137))</f>
        <v>999</v>
      </c>
      <c r="W137" s="46">
        <f>IF(VLOOKUP($C137,REV!$C:$AA,21,0)-'TRADE IN'!$F137=0,"",(VLOOKUP($C137,REV!$C:$AA,21,0)-'TRADE IN'!$F137))</f>
        <v>999</v>
      </c>
      <c r="X137" s="46">
        <f>IF(VLOOKUP($C137,REV!$C:$AA,22,0)-'TRADE IN'!$F137=0,"",(VLOOKUP($C137,REV!$C:$AA,22,0)-'TRADE IN'!$F137))</f>
        <v>899</v>
      </c>
      <c r="Y137" s="46">
        <f>IF(VLOOKUP($C137,REV!$C:$AA,23,0)-'TRADE IN'!$F137=0,"",(VLOOKUP($C137,REV!$C:$AA,23,0)-'TRADE IN'!$F137))</f>
        <v>799</v>
      </c>
      <c r="Z137" s="46">
        <f>IF(VLOOKUP($C137,REV!$C:$AA,24,0)-'TRADE IN'!$F137=0,"",(VLOOKUP($C137,REV!$C:$AA,24,0)-'TRADE IN'!$F137))</f>
        <v>799</v>
      </c>
      <c r="AA137" s="46">
        <f>IF(VLOOKUP($C137,REV!$C:$AA,25,0)-'TRADE IN'!$F137=0,"",(VLOOKUP($C137,REV!$C:$AA,25,0)-'TRADE IN'!$F137))</f>
        <v>799</v>
      </c>
      <c r="AB137" s="45"/>
      <c r="AC137" s="45"/>
      <c r="AD137" s="45"/>
      <c r="AE137" s="45"/>
      <c r="AF137" s="45"/>
      <c r="AG137" s="45"/>
      <c r="AH137" s="45"/>
      <c r="AI137" s="45"/>
      <c r="AJ137" s="45"/>
      <c r="AK137" s="45"/>
      <c r="AL137" s="45"/>
      <c r="AM137" s="45"/>
      <c r="AN137" s="45"/>
      <c r="AO137" s="45"/>
      <c r="AP137" s="45"/>
      <c r="AQ137" s="45"/>
      <c r="AR137" s="45"/>
      <c r="AS137" s="45"/>
      <c r="AT137" s="45"/>
      <c r="AU137" s="45"/>
      <c r="AV137" s="47"/>
      <c r="AW137" s="48" t="str">
        <f>REV!AW137</f>
        <v>13.08.2026</v>
      </c>
      <c r="AX137" s="149" t="s">
        <v>68</v>
      </c>
    </row>
    <row r="138" spans="1:50" ht="22.5" customHeight="1">
      <c r="A138" s="41" t="s">
        <v>63</v>
      </c>
      <c r="B138" s="42" t="s">
        <v>64</v>
      </c>
      <c r="C138" s="43">
        <v>4015555</v>
      </c>
      <c r="D138" s="56" t="s">
        <v>235</v>
      </c>
      <c r="E138" s="56" t="s">
        <v>237</v>
      </c>
      <c r="F138" s="45">
        <v>100</v>
      </c>
      <c r="G138" s="45"/>
      <c r="H138" s="45"/>
      <c r="I138" s="45"/>
      <c r="J138" s="46">
        <f>IF(VLOOKUP($C138,REV!$C:$AA,8,0)-'TRADE IN'!$F138=0,"",(VLOOKUP($C138,REV!$C:$AA,8,0)-'TRADE IN'!$F138))</f>
        <v>1499</v>
      </c>
      <c r="K138" s="46">
        <f>IF(VLOOKUP($C138,REV!$C:$AA,9,0)-'TRADE IN'!$F138=0,"",(VLOOKUP($C138,REV!$C:$AA,9,0)-'TRADE IN'!$F138))</f>
        <v>1399</v>
      </c>
      <c r="L138" s="46">
        <f>IF(VLOOKUP($C138,REV!$C:$AA,10,0)-'TRADE IN'!$F138=0,"",(VLOOKUP($C138,REV!$C:$AA,10,0)-'TRADE IN'!$F138))</f>
        <v>1399</v>
      </c>
      <c r="M138" s="46">
        <f>IF(VLOOKUP($C138,REV!$C:$AA,11,0)-'TRADE IN'!$F138=0,"",(VLOOKUP($C138,REV!$C:$AA,11,0)-'TRADE IN'!$F138))</f>
        <v>1499</v>
      </c>
      <c r="N138" s="46">
        <f>IF(VLOOKUP($C138,REV!$C:$AA,12,0)-'TRADE IN'!$F138=0,"",(VLOOKUP($C138,REV!$C:$AA,12,0)-'TRADE IN'!$F138))</f>
        <v>1499</v>
      </c>
      <c r="O138" s="46">
        <f>IF(VLOOKUP($C138,REV!$C:$AA,13,0)-'TRADE IN'!$F138=0,"",(VLOOKUP($C138,REV!$C:$AA,13,0)-'TRADE IN'!$F138))</f>
        <v>1299</v>
      </c>
      <c r="P138" s="46">
        <f>IF(VLOOKUP($C138,REV!$C:$AA,14,0)-'TRADE IN'!$F138=0,"",(VLOOKUP($C138,REV!$C:$AA,14,0)-'TRADE IN'!$F138))</f>
        <v>1199</v>
      </c>
      <c r="Q138" s="46">
        <f>IF(VLOOKUP($C138,REV!$C:$AA,15,0)-'TRADE IN'!$F138=0,"",(VLOOKUP($C138,REV!$C:$AA,15,0)-'TRADE IN'!$F138))</f>
        <v>999</v>
      </c>
      <c r="R138" s="46">
        <f>IF(VLOOKUP($C138,REV!$C:$AA,16,0)-'TRADE IN'!$F138=0,"",(VLOOKUP($C138,REV!$C:$AA,16,0)-'TRADE IN'!$F138))</f>
        <v>1299</v>
      </c>
      <c r="S138" s="46">
        <f>IF(VLOOKUP($C138,REV!$C:$AA,17,0)-'TRADE IN'!$F138=0,"",(VLOOKUP($C138,REV!$C:$AA,17,0)-'TRADE IN'!$F138))</f>
        <v>1199</v>
      </c>
      <c r="T138" s="46">
        <f>IF(VLOOKUP($C138,REV!$C:$AA,18,0)-'TRADE IN'!$F138=0,"",(VLOOKUP($C138,REV!$C:$AA,18,0)-'TRADE IN'!$F138))</f>
        <v>999</v>
      </c>
      <c r="U138" s="46">
        <f>IF(VLOOKUP($C138,REV!$C:$AA,19,0)-'TRADE IN'!$F138=0,"",(VLOOKUP($C138,REV!$C:$AA,19,0)-'TRADE IN'!$F138))</f>
        <v>999</v>
      </c>
      <c r="V138" s="46">
        <f>IF(VLOOKUP($C138,REV!$C:$AA,20,0)-'TRADE IN'!$F138=0,"",(VLOOKUP($C138,REV!$C:$AA,20,0)-'TRADE IN'!$F138))</f>
        <v>999</v>
      </c>
      <c r="W138" s="46">
        <f>IF(VLOOKUP($C138,REV!$C:$AA,21,0)-'TRADE IN'!$F138=0,"",(VLOOKUP($C138,REV!$C:$AA,21,0)-'TRADE IN'!$F138))</f>
        <v>999</v>
      </c>
      <c r="X138" s="46">
        <f>IF(VLOOKUP($C138,REV!$C:$AA,22,0)-'TRADE IN'!$F138=0,"",(VLOOKUP($C138,REV!$C:$AA,22,0)-'TRADE IN'!$F138))</f>
        <v>899</v>
      </c>
      <c r="Y138" s="46">
        <f>IF(VLOOKUP($C138,REV!$C:$AA,23,0)-'TRADE IN'!$F138=0,"",(VLOOKUP($C138,REV!$C:$AA,23,0)-'TRADE IN'!$F138))</f>
        <v>799</v>
      </c>
      <c r="Z138" s="46">
        <f>IF(VLOOKUP($C138,REV!$C:$AA,24,0)-'TRADE IN'!$F138=0,"",(VLOOKUP($C138,REV!$C:$AA,24,0)-'TRADE IN'!$F138))</f>
        <v>799</v>
      </c>
      <c r="AA138" s="46">
        <f>IF(VLOOKUP($C138,REV!$C:$AA,25,0)-'TRADE IN'!$F138=0,"",(VLOOKUP($C138,REV!$C:$AA,25,0)-'TRADE IN'!$F138))</f>
        <v>799</v>
      </c>
      <c r="AB138" s="45"/>
      <c r="AC138" s="45"/>
      <c r="AD138" s="45"/>
      <c r="AE138" s="45"/>
      <c r="AF138" s="45"/>
      <c r="AG138" s="45"/>
      <c r="AH138" s="45"/>
      <c r="AI138" s="45"/>
      <c r="AJ138" s="45"/>
      <c r="AK138" s="45"/>
      <c r="AL138" s="45"/>
      <c r="AM138" s="45"/>
      <c r="AN138" s="45"/>
      <c r="AO138" s="45"/>
      <c r="AP138" s="45"/>
      <c r="AQ138" s="45"/>
      <c r="AR138" s="45"/>
      <c r="AS138" s="45"/>
      <c r="AT138" s="45"/>
      <c r="AU138" s="45"/>
      <c r="AV138" s="47"/>
      <c r="AW138" s="48" t="str">
        <f>REV!AW138</f>
        <v>13.08.2026</v>
      </c>
      <c r="AX138" s="149" t="s">
        <v>68</v>
      </c>
    </row>
    <row r="139" spans="1:50" ht="22.5" customHeight="1">
      <c r="A139" s="41" t="s">
        <v>63</v>
      </c>
      <c r="B139" s="42" t="s">
        <v>64</v>
      </c>
      <c r="C139" s="43">
        <v>4015692</v>
      </c>
      <c r="D139" s="56" t="s">
        <v>238</v>
      </c>
      <c r="E139" s="56" t="s">
        <v>239</v>
      </c>
      <c r="F139" s="45">
        <v>100</v>
      </c>
      <c r="G139" s="45"/>
      <c r="H139" s="45"/>
      <c r="I139" s="45"/>
      <c r="J139" s="46">
        <f>IF(VLOOKUP($C139,REV!$C:$AA,8,0)-'TRADE IN'!$F139=0,"",(VLOOKUP($C139,REV!$C:$AA,8,0)-'TRADE IN'!$F139))</f>
        <v>1399</v>
      </c>
      <c r="K139" s="46">
        <f>IF(VLOOKUP($C139,REV!$C:$AA,9,0)-'TRADE IN'!$F139=0,"",(VLOOKUP($C139,REV!$C:$AA,9,0)-'TRADE IN'!$F139))</f>
        <v>1299</v>
      </c>
      <c r="L139" s="46">
        <f>IF(VLOOKUP($C139,REV!$C:$AA,10,0)-'TRADE IN'!$F139=0,"",(VLOOKUP($C139,REV!$C:$AA,10,0)-'TRADE IN'!$F139))</f>
        <v>1299</v>
      </c>
      <c r="M139" s="46">
        <f>IF(VLOOKUP($C139,REV!$C:$AA,11,0)-'TRADE IN'!$F139=0,"",(VLOOKUP($C139,REV!$C:$AA,11,0)-'TRADE IN'!$F139))</f>
        <v>1399</v>
      </c>
      <c r="N139" s="46">
        <f>IF(VLOOKUP($C139,REV!$C:$AA,12,0)-'TRADE IN'!$F139=0,"",(VLOOKUP($C139,REV!$C:$AA,12,0)-'TRADE IN'!$F139))</f>
        <v>1399</v>
      </c>
      <c r="O139" s="46">
        <f>IF(VLOOKUP($C139,REV!$C:$AA,13,0)-'TRADE IN'!$F139=0,"",(VLOOKUP($C139,REV!$C:$AA,13,0)-'TRADE IN'!$F139))</f>
        <v>1199</v>
      </c>
      <c r="P139" s="46">
        <f>IF(VLOOKUP($C139,REV!$C:$AA,14,0)-'TRADE IN'!$F139=0,"",(VLOOKUP($C139,REV!$C:$AA,14,0)-'TRADE IN'!$F139))</f>
        <v>1099</v>
      </c>
      <c r="Q139" s="46">
        <f>IF(VLOOKUP($C139,REV!$C:$AA,15,0)-'TRADE IN'!$F139=0,"",(VLOOKUP($C139,REV!$C:$AA,15,0)-'TRADE IN'!$F139))</f>
        <v>999</v>
      </c>
      <c r="R139" s="46">
        <f>IF(VLOOKUP($C139,REV!$C:$AA,16,0)-'TRADE IN'!$F139=0,"",(VLOOKUP($C139,REV!$C:$AA,16,0)-'TRADE IN'!$F139))</f>
        <v>1199</v>
      </c>
      <c r="S139" s="46">
        <f>IF(VLOOKUP($C139,REV!$C:$AA,17,0)-'TRADE IN'!$F139=0,"",(VLOOKUP($C139,REV!$C:$AA,17,0)-'TRADE IN'!$F139))</f>
        <v>1099</v>
      </c>
      <c r="T139" s="46">
        <f>IF(VLOOKUP($C139,REV!$C:$AA,18,0)-'TRADE IN'!$F139=0,"",(VLOOKUP($C139,REV!$C:$AA,18,0)-'TRADE IN'!$F139))</f>
        <v>999</v>
      </c>
      <c r="U139" s="46">
        <f>IF(VLOOKUP($C139,REV!$C:$AA,19,0)-'TRADE IN'!$F139=0,"",(VLOOKUP($C139,REV!$C:$AA,19,0)-'TRADE IN'!$F139))</f>
        <v>999</v>
      </c>
      <c r="V139" s="46">
        <f>IF(VLOOKUP($C139,REV!$C:$AA,20,0)-'TRADE IN'!$F139=0,"",(VLOOKUP($C139,REV!$C:$AA,20,0)-'TRADE IN'!$F139))</f>
        <v>999</v>
      </c>
      <c r="W139" s="46">
        <f>IF(VLOOKUP($C139,REV!$C:$AA,21,0)-'TRADE IN'!$F139=0,"",(VLOOKUP($C139,REV!$C:$AA,21,0)-'TRADE IN'!$F139))</f>
        <v>999</v>
      </c>
      <c r="X139" s="46">
        <f>IF(VLOOKUP($C139,REV!$C:$AA,22,0)-'TRADE IN'!$F139=0,"",(VLOOKUP($C139,REV!$C:$AA,22,0)-'TRADE IN'!$F139))</f>
        <v>899</v>
      </c>
      <c r="Y139" s="46">
        <f>IF(VLOOKUP($C139,REV!$C:$AA,23,0)-'TRADE IN'!$F139=0,"",(VLOOKUP($C139,REV!$C:$AA,23,0)-'TRADE IN'!$F139))</f>
        <v>799</v>
      </c>
      <c r="Z139" s="46">
        <f>IF(VLOOKUP($C139,REV!$C:$AA,24,0)-'TRADE IN'!$F139=0,"",(VLOOKUP($C139,REV!$C:$AA,24,0)-'TRADE IN'!$F139))</f>
        <v>799</v>
      </c>
      <c r="AA139" s="46">
        <f>IF(VLOOKUP($C139,REV!$C:$AA,25,0)-'TRADE IN'!$F139=0,"",(VLOOKUP($C139,REV!$C:$AA,25,0)-'TRADE IN'!$F139))</f>
        <v>799</v>
      </c>
      <c r="AB139" s="45"/>
      <c r="AC139" s="45"/>
      <c r="AD139" s="45"/>
      <c r="AE139" s="45"/>
      <c r="AF139" s="45"/>
      <c r="AG139" s="45"/>
      <c r="AH139" s="45"/>
      <c r="AI139" s="45"/>
      <c r="AJ139" s="45"/>
      <c r="AK139" s="45"/>
      <c r="AL139" s="45"/>
      <c r="AM139" s="45"/>
      <c r="AN139" s="45"/>
      <c r="AO139" s="45"/>
      <c r="AP139" s="45"/>
      <c r="AQ139" s="45"/>
      <c r="AR139" s="45"/>
      <c r="AS139" s="45"/>
      <c r="AT139" s="45"/>
      <c r="AU139" s="45"/>
      <c r="AV139" s="47"/>
      <c r="AW139" s="48" t="str">
        <f>REV!AW139</f>
        <v>13.08.2026</v>
      </c>
      <c r="AX139" s="149" t="s">
        <v>68</v>
      </c>
    </row>
    <row r="140" spans="1:50" ht="22.5" customHeight="1">
      <c r="A140" s="41" t="s">
        <v>63</v>
      </c>
      <c r="B140" s="42" t="s">
        <v>64</v>
      </c>
      <c r="C140" s="43">
        <v>4016016</v>
      </c>
      <c r="D140" s="56" t="s">
        <v>238</v>
      </c>
      <c r="E140" s="56" t="s">
        <v>240</v>
      </c>
      <c r="F140" s="45">
        <v>100</v>
      </c>
      <c r="G140" s="45"/>
      <c r="H140" s="45"/>
      <c r="I140" s="45"/>
      <c r="J140" s="46">
        <f>IF(VLOOKUP($C140,REV!$C:$AA,8,0)-'TRADE IN'!$F140=0,"",(VLOOKUP($C140,REV!$C:$AA,8,0)-'TRADE IN'!$F140))</f>
        <v>1399</v>
      </c>
      <c r="K140" s="46">
        <f>IF(VLOOKUP($C140,REV!$C:$AA,9,0)-'TRADE IN'!$F140=0,"",(VLOOKUP($C140,REV!$C:$AA,9,0)-'TRADE IN'!$F140))</f>
        <v>1299</v>
      </c>
      <c r="L140" s="46">
        <f>IF(VLOOKUP($C140,REV!$C:$AA,10,0)-'TRADE IN'!$F140=0,"",(VLOOKUP($C140,REV!$C:$AA,10,0)-'TRADE IN'!$F140))</f>
        <v>1299</v>
      </c>
      <c r="M140" s="46">
        <f>IF(VLOOKUP($C140,REV!$C:$AA,11,0)-'TRADE IN'!$F140=0,"",(VLOOKUP($C140,REV!$C:$AA,11,0)-'TRADE IN'!$F140))</f>
        <v>1399</v>
      </c>
      <c r="N140" s="46">
        <f>IF(VLOOKUP($C140,REV!$C:$AA,12,0)-'TRADE IN'!$F140=0,"",(VLOOKUP($C140,REV!$C:$AA,12,0)-'TRADE IN'!$F140))</f>
        <v>1399</v>
      </c>
      <c r="O140" s="46">
        <f>IF(VLOOKUP($C140,REV!$C:$AA,13,0)-'TRADE IN'!$F140=0,"",(VLOOKUP($C140,REV!$C:$AA,13,0)-'TRADE IN'!$F140))</f>
        <v>1199</v>
      </c>
      <c r="P140" s="46">
        <f>IF(VLOOKUP($C140,REV!$C:$AA,14,0)-'TRADE IN'!$F140=0,"",(VLOOKUP($C140,REV!$C:$AA,14,0)-'TRADE IN'!$F140))</f>
        <v>1099</v>
      </c>
      <c r="Q140" s="46">
        <f>IF(VLOOKUP($C140,REV!$C:$AA,15,0)-'TRADE IN'!$F140=0,"",(VLOOKUP($C140,REV!$C:$AA,15,0)-'TRADE IN'!$F140))</f>
        <v>999</v>
      </c>
      <c r="R140" s="46">
        <f>IF(VLOOKUP($C140,REV!$C:$AA,16,0)-'TRADE IN'!$F140=0,"",(VLOOKUP($C140,REV!$C:$AA,16,0)-'TRADE IN'!$F140))</f>
        <v>1199</v>
      </c>
      <c r="S140" s="46">
        <f>IF(VLOOKUP($C140,REV!$C:$AA,17,0)-'TRADE IN'!$F140=0,"",(VLOOKUP($C140,REV!$C:$AA,17,0)-'TRADE IN'!$F140))</f>
        <v>1099</v>
      </c>
      <c r="T140" s="46">
        <f>IF(VLOOKUP($C140,REV!$C:$AA,18,0)-'TRADE IN'!$F140=0,"",(VLOOKUP($C140,REV!$C:$AA,18,0)-'TRADE IN'!$F140))</f>
        <v>999</v>
      </c>
      <c r="U140" s="46">
        <f>IF(VLOOKUP($C140,REV!$C:$AA,19,0)-'TRADE IN'!$F140=0,"",(VLOOKUP($C140,REV!$C:$AA,19,0)-'TRADE IN'!$F140))</f>
        <v>999</v>
      </c>
      <c r="V140" s="46">
        <f>IF(VLOOKUP($C140,REV!$C:$AA,20,0)-'TRADE IN'!$F140=0,"",(VLOOKUP($C140,REV!$C:$AA,20,0)-'TRADE IN'!$F140))</f>
        <v>999</v>
      </c>
      <c r="W140" s="46">
        <f>IF(VLOOKUP($C140,REV!$C:$AA,21,0)-'TRADE IN'!$F140=0,"",(VLOOKUP($C140,REV!$C:$AA,21,0)-'TRADE IN'!$F140))</f>
        <v>999</v>
      </c>
      <c r="X140" s="46">
        <f>IF(VLOOKUP($C140,REV!$C:$AA,22,0)-'TRADE IN'!$F140=0,"",(VLOOKUP($C140,REV!$C:$AA,22,0)-'TRADE IN'!$F140))</f>
        <v>899</v>
      </c>
      <c r="Y140" s="46">
        <f>IF(VLOOKUP($C140,REV!$C:$AA,23,0)-'TRADE IN'!$F140=0,"",(VLOOKUP($C140,REV!$C:$AA,23,0)-'TRADE IN'!$F140))</f>
        <v>799</v>
      </c>
      <c r="Z140" s="46">
        <f>IF(VLOOKUP($C140,REV!$C:$AA,24,0)-'TRADE IN'!$F140=0,"",(VLOOKUP($C140,REV!$C:$AA,24,0)-'TRADE IN'!$F140))</f>
        <v>799</v>
      </c>
      <c r="AA140" s="46">
        <f>IF(VLOOKUP($C140,REV!$C:$AA,25,0)-'TRADE IN'!$F140=0,"",(VLOOKUP($C140,REV!$C:$AA,25,0)-'TRADE IN'!$F140))</f>
        <v>799</v>
      </c>
      <c r="AB140" s="45"/>
      <c r="AC140" s="45"/>
      <c r="AD140" s="45"/>
      <c r="AE140" s="45"/>
      <c r="AF140" s="45"/>
      <c r="AG140" s="45"/>
      <c r="AH140" s="45"/>
      <c r="AI140" s="45"/>
      <c r="AJ140" s="45"/>
      <c r="AK140" s="45"/>
      <c r="AL140" s="45"/>
      <c r="AM140" s="45"/>
      <c r="AN140" s="45"/>
      <c r="AO140" s="45"/>
      <c r="AP140" s="45"/>
      <c r="AQ140" s="45"/>
      <c r="AR140" s="45"/>
      <c r="AS140" s="45"/>
      <c r="AT140" s="45"/>
      <c r="AU140" s="45"/>
      <c r="AV140" s="47"/>
      <c r="AW140" s="48" t="str">
        <f>REV!AW140</f>
        <v>13.08.2026</v>
      </c>
      <c r="AX140" s="149" t="s">
        <v>68</v>
      </c>
    </row>
    <row r="141" spans="1:50" ht="22.5" customHeight="1">
      <c r="A141" s="41" t="s">
        <v>63</v>
      </c>
      <c r="B141" s="42" t="s">
        <v>64</v>
      </c>
      <c r="C141" s="43">
        <v>4016501</v>
      </c>
      <c r="D141" s="56" t="s">
        <v>241</v>
      </c>
      <c r="E141" s="56" t="s">
        <v>242</v>
      </c>
      <c r="F141" s="45">
        <v>100</v>
      </c>
      <c r="G141" s="45"/>
      <c r="H141" s="45"/>
      <c r="I141" s="45"/>
      <c r="J141" s="46">
        <f>IF(VLOOKUP($C141,REV!$C:$AA,8,0)-'TRADE IN'!$F141=0,"",(VLOOKUP($C141,REV!$C:$AA,8,0)-'TRADE IN'!$F141))</f>
        <v>2099</v>
      </c>
      <c r="K141" s="46">
        <f>IF(VLOOKUP($C141,REV!$C:$AA,9,0)-'TRADE IN'!$F141=0,"",(VLOOKUP($C141,REV!$C:$AA,9,0)-'TRADE IN'!$F141))</f>
        <v>1899</v>
      </c>
      <c r="L141" s="46">
        <f>IF(VLOOKUP($C141,REV!$C:$AA,10,0)-'TRADE IN'!$F141=0,"",(VLOOKUP($C141,REV!$C:$AA,10,0)-'TRADE IN'!$F141))</f>
        <v>1899</v>
      </c>
      <c r="M141" s="46">
        <f>IF(VLOOKUP($C141,REV!$C:$AA,11,0)-'TRADE IN'!$F141=0,"",(VLOOKUP($C141,REV!$C:$AA,11,0)-'TRADE IN'!$F141))</f>
        <v>2099</v>
      </c>
      <c r="N141" s="46">
        <f>IF(VLOOKUP($C141,REV!$C:$AA,12,0)-'TRADE IN'!$F141=0,"",(VLOOKUP($C141,REV!$C:$AA,12,0)-'TRADE IN'!$F141))</f>
        <v>1899</v>
      </c>
      <c r="O141" s="46">
        <f>IF(VLOOKUP($C141,REV!$C:$AA,13,0)-'TRADE IN'!$F141=0,"",(VLOOKUP($C141,REV!$C:$AA,13,0)-'TRADE IN'!$F141))</f>
        <v>1799</v>
      </c>
      <c r="P141" s="46">
        <f>IF(VLOOKUP($C141,REV!$C:$AA,14,0)-'TRADE IN'!$F141=0,"",(VLOOKUP($C141,REV!$C:$AA,14,0)-'TRADE IN'!$F141))</f>
        <v>1699</v>
      </c>
      <c r="Q141" s="46">
        <f>IF(VLOOKUP($C141,REV!$C:$AA,15,0)-'TRADE IN'!$F141=0,"",(VLOOKUP($C141,REV!$C:$AA,15,0)-'TRADE IN'!$F141))</f>
        <v>1199</v>
      </c>
      <c r="R141" s="46">
        <f>IF(VLOOKUP($C141,REV!$C:$AA,16,0)-'TRADE IN'!$F141=0,"",(VLOOKUP($C141,REV!$C:$AA,16,0)-'TRADE IN'!$F141))</f>
        <v>1799</v>
      </c>
      <c r="S141" s="46">
        <f>IF(VLOOKUP($C141,REV!$C:$AA,17,0)-'TRADE IN'!$F141=0,"",(VLOOKUP($C141,REV!$C:$AA,17,0)-'TRADE IN'!$F141))</f>
        <v>1699</v>
      </c>
      <c r="T141" s="46">
        <f>IF(VLOOKUP($C141,REV!$C:$AA,18,0)-'TRADE IN'!$F141=0,"",(VLOOKUP($C141,REV!$C:$AA,18,0)-'TRADE IN'!$F141))</f>
        <v>1199</v>
      </c>
      <c r="U141" s="46">
        <f>IF(VLOOKUP($C141,REV!$C:$AA,19,0)-'TRADE IN'!$F141=0,"",(VLOOKUP($C141,REV!$C:$AA,19,0)-'TRADE IN'!$F141))</f>
        <v>1199</v>
      </c>
      <c r="V141" s="46">
        <f>IF(VLOOKUP($C141,REV!$C:$AA,20,0)-'TRADE IN'!$F141=0,"",(VLOOKUP($C141,REV!$C:$AA,20,0)-'TRADE IN'!$F141))</f>
        <v>1199</v>
      </c>
      <c r="W141" s="46">
        <f>IF(VLOOKUP($C141,REV!$C:$AA,21,0)-'TRADE IN'!$F141=0,"",(VLOOKUP($C141,REV!$C:$AA,21,0)-'TRADE IN'!$F141))</f>
        <v>1199</v>
      </c>
      <c r="X141" s="46">
        <f>IF(VLOOKUP($C141,REV!$C:$AA,22,0)-'TRADE IN'!$F141=0,"",(VLOOKUP($C141,REV!$C:$AA,22,0)-'TRADE IN'!$F141))</f>
        <v>1099</v>
      </c>
      <c r="Y141" s="46">
        <f>IF(VLOOKUP($C141,REV!$C:$AA,23,0)-'TRADE IN'!$F141=0,"",(VLOOKUP($C141,REV!$C:$AA,23,0)-'TRADE IN'!$F141))</f>
        <v>699</v>
      </c>
      <c r="Z141" s="46">
        <f>IF(VLOOKUP($C141,REV!$C:$AA,24,0)-'TRADE IN'!$F141=0,"",(VLOOKUP($C141,REV!$C:$AA,24,0)-'TRADE IN'!$F141))</f>
        <v>699</v>
      </c>
      <c r="AA141" s="46">
        <f>IF(VLOOKUP($C141,REV!$C:$AA,25,0)-'TRADE IN'!$F141=0,"",(VLOOKUP($C141,REV!$C:$AA,25,0)-'TRADE IN'!$F141))</f>
        <v>699</v>
      </c>
      <c r="AB141" s="45"/>
      <c r="AC141" s="45"/>
      <c r="AD141" s="45"/>
      <c r="AE141" s="45"/>
      <c r="AF141" s="45"/>
      <c r="AG141" s="45"/>
      <c r="AH141" s="45"/>
      <c r="AI141" s="45"/>
      <c r="AJ141" s="45"/>
      <c r="AK141" s="45"/>
      <c r="AL141" s="45"/>
      <c r="AM141" s="45"/>
      <c r="AN141" s="45"/>
      <c r="AO141" s="45"/>
      <c r="AP141" s="45"/>
      <c r="AQ141" s="45"/>
      <c r="AR141" s="45"/>
      <c r="AS141" s="45"/>
      <c r="AT141" s="45"/>
      <c r="AU141" s="45"/>
      <c r="AV141" s="47"/>
      <c r="AW141" s="48" t="str">
        <f>REV!AW141</f>
        <v>13.08.2026</v>
      </c>
      <c r="AX141" s="149" t="s">
        <v>68</v>
      </c>
    </row>
    <row r="142" spans="1:50" ht="22.5" customHeight="1">
      <c r="A142" s="41" t="s">
        <v>63</v>
      </c>
      <c r="B142" s="42" t="s">
        <v>64</v>
      </c>
      <c r="C142" s="43">
        <v>4016503</v>
      </c>
      <c r="D142" s="56" t="s">
        <v>241</v>
      </c>
      <c r="E142" s="56" t="s">
        <v>243</v>
      </c>
      <c r="F142" s="45">
        <v>100</v>
      </c>
      <c r="G142" s="45"/>
      <c r="H142" s="45"/>
      <c r="I142" s="45"/>
      <c r="J142" s="46">
        <f>IF(VLOOKUP($C142,REV!$C:$AA,8,0)-'TRADE IN'!$F142=0,"",(VLOOKUP($C142,REV!$C:$AA,8,0)-'TRADE IN'!$F142))</f>
        <v>1699</v>
      </c>
      <c r="K142" s="46">
        <f>IF(VLOOKUP($C142,REV!$C:$AA,9,0)-'TRADE IN'!$F142=0,"",(VLOOKUP($C142,REV!$C:$AA,9,0)-'TRADE IN'!$F142))</f>
        <v>1699</v>
      </c>
      <c r="L142" s="46">
        <f>IF(VLOOKUP($C142,REV!$C:$AA,10,0)-'TRADE IN'!$F142=0,"",(VLOOKUP($C142,REV!$C:$AA,10,0)-'TRADE IN'!$F142))</f>
        <v>1699</v>
      </c>
      <c r="M142" s="46">
        <f>IF(VLOOKUP($C142,REV!$C:$AA,11,0)-'TRADE IN'!$F142=0,"",(VLOOKUP($C142,REV!$C:$AA,11,0)-'TRADE IN'!$F142))</f>
        <v>1699</v>
      </c>
      <c r="N142" s="46">
        <f>IF(VLOOKUP($C142,REV!$C:$AA,12,0)-'TRADE IN'!$F142=0,"",(VLOOKUP($C142,REV!$C:$AA,12,0)-'TRADE IN'!$F142))</f>
        <v>1699</v>
      </c>
      <c r="O142" s="46">
        <f>IF(VLOOKUP($C142,REV!$C:$AA,13,0)-'TRADE IN'!$F142=0,"",(VLOOKUP($C142,REV!$C:$AA,13,0)-'TRADE IN'!$F142))</f>
        <v>1599</v>
      </c>
      <c r="P142" s="46">
        <f>IF(VLOOKUP($C142,REV!$C:$AA,14,0)-'TRADE IN'!$F142=0,"",(VLOOKUP($C142,REV!$C:$AA,14,0)-'TRADE IN'!$F142))</f>
        <v>1499</v>
      </c>
      <c r="Q142" s="46">
        <f>IF(VLOOKUP($C142,REV!$C:$AA,15,0)-'TRADE IN'!$F142=0,"",(VLOOKUP($C142,REV!$C:$AA,15,0)-'TRADE IN'!$F142))</f>
        <v>699</v>
      </c>
      <c r="R142" s="46">
        <f>IF(VLOOKUP($C142,REV!$C:$AA,16,0)-'TRADE IN'!$F142=0,"",(VLOOKUP($C142,REV!$C:$AA,16,0)-'TRADE IN'!$F142))</f>
        <v>1599</v>
      </c>
      <c r="S142" s="46">
        <f>IF(VLOOKUP($C142,REV!$C:$AA,17,0)-'TRADE IN'!$F142=0,"",(VLOOKUP($C142,REV!$C:$AA,17,0)-'TRADE IN'!$F142))</f>
        <v>1499</v>
      </c>
      <c r="T142" s="46">
        <f>IF(VLOOKUP($C142,REV!$C:$AA,18,0)-'TRADE IN'!$F142=0,"",(VLOOKUP($C142,REV!$C:$AA,18,0)-'TRADE IN'!$F142))</f>
        <v>699</v>
      </c>
      <c r="U142" s="46">
        <f>IF(VLOOKUP($C142,REV!$C:$AA,19,0)-'TRADE IN'!$F142=0,"",(VLOOKUP($C142,REV!$C:$AA,19,0)-'TRADE IN'!$F142))</f>
        <v>699</v>
      </c>
      <c r="V142" s="46">
        <f>IF(VLOOKUP($C142,REV!$C:$AA,20,0)-'TRADE IN'!$F142=0,"",(VLOOKUP($C142,REV!$C:$AA,20,0)-'TRADE IN'!$F142))</f>
        <v>699</v>
      </c>
      <c r="W142" s="46">
        <f>IF(VLOOKUP($C142,REV!$C:$AA,21,0)-'TRADE IN'!$F142=0,"",(VLOOKUP($C142,REV!$C:$AA,21,0)-'TRADE IN'!$F142))</f>
        <v>699</v>
      </c>
      <c r="X142" s="46">
        <f>IF(VLOOKUP($C142,REV!$C:$AA,22,0)-'TRADE IN'!$F142=0,"",(VLOOKUP($C142,REV!$C:$AA,22,0)-'TRADE IN'!$F142))</f>
        <v>699</v>
      </c>
      <c r="Y142" s="46">
        <f>IF(VLOOKUP($C142,REV!$C:$AA,23,0)-'TRADE IN'!$F142=0,"",(VLOOKUP($C142,REV!$C:$AA,23,0)-'TRADE IN'!$F142))</f>
        <v>699</v>
      </c>
      <c r="Z142" s="46">
        <f>IF(VLOOKUP($C142,REV!$C:$AA,24,0)-'TRADE IN'!$F142=0,"",(VLOOKUP($C142,REV!$C:$AA,24,0)-'TRADE IN'!$F142))</f>
        <v>699</v>
      </c>
      <c r="AA142" s="46">
        <f>IF(VLOOKUP($C142,REV!$C:$AA,25,0)-'TRADE IN'!$F142=0,"",(VLOOKUP($C142,REV!$C:$AA,25,0)-'TRADE IN'!$F142))</f>
        <v>699</v>
      </c>
      <c r="AB142" s="45"/>
      <c r="AC142" s="45"/>
      <c r="AD142" s="45"/>
      <c r="AE142" s="45"/>
      <c r="AF142" s="45"/>
      <c r="AG142" s="45"/>
      <c r="AH142" s="45"/>
      <c r="AI142" s="45"/>
      <c r="AJ142" s="45"/>
      <c r="AK142" s="45"/>
      <c r="AL142" s="45"/>
      <c r="AM142" s="45"/>
      <c r="AN142" s="45"/>
      <c r="AO142" s="45"/>
      <c r="AP142" s="45"/>
      <c r="AQ142" s="45"/>
      <c r="AR142" s="45"/>
      <c r="AS142" s="45"/>
      <c r="AT142" s="45"/>
      <c r="AU142" s="45"/>
      <c r="AV142" s="47"/>
      <c r="AW142" s="48" t="str">
        <f>REV!AW142</f>
        <v>13.08.2026</v>
      </c>
      <c r="AX142" s="149" t="s">
        <v>68</v>
      </c>
    </row>
    <row r="143" spans="1:50" ht="22.5" customHeight="1">
      <c r="A143" s="41" t="s">
        <v>63</v>
      </c>
      <c r="B143" s="42" t="s">
        <v>64</v>
      </c>
      <c r="C143" s="43">
        <v>4016505</v>
      </c>
      <c r="D143" s="56" t="s">
        <v>241</v>
      </c>
      <c r="E143" s="56" t="s">
        <v>244</v>
      </c>
      <c r="F143" s="45">
        <v>100</v>
      </c>
      <c r="G143" s="45"/>
      <c r="H143" s="45"/>
      <c r="I143" s="45"/>
      <c r="J143" s="46">
        <f>IF(VLOOKUP($C143,REV!$C:$AA,8,0)-'TRADE IN'!$F143=0,"",(VLOOKUP($C143,REV!$C:$AA,8,0)-'TRADE IN'!$F143))</f>
        <v>1699</v>
      </c>
      <c r="K143" s="46">
        <f>IF(VLOOKUP($C143,REV!$C:$AA,9,0)-'TRADE IN'!$F143=0,"",(VLOOKUP($C143,REV!$C:$AA,9,0)-'TRADE IN'!$F143))</f>
        <v>1699</v>
      </c>
      <c r="L143" s="46">
        <f>IF(VLOOKUP($C143,REV!$C:$AA,10,0)-'TRADE IN'!$F143=0,"",(VLOOKUP($C143,REV!$C:$AA,10,0)-'TRADE IN'!$F143))</f>
        <v>1699</v>
      </c>
      <c r="M143" s="46">
        <f>IF(VLOOKUP($C143,REV!$C:$AA,11,0)-'TRADE IN'!$F143=0,"",(VLOOKUP($C143,REV!$C:$AA,11,0)-'TRADE IN'!$F143))</f>
        <v>1699</v>
      </c>
      <c r="N143" s="46">
        <f>IF(VLOOKUP($C143,REV!$C:$AA,12,0)-'TRADE IN'!$F143=0,"",(VLOOKUP($C143,REV!$C:$AA,12,0)-'TRADE IN'!$F143))</f>
        <v>1699</v>
      </c>
      <c r="O143" s="46">
        <f>IF(VLOOKUP($C143,REV!$C:$AA,13,0)-'TRADE IN'!$F143=0,"",(VLOOKUP($C143,REV!$C:$AA,13,0)-'TRADE IN'!$F143))</f>
        <v>1599</v>
      </c>
      <c r="P143" s="46">
        <f>IF(VLOOKUP($C143,REV!$C:$AA,14,0)-'TRADE IN'!$F143=0,"",(VLOOKUP($C143,REV!$C:$AA,14,0)-'TRADE IN'!$F143))</f>
        <v>1499</v>
      </c>
      <c r="Q143" s="46">
        <f>IF(VLOOKUP($C143,REV!$C:$AA,15,0)-'TRADE IN'!$F143=0,"",(VLOOKUP($C143,REV!$C:$AA,15,0)-'TRADE IN'!$F143))</f>
        <v>699</v>
      </c>
      <c r="R143" s="46">
        <f>IF(VLOOKUP($C143,REV!$C:$AA,16,0)-'TRADE IN'!$F143=0,"",(VLOOKUP($C143,REV!$C:$AA,16,0)-'TRADE IN'!$F143))</f>
        <v>1599</v>
      </c>
      <c r="S143" s="46">
        <f>IF(VLOOKUP($C143,REV!$C:$AA,17,0)-'TRADE IN'!$F143=0,"",(VLOOKUP($C143,REV!$C:$AA,17,0)-'TRADE IN'!$F143))</f>
        <v>1499</v>
      </c>
      <c r="T143" s="46">
        <f>IF(VLOOKUP($C143,REV!$C:$AA,18,0)-'TRADE IN'!$F143=0,"",(VLOOKUP($C143,REV!$C:$AA,18,0)-'TRADE IN'!$F143))</f>
        <v>699</v>
      </c>
      <c r="U143" s="46">
        <f>IF(VLOOKUP($C143,REV!$C:$AA,19,0)-'TRADE IN'!$F143=0,"",(VLOOKUP($C143,REV!$C:$AA,19,0)-'TRADE IN'!$F143))</f>
        <v>699</v>
      </c>
      <c r="V143" s="46">
        <f>IF(VLOOKUP($C143,REV!$C:$AA,20,0)-'TRADE IN'!$F143=0,"",(VLOOKUP($C143,REV!$C:$AA,20,0)-'TRADE IN'!$F143))</f>
        <v>699</v>
      </c>
      <c r="W143" s="46">
        <f>IF(VLOOKUP($C143,REV!$C:$AA,21,0)-'TRADE IN'!$F143=0,"",(VLOOKUP($C143,REV!$C:$AA,21,0)-'TRADE IN'!$F143))</f>
        <v>699</v>
      </c>
      <c r="X143" s="46">
        <f>IF(VLOOKUP($C143,REV!$C:$AA,22,0)-'TRADE IN'!$F143=0,"",(VLOOKUP($C143,REV!$C:$AA,22,0)-'TRADE IN'!$F143))</f>
        <v>699</v>
      </c>
      <c r="Y143" s="46">
        <f>IF(VLOOKUP($C143,REV!$C:$AA,23,0)-'TRADE IN'!$F143=0,"",(VLOOKUP($C143,REV!$C:$AA,23,0)-'TRADE IN'!$F143))</f>
        <v>699</v>
      </c>
      <c r="Z143" s="46">
        <f>IF(VLOOKUP($C143,REV!$C:$AA,24,0)-'TRADE IN'!$F143=0,"",(VLOOKUP($C143,REV!$C:$AA,24,0)-'TRADE IN'!$F143))</f>
        <v>699</v>
      </c>
      <c r="AA143" s="46">
        <f>IF(VLOOKUP($C143,REV!$C:$AA,25,0)-'TRADE IN'!$F143=0,"",(VLOOKUP($C143,REV!$C:$AA,25,0)-'TRADE IN'!$F143))</f>
        <v>699</v>
      </c>
      <c r="AB143" s="45"/>
      <c r="AC143" s="45"/>
      <c r="AD143" s="45"/>
      <c r="AE143" s="45"/>
      <c r="AF143" s="45"/>
      <c r="AG143" s="45"/>
      <c r="AH143" s="45"/>
      <c r="AI143" s="45"/>
      <c r="AJ143" s="45"/>
      <c r="AK143" s="45"/>
      <c r="AL143" s="45"/>
      <c r="AM143" s="45"/>
      <c r="AN143" s="45"/>
      <c r="AO143" s="45"/>
      <c r="AP143" s="45"/>
      <c r="AQ143" s="45"/>
      <c r="AR143" s="45"/>
      <c r="AS143" s="45"/>
      <c r="AT143" s="45"/>
      <c r="AU143" s="45"/>
      <c r="AV143" s="47"/>
      <c r="AW143" s="48" t="str">
        <f>REV!AW143</f>
        <v>13.08.2026</v>
      </c>
      <c r="AX143" s="149" t="s">
        <v>68</v>
      </c>
    </row>
    <row r="144" spans="1:50" ht="22" customHeight="1">
      <c r="A144" s="41" t="s">
        <v>63</v>
      </c>
      <c r="B144" s="42" t="s">
        <v>64</v>
      </c>
      <c r="C144" s="43">
        <v>4016284</v>
      </c>
      <c r="D144" s="56" t="s">
        <v>245</v>
      </c>
      <c r="E144" s="56" t="s">
        <v>246</v>
      </c>
      <c r="F144" s="45">
        <v>100</v>
      </c>
      <c r="G144" s="45"/>
      <c r="H144" s="45"/>
      <c r="I144" s="45"/>
      <c r="J144" s="46">
        <f>IF(VLOOKUP($C144,REV!$C:$AA,8,0)-'TRADE IN'!$F144=0,"",(VLOOKUP($C144,REV!$C:$AA,8,0)-'TRADE IN'!$F144))</f>
        <v>1699</v>
      </c>
      <c r="K144" s="46">
        <f>IF(VLOOKUP($C144,REV!$C:$AA,9,0)-'TRADE IN'!$F144=0,"",(VLOOKUP($C144,REV!$C:$AA,9,0)-'TRADE IN'!$F144))</f>
        <v>1699</v>
      </c>
      <c r="L144" s="46">
        <f>IF(VLOOKUP($C144,REV!$C:$AA,10,0)-'TRADE IN'!$F144=0,"",(VLOOKUP($C144,REV!$C:$AA,10,0)-'TRADE IN'!$F144))</f>
        <v>1699</v>
      </c>
      <c r="M144" s="46">
        <f>IF(VLOOKUP($C144,REV!$C:$AA,11,0)-'TRADE IN'!$F144=0,"",(VLOOKUP($C144,REV!$C:$AA,11,0)-'TRADE IN'!$F144))</f>
        <v>1699</v>
      </c>
      <c r="N144" s="46">
        <f>IF(VLOOKUP($C144,REV!$C:$AA,12,0)-'TRADE IN'!$F144=0,"",(VLOOKUP($C144,REV!$C:$AA,12,0)-'TRADE IN'!$F144))</f>
        <v>1699</v>
      </c>
      <c r="O144" s="46">
        <f>IF(VLOOKUP($C144,REV!$C:$AA,13,0)-'TRADE IN'!$F144=0,"",(VLOOKUP($C144,REV!$C:$AA,13,0)-'TRADE IN'!$F144))</f>
        <v>1599</v>
      </c>
      <c r="P144" s="46">
        <f>IF(VLOOKUP($C144,REV!$C:$AA,14,0)-'TRADE IN'!$F144=0,"",(VLOOKUP($C144,REV!$C:$AA,14,0)-'TRADE IN'!$F144))</f>
        <v>1549</v>
      </c>
      <c r="Q144" s="46">
        <f>IF(VLOOKUP($C144,REV!$C:$AA,15,0)-'TRADE IN'!$F144=0,"",(VLOOKUP($C144,REV!$C:$AA,15,0)-'TRADE IN'!$F144))</f>
        <v>1199</v>
      </c>
      <c r="R144" s="46">
        <f>IF(VLOOKUP($C144,REV!$C:$AA,16,0)-'TRADE IN'!$F144=0,"",(VLOOKUP($C144,REV!$C:$AA,16,0)-'TRADE IN'!$F144))</f>
        <v>1599</v>
      </c>
      <c r="S144" s="46">
        <f>IF(VLOOKUP($C144,REV!$C:$AA,17,0)-'TRADE IN'!$F144=0,"",(VLOOKUP($C144,REV!$C:$AA,17,0)-'TRADE IN'!$F144))</f>
        <v>1549</v>
      </c>
      <c r="T144" s="46">
        <f>IF(VLOOKUP($C144,REV!$C:$AA,18,0)-'TRADE IN'!$F144=0,"",(VLOOKUP($C144,REV!$C:$AA,18,0)-'TRADE IN'!$F144))</f>
        <v>1199</v>
      </c>
      <c r="U144" s="46">
        <f>IF(VLOOKUP($C144,REV!$C:$AA,19,0)-'TRADE IN'!$F144=0,"",(VLOOKUP($C144,REV!$C:$AA,19,0)-'TRADE IN'!$F144))</f>
        <v>1199</v>
      </c>
      <c r="V144" s="46">
        <f>IF(VLOOKUP($C144,REV!$C:$AA,20,0)-'TRADE IN'!$F144=0,"",(VLOOKUP($C144,REV!$C:$AA,20,0)-'TRADE IN'!$F144))</f>
        <v>1199</v>
      </c>
      <c r="W144" s="46">
        <f>IF(VLOOKUP($C144,REV!$C:$AA,21,0)-'TRADE IN'!$F144=0,"",(VLOOKUP($C144,REV!$C:$AA,21,0)-'TRADE IN'!$F144))</f>
        <v>1199</v>
      </c>
      <c r="X144" s="46">
        <f>IF(VLOOKUP($C144,REV!$C:$AA,22,0)-'TRADE IN'!$F144=0,"",(VLOOKUP($C144,REV!$C:$AA,22,0)-'TRADE IN'!$F144))</f>
        <v>1099</v>
      </c>
      <c r="Y144" s="46">
        <f>IF(VLOOKUP($C144,REV!$C:$AA,23,0)-'TRADE IN'!$F144=0,"",(VLOOKUP($C144,REV!$C:$AA,23,0)-'TRADE IN'!$F144))</f>
        <v>1099</v>
      </c>
      <c r="Z144" s="46">
        <f>IF(VLOOKUP($C144,REV!$C:$AA,24,0)-'TRADE IN'!$F144=0,"",(VLOOKUP($C144,REV!$C:$AA,24,0)-'TRADE IN'!$F144))</f>
        <v>1099</v>
      </c>
      <c r="AA144" s="46">
        <f>IF(VLOOKUP($C144,REV!$C:$AA,25,0)-'TRADE IN'!$F144=0,"",(VLOOKUP($C144,REV!$C:$AA,25,0)-'TRADE IN'!$F144))</f>
        <v>1099</v>
      </c>
      <c r="AB144" s="45"/>
      <c r="AC144" s="45"/>
      <c r="AD144" s="45"/>
      <c r="AE144" s="45"/>
      <c r="AF144" s="45"/>
      <c r="AG144" s="45"/>
      <c r="AH144" s="45"/>
      <c r="AI144" s="45"/>
      <c r="AJ144" s="45"/>
      <c r="AK144" s="45"/>
      <c r="AL144" s="45"/>
      <c r="AM144" s="45"/>
      <c r="AN144" s="45"/>
      <c r="AO144" s="45"/>
      <c r="AP144" s="45"/>
      <c r="AQ144" s="45"/>
      <c r="AR144" s="45"/>
      <c r="AS144" s="45"/>
      <c r="AT144" s="45"/>
      <c r="AU144" s="45"/>
      <c r="AV144" s="47"/>
      <c r="AW144" s="48" t="str">
        <f>REV!AW144</f>
        <v>13.08.2026</v>
      </c>
      <c r="AX144" s="149" t="s">
        <v>68</v>
      </c>
    </row>
    <row r="145" spans="1:50" ht="22" customHeight="1">
      <c r="A145" s="41" t="s">
        <v>63</v>
      </c>
      <c r="B145" s="42" t="s">
        <v>64</v>
      </c>
      <c r="C145" s="43">
        <v>4016285</v>
      </c>
      <c r="D145" s="56" t="s">
        <v>245</v>
      </c>
      <c r="E145" s="56" t="s">
        <v>247</v>
      </c>
      <c r="F145" s="45">
        <v>100</v>
      </c>
      <c r="G145" s="45"/>
      <c r="H145" s="45"/>
      <c r="I145" s="45"/>
      <c r="J145" s="46">
        <f>IF(VLOOKUP($C145,REV!$C:$AA,8,0)-'TRADE IN'!$F145=0,"",(VLOOKUP($C145,REV!$C:$AA,8,0)-'TRADE IN'!$F145))</f>
        <v>1699</v>
      </c>
      <c r="K145" s="46">
        <f>IF(VLOOKUP($C145,REV!$C:$AA,9,0)-'TRADE IN'!$F145=0,"",(VLOOKUP($C145,REV!$C:$AA,9,0)-'TRADE IN'!$F145))</f>
        <v>1699</v>
      </c>
      <c r="L145" s="46">
        <f>IF(VLOOKUP($C145,REV!$C:$AA,10,0)-'TRADE IN'!$F145=0,"",(VLOOKUP($C145,REV!$C:$AA,10,0)-'TRADE IN'!$F145))</f>
        <v>1699</v>
      </c>
      <c r="M145" s="46">
        <f>IF(VLOOKUP($C145,REV!$C:$AA,11,0)-'TRADE IN'!$F145=0,"",(VLOOKUP($C145,REV!$C:$AA,11,0)-'TRADE IN'!$F145))</f>
        <v>1699</v>
      </c>
      <c r="N145" s="46">
        <f>IF(VLOOKUP($C145,REV!$C:$AA,12,0)-'TRADE IN'!$F145=0,"",(VLOOKUP($C145,REV!$C:$AA,12,0)-'TRADE IN'!$F145))</f>
        <v>1699</v>
      </c>
      <c r="O145" s="46">
        <f>IF(VLOOKUP($C145,REV!$C:$AA,13,0)-'TRADE IN'!$F145=0,"",(VLOOKUP($C145,REV!$C:$AA,13,0)-'TRADE IN'!$F145))</f>
        <v>1599</v>
      </c>
      <c r="P145" s="46">
        <f>IF(VLOOKUP($C145,REV!$C:$AA,14,0)-'TRADE IN'!$F145=0,"",(VLOOKUP($C145,REV!$C:$AA,14,0)-'TRADE IN'!$F145))</f>
        <v>1549</v>
      </c>
      <c r="Q145" s="46">
        <f>IF(VLOOKUP($C145,REV!$C:$AA,15,0)-'TRADE IN'!$F145=0,"",(VLOOKUP($C145,REV!$C:$AA,15,0)-'TRADE IN'!$F145))</f>
        <v>1199</v>
      </c>
      <c r="R145" s="46">
        <f>IF(VLOOKUP($C145,REV!$C:$AA,16,0)-'TRADE IN'!$F145=0,"",(VLOOKUP($C145,REV!$C:$AA,16,0)-'TRADE IN'!$F145))</f>
        <v>1599</v>
      </c>
      <c r="S145" s="46">
        <f>IF(VLOOKUP($C145,REV!$C:$AA,17,0)-'TRADE IN'!$F145=0,"",(VLOOKUP($C145,REV!$C:$AA,17,0)-'TRADE IN'!$F145))</f>
        <v>1549</v>
      </c>
      <c r="T145" s="46">
        <f>IF(VLOOKUP($C145,REV!$C:$AA,18,0)-'TRADE IN'!$F145=0,"",(VLOOKUP($C145,REV!$C:$AA,18,0)-'TRADE IN'!$F145))</f>
        <v>1199</v>
      </c>
      <c r="U145" s="46">
        <f>IF(VLOOKUP($C145,REV!$C:$AA,19,0)-'TRADE IN'!$F145=0,"",(VLOOKUP($C145,REV!$C:$AA,19,0)-'TRADE IN'!$F145))</f>
        <v>1199</v>
      </c>
      <c r="V145" s="46">
        <f>IF(VLOOKUP($C145,REV!$C:$AA,20,0)-'TRADE IN'!$F145=0,"",(VLOOKUP($C145,REV!$C:$AA,20,0)-'TRADE IN'!$F145))</f>
        <v>1199</v>
      </c>
      <c r="W145" s="46">
        <f>IF(VLOOKUP($C145,REV!$C:$AA,21,0)-'TRADE IN'!$F145=0,"",(VLOOKUP($C145,REV!$C:$AA,21,0)-'TRADE IN'!$F145))</f>
        <v>1199</v>
      </c>
      <c r="X145" s="46">
        <f>IF(VLOOKUP($C145,REV!$C:$AA,22,0)-'TRADE IN'!$F145=0,"",(VLOOKUP($C145,REV!$C:$AA,22,0)-'TRADE IN'!$F145))</f>
        <v>1099</v>
      </c>
      <c r="Y145" s="46">
        <f>IF(VLOOKUP($C145,REV!$C:$AA,23,0)-'TRADE IN'!$F145=0,"",(VLOOKUP($C145,REV!$C:$AA,23,0)-'TRADE IN'!$F145))</f>
        <v>1099</v>
      </c>
      <c r="Z145" s="46">
        <f>IF(VLOOKUP($C145,REV!$C:$AA,24,0)-'TRADE IN'!$F145=0,"",(VLOOKUP($C145,REV!$C:$AA,24,0)-'TRADE IN'!$F145))</f>
        <v>1099</v>
      </c>
      <c r="AA145" s="46">
        <f>IF(VLOOKUP($C145,REV!$C:$AA,25,0)-'TRADE IN'!$F145=0,"",(VLOOKUP($C145,REV!$C:$AA,25,0)-'TRADE IN'!$F145))</f>
        <v>1099</v>
      </c>
      <c r="AB145" s="45"/>
      <c r="AC145" s="45"/>
      <c r="AD145" s="45"/>
      <c r="AE145" s="45"/>
      <c r="AF145" s="45"/>
      <c r="AG145" s="45"/>
      <c r="AH145" s="45"/>
      <c r="AI145" s="45"/>
      <c r="AJ145" s="45"/>
      <c r="AK145" s="45"/>
      <c r="AL145" s="45"/>
      <c r="AM145" s="45"/>
      <c r="AN145" s="45"/>
      <c r="AO145" s="45"/>
      <c r="AP145" s="45"/>
      <c r="AQ145" s="45"/>
      <c r="AR145" s="45"/>
      <c r="AS145" s="45"/>
      <c r="AT145" s="45"/>
      <c r="AU145" s="45"/>
      <c r="AV145" s="47"/>
      <c r="AW145" s="48" t="str">
        <f>REV!AW145</f>
        <v>13.08.2026</v>
      </c>
      <c r="AX145" s="149" t="s">
        <v>68</v>
      </c>
    </row>
    <row r="146" spans="1:50" ht="22" customHeight="1">
      <c r="A146" s="41" t="s">
        <v>63</v>
      </c>
      <c r="B146" s="42" t="s">
        <v>64</v>
      </c>
      <c r="C146" s="43">
        <v>4016922</v>
      </c>
      <c r="D146" s="56" t="s">
        <v>248</v>
      </c>
      <c r="E146" s="56" t="s">
        <v>249</v>
      </c>
      <c r="F146" s="45">
        <v>100</v>
      </c>
      <c r="G146" s="45"/>
      <c r="H146" s="45"/>
      <c r="I146" s="45"/>
      <c r="J146" s="46">
        <f>IF(VLOOKUP($C146,REV!$C:$AA,8,0)-'TRADE IN'!$F146=0,"",(VLOOKUP($C146,REV!$C:$AA,8,0)-'TRADE IN'!$F146))</f>
        <v>1899</v>
      </c>
      <c r="K146" s="46">
        <f>IF(VLOOKUP($C146,REV!$C:$AA,9,0)-'TRADE IN'!$F146=0,"",(VLOOKUP($C146,REV!$C:$AA,9,0)-'TRADE IN'!$F146))</f>
        <v>1899</v>
      </c>
      <c r="L146" s="46">
        <f>IF(VLOOKUP($C146,REV!$C:$AA,10,0)-'TRADE IN'!$F146=0,"",(VLOOKUP($C146,REV!$C:$AA,10,0)-'TRADE IN'!$F146))</f>
        <v>1899</v>
      </c>
      <c r="M146" s="46">
        <f>IF(VLOOKUP($C146,REV!$C:$AA,11,0)-'TRADE IN'!$F146=0,"",(VLOOKUP($C146,REV!$C:$AA,11,0)-'TRADE IN'!$F146))</f>
        <v>1899</v>
      </c>
      <c r="N146" s="46">
        <f>IF(VLOOKUP($C146,REV!$C:$AA,12,0)-'TRADE IN'!$F146=0,"",(VLOOKUP($C146,REV!$C:$AA,12,0)-'TRADE IN'!$F146))</f>
        <v>1899</v>
      </c>
      <c r="O146" s="46">
        <f>IF(VLOOKUP($C146,REV!$C:$AA,13,0)-'TRADE IN'!$F146=0,"",(VLOOKUP($C146,REV!$C:$AA,13,0)-'TRADE IN'!$F146))</f>
        <v>1799</v>
      </c>
      <c r="P146" s="46">
        <f>IF(VLOOKUP($C146,REV!$C:$AA,14,0)-'TRADE IN'!$F146=0,"",(VLOOKUP($C146,REV!$C:$AA,14,0)-'TRADE IN'!$F146))</f>
        <v>1699</v>
      </c>
      <c r="Q146" s="46">
        <f>IF(VLOOKUP($C146,REV!$C:$AA,15,0)-'TRADE IN'!$F146=0,"",(VLOOKUP($C146,REV!$C:$AA,15,0)-'TRADE IN'!$F146))</f>
        <v>899</v>
      </c>
      <c r="R146" s="46">
        <f>IF(VLOOKUP($C146,REV!$C:$AA,16,0)-'TRADE IN'!$F146=0,"",(VLOOKUP($C146,REV!$C:$AA,16,0)-'TRADE IN'!$F146))</f>
        <v>1799</v>
      </c>
      <c r="S146" s="46">
        <f>IF(VLOOKUP($C146,REV!$C:$AA,17,0)-'TRADE IN'!$F146=0,"",(VLOOKUP($C146,REV!$C:$AA,17,0)-'TRADE IN'!$F146))</f>
        <v>1699</v>
      </c>
      <c r="T146" s="46">
        <f>IF(VLOOKUP($C146,REV!$C:$AA,18,0)-'TRADE IN'!$F146=0,"",(VLOOKUP($C146,REV!$C:$AA,18,0)-'TRADE IN'!$F146))</f>
        <v>899</v>
      </c>
      <c r="U146" s="46">
        <f>IF(VLOOKUP($C146,REV!$C:$AA,19,0)-'TRADE IN'!$F146=0,"",(VLOOKUP($C146,REV!$C:$AA,19,0)-'TRADE IN'!$F146))</f>
        <v>899</v>
      </c>
      <c r="V146" s="46">
        <f>IF(VLOOKUP($C146,REV!$C:$AA,20,0)-'TRADE IN'!$F146=0,"",(VLOOKUP($C146,REV!$C:$AA,20,0)-'TRADE IN'!$F146))</f>
        <v>899</v>
      </c>
      <c r="W146" s="46">
        <f>IF(VLOOKUP($C146,REV!$C:$AA,21,0)-'TRADE IN'!$F146=0,"",(VLOOKUP($C146,REV!$C:$AA,21,0)-'TRADE IN'!$F146))</f>
        <v>899</v>
      </c>
      <c r="X146" s="46">
        <f>IF(VLOOKUP($C146,REV!$C:$AA,22,0)-'TRADE IN'!$F146=0,"",(VLOOKUP($C146,REV!$C:$AA,22,0)-'TRADE IN'!$F146))</f>
        <v>899</v>
      </c>
      <c r="Y146" s="46">
        <f>IF(VLOOKUP($C146,REV!$C:$AA,23,0)-'TRADE IN'!$F146=0,"",(VLOOKUP($C146,REV!$C:$AA,23,0)-'TRADE IN'!$F146))</f>
        <v>899</v>
      </c>
      <c r="Z146" s="46">
        <f>IF(VLOOKUP($C146,REV!$C:$AA,24,0)-'TRADE IN'!$F146=0,"",(VLOOKUP($C146,REV!$C:$AA,24,0)-'TRADE IN'!$F146))</f>
        <v>899</v>
      </c>
      <c r="AA146" s="46">
        <f>IF(VLOOKUP($C146,REV!$C:$AA,25,0)-'TRADE IN'!$F146=0,"",(VLOOKUP($C146,REV!$C:$AA,25,0)-'TRADE IN'!$F146))</f>
        <v>899</v>
      </c>
      <c r="AB146" s="45">
        <f>IF(VLOOKUP($C146,REV!$C:$AL,27,0)-'TRADE IN'!$F146=0,"",(VLOOKUP($C146,REV!$C:$AL,27,0)-'TRADE IN'!$F146))</f>
        <v>-100</v>
      </c>
      <c r="AC146" s="45">
        <f>IF(VLOOKUP($C146,REV!$C:$AL,28,0)-'TRADE IN'!$F146=0,"",(VLOOKUP($C146,REV!$C:$AL,28,0)-'TRADE IN'!$F146))</f>
        <v>-100</v>
      </c>
      <c r="AD146" s="45">
        <f>IF(VLOOKUP($C146,REV!$C:$AL,29,0)-'TRADE IN'!$F146=0,"",(VLOOKUP($C146,REV!$C:$AL,29,0)-'TRADE IN'!$F146))</f>
        <v>-100</v>
      </c>
      <c r="AE146" s="45">
        <f>IF(VLOOKUP($C146,REV!$C:$AL,30,0)-'TRADE IN'!$F146=0,"",(VLOOKUP($C146,REV!$C:$AL,30,0)-'TRADE IN'!$F146))</f>
        <v>-100</v>
      </c>
      <c r="AF146" s="45">
        <f>IF(VLOOKUP($C146,REV!$C:$AL,31,0)-'TRADE IN'!$F146=0,"",(VLOOKUP($C146,REV!$C:$AL,31,0)-'TRADE IN'!$F146))</f>
        <v>-100</v>
      </c>
      <c r="AG146" s="45">
        <f>IF(VLOOKUP($C146,REV!$C:$AL,31,0)-'TRADE IN'!$F146=0,"",(VLOOKUP($C146,REV!$C:$AL,31,0)-'TRADE IN'!$F146))</f>
        <v>-100</v>
      </c>
      <c r="AH146" s="45">
        <f>IF(VLOOKUP($C146,REV!$C:$AL,32,0)-'TRADE IN'!$F146=0,"",(VLOOKUP($C146,REV!$C:$AL,32,0)-'TRADE IN'!$F146))</f>
        <v>-100</v>
      </c>
      <c r="AI146" s="45">
        <f>IF(VLOOKUP($C146,REV!$C:$AL,33,0)-'TRADE IN'!$F146=0,"",(VLOOKUP($C146,REV!$C:$AL,33,0)-'TRADE IN'!$F146))</f>
        <v>-100</v>
      </c>
      <c r="AJ146" s="45">
        <f>IF(VLOOKUP($C146,REV!$C:$AL,34,0)-'TRADE IN'!$F146=0,"",(VLOOKUP($C146,REV!$C:$AL,34,0)-'TRADE IN'!$F146))</f>
        <v>-100</v>
      </c>
      <c r="AK146" s="45">
        <f>IF(VLOOKUP($C146,REV!$C:$AL,35,0)-'TRADE IN'!$F146=0,"",(VLOOKUP($C146,REV!$C:$AL,35,0)-'TRADE IN'!$F146))</f>
        <v>-100</v>
      </c>
      <c r="AL146" s="45">
        <f>IF(VLOOKUP($C146,REV!$C:$AL,36,0)-'TRADE IN'!$F146=0,"",(VLOOKUP($C146,REV!$C:$AL,36,0)-'TRADE IN'!$F146))</f>
        <v>-100</v>
      </c>
      <c r="AM146" s="45"/>
      <c r="AN146" s="45"/>
      <c r="AO146" s="45"/>
      <c r="AP146" s="45"/>
      <c r="AQ146" s="45"/>
      <c r="AR146" s="45"/>
      <c r="AS146" s="45"/>
      <c r="AT146" s="45"/>
      <c r="AU146" s="45"/>
      <c r="AV146" s="47"/>
      <c r="AW146" s="48" t="str">
        <f>REV!AW146</f>
        <v>13.08.2026</v>
      </c>
      <c r="AX146" s="149" t="s">
        <v>68</v>
      </c>
    </row>
    <row r="147" spans="1:50" ht="22" customHeight="1">
      <c r="A147" s="41" t="s">
        <v>63</v>
      </c>
      <c r="B147" s="42" t="s">
        <v>64</v>
      </c>
      <c r="C147" s="43">
        <v>4016923</v>
      </c>
      <c r="D147" s="56" t="s">
        <v>248</v>
      </c>
      <c r="E147" s="56" t="s">
        <v>250</v>
      </c>
      <c r="F147" s="45">
        <v>100</v>
      </c>
      <c r="G147" s="45"/>
      <c r="H147" s="45"/>
      <c r="I147" s="45"/>
      <c r="J147" s="46">
        <f>IF(VLOOKUP($C147,REV!$C:$AA,8,0)-'TRADE IN'!$F147=0,"",(VLOOKUP($C147,REV!$C:$AA,8,0)-'TRADE IN'!$F147))</f>
        <v>1899</v>
      </c>
      <c r="K147" s="46">
        <f>IF(VLOOKUP($C147,REV!$C:$AA,9,0)-'TRADE IN'!$F147=0,"",(VLOOKUP($C147,REV!$C:$AA,9,0)-'TRADE IN'!$F147))</f>
        <v>1899</v>
      </c>
      <c r="L147" s="46">
        <f>IF(VLOOKUP($C147,REV!$C:$AA,10,0)-'TRADE IN'!$F147=0,"",(VLOOKUP($C147,REV!$C:$AA,10,0)-'TRADE IN'!$F147))</f>
        <v>1899</v>
      </c>
      <c r="M147" s="46">
        <f>IF(VLOOKUP($C147,REV!$C:$AA,11,0)-'TRADE IN'!$F147=0,"",(VLOOKUP($C147,REV!$C:$AA,11,0)-'TRADE IN'!$F147))</f>
        <v>1899</v>
      </c>
      <c r="N147" s="46">
        <f>IF(VLOOKUP($C147,REV!$C:$AA,12,0)-'TRADE IN'!$F147=0,"",(VLOOKUP($C147,REV!$C:$AA,12,0)-'TRADE IN'!$F147))</f>
        <v>1899</v>
      </c>
      <c r="O147" s="46">
        <f>IF(VLOOKUP($C147,REV!$C:$AA,13,0)-'TRADE IN'!$F147=0,"",(VLOOKUP($C147,REV!$C:$AA,13,0)-'TRADE IN'!$F147))</f>
        <v>1799</v>
      </c>
      <c r="P147" s="46">
        <f>IF(VLOOKUP($C147,REV!$C:$AA,14,0)-'TRADE IN'!$F147=0,"",(VLOOKUP($C147,REV!$C:$AA,14,0)-'TRADE IN'!$F147))</f>
        <v>1699</v>
      </c>
      <c r="Q147" s="46">
        <f>IF(VLOOKUP($C147,REV!$C:$AA,15,0)-'TRADE IN'!$F147=0,"",(VLOOKUP($C147,REV!$C:$AA,15,0)-'TRADE IN'!$F147))</f>
        <v>899</v>
      </c>
      <c r="R147" s="46">
        <f>IF(VLOOKUP($C147,REV!$C:$AA,16,0)-'TRADE IN'!$F147=0,"",(VLOOKUP($C147,REV!$C:$AA,16,0)-'TRADE IN'!$F147))</f>
        <v>1799</v>
      </c>
      <c r="S147" s="46">
        <f>IF(VLOOKUP($C147,REV!$C:$AA,17,0)-'TRADE IN'!$F147=0,"",(VLOOKUP($C147,REV!$C:$AA,17,0)-'TRADE IN'!$F147))</f>
        <v>1699</v>
      </c>
      <c r="T147" s="46">
        <f>IF(VLOOKUP($C147,REV!$C:$AA,18,0)-'TRADE IN'!$F147=0,"",(VLOOKUP($C147,REV!$C:$AA,18,0)-'TRADE IN'!$F147))</f>
        <v>899</v>
      </c>
      <c r="U147" s="46">
        <f>IF(VLOOKUP($C147,REV!$C:$AA,19,0)-'TRADE IN'!$F147=0,"",(VLOOKUP($C147,REV!$C:$AA,19,0)-'TRADE IN'!$F147))</f>
        <v>899</v>
      </c>
      <c r="V147" s="46">
        <f>IF(VLOOKUP($C147,REV!$C:$AA,20,0)-'TRADE IN'!$F147=0,"",(VLOOKUP($C147,REV!$C:$AA,20,0)-'TRADE IN'!$F147))</f>
        <v>899</v>
      </c>
      <c r="W147" s="46">
        <f>IF(VLOOKUP($C147,REV!$C:$AA,21,0)-'TRADE IN'!$F147=0,"",(VLOOKUP($C147,REV!$C:$AA,21,0)-'TRADE IN'!$F147))</f>
        <v>899</v>
      </c>
      <c r="X147" s="46">
        <f>IF(VLOOKUP($C147,REV!$C:$AA,22,0)-'TRADE IN'!$F147=0,"",(VLOOKUP($C147,REV!$C:$AA,22,0)-'TRADE IN'!$F147))</f>
        <v>899</v>
      </c>
      <c r="Y147" s="46">
        <f>IF(VLOOKUP($C147,REV!$C:$AA,23,0)-'TRADE IN'!$F147=0,"",(VLOOKUP($C147,REV!$C:$AA,23,0)-'TRADE IN'!$F147))</f>
        <v>899</v>
      </c>
      <c r="Z147" s="46">
        <f>IF(VLOOKUP($C147,REV!$C:$AA,24,0)-'TRADE IN'!$F147=0,"",(VLOOKUP($C147,REV!$C:$AA,24,0)-'TRADE IN'!$F147))</f>
        <v>899</v>
      </c>
      <c r="AA147" s="46">
        <f>IF(VLOOKUP($C147,REV!$C:$AA,25,0)-'TRADE IN'!$F147=0,"",(VLOOKUP($C147,REV!$C:$AA,25,0)-'TRADE IN'!$F147))</f>
        <v>899</v>
      </c>
      <c r="AB147" s="45">
        <f>IF(VLOOKUP($C147,REV!$C:$AL,27,0)-'TRADE IN'!$F147=0,"",(VLOOKUP($C147,REV!$C:$AL,27,0)-'TRADE IN'!$F147))</f>
        <v>-100</v>
      </c>
      <c r="AC147" s="45">
        <f>IF(VLOOKUP($C147,REV!$C:$AL,28,0)-'TRADE IN'!$F147=0,"",(VLOOKUP($C147,REV!$C:$AL,28,0)-'TRADE IN'!$F147))</f>
        <v>-100</v>
      </c>
      <c r="AD147" s="45">
        <f>IF(VLOOKUP($C147,REV!$C:$AL,29,0)-'TRADE IN'!$F147=0,"",(VLOOKUP($C147,REV!$C:$AL,29,0)-'TRADE IN'!$F147))</f>
        <v>-100</v>
      </c>
      <c r="AE147" s="45">
        <f>IF(VLOOKUP($C147,REV!$C:$AL,30,0)-'TRADE IN'!$F147=0,"",(VLOOKUP($C147,REV!$C:$AL,30,0)-'TRADE IN'!$F147))</f>
        <v>-100</v>
      </c>
      <c r="AF147" s="45">
        <f>IF(VLOOKUP($C147,REV!$C:$AL,31,0)-'TRADE IN'!$F147=0,"",(VLOOKUP($C147,REV!$C:$AL,31,0)-'TRADE IN'!$F147))</f>
        <v>-100</v>
      </c>
      <c r="AG147" s="45">
        <f>IF(VLOOKUP($C147,REV!$C:$AL,31,0)-'TRADE IN'!$F147=0,"",(VLOOKUP($C147,REV!$C:$AL,31,0)-'TRADE IN'!$F147))</f>
        <v>-100</v>
      </c>
      <c r="AH147" s="45">
        <f>IF(VLOOKUP($C147,REV!$C:$AL,32,0)-'TRADE IN'!$F147=0,"",(VLOOKUP($C147,REV!$C:$AL,32,0)-'TRADE IN'!$F147))</f>
        <v>-100</v>
      </c>
      <c r="AI147" s="45">
        <f>IF(VLOOKUP($C147,REV!$C:$AL,33,0)-'TRADE IN'!$F147=0,"",(VLOOKUP($C147,REV!$C:$AL,33,0)-'TRADE IN'!$F147))</f>
        <v>-100</v>
      </c>
      <c r="AJ147" s="45">
        <f>IF(VLOOKUP($C147,REV!$C:$AL,34,0)-'TRADE IN'!$F147=0,"",(VLOOKUP($C147,REV!$C:$AL,34,0)-'TRADE IN'!$F147))</f>
        <v>-100</v>
      </c>
      <c r="AK147" s="45">
        <f>IF(VLOOKUP($C147,REV!$C:$AL,35,0)-'TRADE IN'!$F147=0,"",(VLOOKUP($C147,REV!$C:$AL,35,0)-'TRADE IN'!$F147))</f>
        <v>-100</v>
      </c>
      <c r="AL147" s="45">
        <f>IF(VLOOKUP($C147,REV!$C:$AL,36,0)-'TRADE IN'!$F147=0,"",(VLOOKUP($C147,REV!$C:$AL,36,0)-'TRADE IN'!$F147))</f>
        <v>-100</v>
      </c>
      <c r="AM147" s="45"/>
      <c r="AN147" s="45"/>
      <c r="AO147" s="45"/>
      <c r="AP147" s="45"/>
      <c r="AQ147" s="45"/>
      <c r="AR147" s="45"/>
      <c r="AS147" s="45"/>
      <c r="AT147" s="45"/>
      <c r="AU147" s="45"/>
      <c r="AV147" s="47"/>
      <c r="AW147" s="48" t="str">
        <f>REV!AW147</f>
        <v>13.08.2026</v>
      </c>
      <c r="AX147" s="149" t="s">
        <v>68</v>
      </c>
    </row>
    <row r="148" spans="1:50" ht="22" customHeight="1">
      <c r="A148" s="41" t="s">
        <v>63</v>
      </c>
      <c r="B148" s="42" t="s">
        <v>64</v>
      </c>
      <c r="C148" s="43">
        <v>4017420</v>
      </c>
      <c r="D148" s="56" t="s">
        <v>251</v>
      </c>
      <c r="E148" s="56" t="s">
        <v>252</v>
      </c>
      <c r="F148" s="45">
        <v>300</v>
      </c>
      <c r="G148" s="45"/>
      <c r="H148" s="45"/>
      <c r="I148" s="45"/>
      <c r="J148" s="46">
        <f>IF(VLOOKUP($C148,REV!$C:$AA,8,0)-'TRADE IN'!$F148=0,"",(VLOOKUP($C148,REV!$C:$AA,8,0)-'TRADE IN'!$F148))</f>
        <v>2399</v>
      </c>
      <c r="K148" s="46">
        <f>IF(VLOOKUP($C148,REV!$C:$AA,9,0)-'TRADE IN'!$F148=0,"",(VLOOKUP($C148,REV!$C:$AA,9,0)-'TRADE IN'!$F148))</f>
        <v>2399</v>
      </c>
      <c r="L148" s="46">
        <f>IF(VLOOKUP($C148,REV!$C:$AA,10,0)-'TRADE IN'!$F148=0,"",(VLOOKUP($C148,REV!$C:$AA,10,0)-'TRADE IN'!$F148))</f>
        <v>2399</v>
      </c>
      <c r="M148" s="46">
        <f>IF(VLOOKUP($C148,REV!$C:$AA,11,0)-'TRADE IN'!$F148=0,"",(VLOOKUP($C148,REV!$C:$AA,11,0)-'TRADE IN'!$F148))</f>
        <v>2399</v>
      </c>
      <c r="N148" s="46">
        <f>IF(VLOOKUP($C148,REV!$C:$AA,12,0)-'TRADE IN'!$F148=0,"",(VLOOKUP($C148,REV!$C:$AA,12,0)-'TRADE IN'!$F148))</f>
        <v>2399</v>
      </c>
      <c r="O148" s="46">
        <f>IF(VLOOKUP($C148,REV!$C:$AA,13,0)-'TRADE IN'!$F148=0,"",(VLOOKUP($C148,REV!$C:$AA,13,0)-'TRADE IN'!$F148))</f>
        <v>2299</v>
      </c>
      <c r="P148" s="46">
        <f>IF(VLOOKUP($C148,REV!$C:$AA,14,0)-'TRADE IN'!$F148=0,"",(VLOOKUP($C148,REV!$C:$AA,14,0)-'TRADE IN'!$F148))</f>
        <v>2199</v>
      </c>
      <c r="Q148" s="46">
        <f>IF(VLOOKUP($C148,REV!$C:$AA,15,0)-'TRADE IN'!$F148=0,"",(VLOOKUP($C148,REV!$C:$AA,15,0)-'TRADE IN'!$F148))</f>
        <v>1199</v>
      </c>
      <c r="R148" s="46">
        <f>IF(VLOOKUP($C148,REV!$C:$AA,16,0)-'TRADE IN'!$F148=0,"",(VLOOKUP($C148,REV!$C:$AA,16,0)-'TRADE IN'!$F148))</f>
        <v>2299</v>
      </c>
      <c r="S148" s="46">
        <f>IF(VLOOKUP($C148,REV!$C:$AA,17,0)-'TRADE IN'!$F148=0,"",(VLOOKUP($C148,REV!$C:$AA,17,0)-'TRADE IN'!$F148))</f>
        <v>2199</v>
      </c>
      <c r="T148" s="46">
        <f>IF(VLOOKUP($C148,REV!$C:$AA,18,0)-'TRADE IN'!$F148=0,"",(VLOOKUP($C148,REV!$C:$AA,18,0)-'TRADE IN'!$F148))</f>
        <v>1199</v>
      </c>
      <c r="U148" s="46">
        <f>IF(VLOOKUP($C148,REV!$C:$AA,19,0)-'TRADE IN'!$F148=0,"",(VLOOKUP($C148,REV!$C:$AA,19,0)-'TRADE IN'!$F148))</f>
        <v>1199</v>
      </c>
      <c r="V148" s="46">
        <f>IF(VLOOKUP($C148,REV!$C:$AA,20,0)-'TRADE IN'!$F148=0,"",(VLOOKUP($C148,REV!$C:$AA,20,0)-'TRADE IN'!$F148))</f>
        <v>1199</v>
      </c>
      <c r="W148" s="46">
        <f>IF(VLOOKUP($C148,REV!$C:$AA,21,0)-'TRADE IN'!$F148=0,"",(VLOOKUP($C148,REV!$C:$AA,21,0)-'TRADE IN'!$F148))</f>
        <v>1199</v>
      </c>
      <c r="X148" s="46">
        <f>IF(VLOOKUP($C148,REV!$C:$AA,22,0)-'TRADE IN'!$F148=0,"",(VLOOKUP($C148,REV!$C:$AA,22,0)-'TRADE IN'!$F148))</f>
        <v>1099</v>
      </c>
      <c r="Y148" s="46">
        <f>IF(VLOOKUP($C148,REV!$C:$AA,23,0)-'TRADE IN'!$F148=0,"",(VLOOKUP($C148,REV!$C:$AA,23,0)-'TRADE IN'!$F148))</f>
        <v>899</v>
      </c>
      <c r="Z148" s="46">
        <f>IF(VLOOKUP($C148,REV!$C:$AA,24,0)-'TRADE IN'!$F148=0,"",(VLOOKUP($C148,REV!$C:$AA,24,0)-'TRADE IN'!$F148))</f>
        <v>899</v>
      </c>
      <c r="AA148" s="46">
        <f>IF(VLOOKUP($C148,REV!$C:$AA,25,0)-'TRADE IN'!$F148=0,"",(VLOOKUP($C148,REV!$C:$AA,25,0)-'TRADE IN'!$F148))</f>
        <v>699</v>
      </c>
      <c r="AB148" s="45">
        <f>IF(VLOOKUP($C148,REV!$C:$AL,27,0)-'TRADE IN'!$F148=0,"",(VLOOKUP($C148,REV!$C:$AL,27,0)-'TRADE IN'!$F148))</f>
        <v>2399</v>
      </c>
      <c r="AC148" s="45">
        <f>IF(VLOOKUP($C148,REV!$C:$AL,28,0)-'TRADE IN'!$F148=0,"",(VLOOKUP($C148,REV!$C:$AL,28,0)-'TRADE IN'!$F148))</f>
        <v>2399</v>
      </c>
      <c r="AD148" s="45">
        <f>IF(VLOOKUP($C148,REV!$C:$AL,29,0)-'TRADE IN'!$F148=0,"",(VLOOKUP($C148,REV!$C:$AL,29,0)-'TRADE IN'!$F148))</f>
        <v>2299</v>
      </c>
      <c r="AE148" s="45">
        <f>IF(VLOOKUP($C148,REV!$C:$AL,30,0)-'TRADE IN'!$F148=0,"",(VLOOKUP($C148,REV!$C:$AL,30,0)-'TRADE IN'!$F148))</f>
        <v>2199</v>
      </c>
      <c r="AF148" s="45">
        <f>IF(VLOOKUP($C148,REV!$C:$AL,31,0)-'TRADE IN'!$F148=0,"",(VLOOKUP($C148,REV!$C:$AL,31,0)-'TRADE IN'!$F148))</f>
        <v>2199</v>
      </c>
      <c r="AG148" s="45">
        <f>IF(VLOOKUP($C148,REV!$C:$AL,31,0)-'TRADE IN'!$F148=0,"",(VLOOKUP($C148,REV!$C:$AL,31,0)-'TRADE IN'!$F148))</f>
        <v>2199</v>
      </c>
      <c r="AH148" s="45">
        <f>IF(VLOOKUP($C148,REV!$C:$AL,32,0)-'TRADE IN'!$F148=0,"",(VLOOKUP($C148,REV!$C:$AL,32,0)-'TRADE IN'!$F148))</f>
        <v>1199</v>
      </c>
      <c r="AI148" s="45">
        <f>IF(VLOOKUP($C148,REV!$C:$AL,33,0)-'TRADE IN'!$F148=0,"",(VLOOKUP($C148,REV!$C:$AL,33,0)-'TRADE IN'!$F148))</f>
        <v>1199</v>
      </c>
      <c r="AJ148" s="45">
        <f>IF(VLOOKUP($C148,REV!$C:$AL,34,0)-'TRADE IN'!$F148=0,"",(VLOOKUP($C148,REV!$C:$AL,34,0)-'TRADE IN'!$F148))</f>
        <v>1199</v>
      </c>
      <c r="AK148" s="45">
        <f>IF(VLOOKUP($C148,REV!$C:$AL,35,0)-'TRADE IN'!$F148=0,"",(VLOOKUP($C148,REV!$C:$AL,35,0)-'TRADE IN'!$F148))</f>
        <v>1199</v>
      </c>
      <c r="AL148" s="45">
        <f>IF(VLOOKUP($C148,REV!$C:$AL,36,0)-'TRADE IN'!$F148=0,"",(VLOOKUP($C148,REV!$C:$AL,36,0)-'TRADE IN'!$F148))</f>
        <v>899</v>
      </c>
      <c r="AM148" s="45"/>
      <c r="AN148" s="45"/>
      <c r="AO148" s="45"/>
      <c r="AP148" s="45"/>
      <c r="AQ148" s="45"/>
      <c r="AR148" s="45"/>
      <c r="AS148" s="45"/>
      <c r="AT148" s="45"/>
      <c r="AU148" s="45"/>
      <c r="AV148" s="47"/>
      <c r="AW148" s="48" t="str">
        <f>REV!AW148</f>
        <v>13.08.2026</v>
      </c>
      <c r="AX148" s="149" t="s">
        <v>68</v>
      </c>
    </row>
    <row r="149" spans="1:50" ht="22" customHeight="1">
      <c r="A149" s="41" t="s">
        <v>63</v>
      </c>
      <c r="B149" s="42" t="s">
        <v>64</v>
      </c>
      <c r="C149" s="43">
        <v>4017415</v>
      </c>
      <c r="D149" s="56" t="s">
        <v>251</v>
      </c>
      <c r="E149" s="56" t="s">
        <v>253</v>
      </c>
      <c r="F149" s="45">
        <v>300</v>
      </c>
      <c r="G149" s="45"/>
      <c r="H149" s="45"/>
      <c r="I149" s="45"/>
      <c r="J149" s="46">
        <f>IF(VLOOKUP($C149,REV!$C:$AA,8,0)-'TRADE IN'!$F149=0,"",(VLOOKUP($C149,REV!$C:$AA,8,0)-'TRADE IN'!$F149))</f>
        <v>2399</v>
      </c>
      <c r="K149" s="46">
        <f>IF(VLOOKUP($C149,REV!$C:$AA,9,0)-'TRADE IN'!$F149=0,"",(VLOOKUP($C149,REV!$C:$AA,9,0)-'TRADE IN'!$F149))</f>
        <v>2399</v>
      </c>
      <c r="L149" s="46">
        <f>IF(VLOOKUP($C149,REV!$C:$AA,10,0)-'TRADE IN'!$F149=0,"",(VLOOKUP($C149,REV!$C:$AA,10,0)-'TRADE IN'!$F149))</f>
        <v>2399</v>
      </c>
      <c r="M149" s="46">
        <f>IF(VLOOKUP($C149,REV!$C:$AA,11,0)-'TRADE IN'!$F149=0,"",(VLOOKUP($C149,REV!$C:$AA,11,0)-'TRADE IN'!$F149))</f>
        <v>2399</v>
      </c>
      <c r="N149" s="46">
        <f>IF(VLOOKUP($C149,REV!$C:$AA,12,0)-'TRADE IN'!$F149=0,"",(VLOOKUP($C149,REV!$C:$AA,12,0)-'TRADE IN'!$F149))</f>
        <v>2399</v>
      </c>
      <c r="O149" s="46">
        <f>IF(VLOOKUP($C149,REV!$C:$AA,13,0)-'TRADE IN'!$F149=0,"",(VLOOKUP($C149,REV!$C:$AA,13,0)-'TRADE IN'!$F149))</f>
        <v>2299</v>
      </c>
      <c r="P149" s="46">
        <f>IF(VLOOKUP($C149,REV!$C:$AA,14,0)-'TRADE IN'!$F149=0,"",(VLOOKUP($C149,REV!$C:$AA,14,0)-'TRADE IN'!$F149))</f>
        <v>2199</v>
      </c>
      <c r="Q149" s="46">
        <f>IF(VLOOKUP($C149,REV!$C:$AA,15,0)-'TRADE IN'!$F149=0,"",(VLOOKUP($C149,REV!$C:$AA,15,0)-'TRADE IN'!$F149))</f>
        <v>1199</v>
      </c>
      <c r="R149" s="46">
        <f>IF(VLOOKUP($C149,REV!$C:$AA,16,0)-'TRADE IN'!$F149=0,"",(VLOOKUP($C149,REV!$C:$AA,16,0)-'TRADE IN'!$F149))</f>
        <v>2299</v>
      </c>
      <c r="S149" s="46">
        <f>IF(VLOOKUP($C149,REV!$C:$AA,17,0)-'TRADE IN'!$F149=0,"",(VLOOKUP($C149,REV!$C:$AA,17,0)-'TRADE IN'!$F149))</f>
        <v>2199</v>
      </c>
      <c r="T149" s="46">
        <f>IF(VLOOKUP($C149,REV!$C:$AA,18,0)-'TRADE IN'!$F149=0,"",(VLOOKUP($C149,REV!$C:$AA,18,0)-'TRADE IN'!$F149))</f>
        <v>1199</v>
      </c>
      <c r="U149" s="46">
        <f>IF(VLOOKUP($C149,REV!$C:$AA,19,0)-'TRADE IN'!$F149=0,"",(VLOOKUP($C149,REV!$C:$AA,19,0)-'TRADE IN'!$F149))</f>
        <v>1199</v>
      </c>
      <c r="V149" s="46">
        <f>IF(VLOOKUP($C149,REV!$C:$AA,20,0)-'TRADE IN'!$F149=0,"",(VLOOKUP($C149,REV!$C:$AA,20,0)-'TRADE IN'!$F149))</f>
        <v>1199</v>
      </c>
      <c r="W149" s="46">
        <f>IF(VLOOKUP($C149,REV!$C:$AA,21,0)-'TRADE IN'!$F149=0,"",(VLOOKUP($C149,REV!$C:$AA,21,0)-'TRADE IN'!$F149))</f>
        <v>1199</v>
      </c>
      <c r="X149" s="46">
        <f>IF(VLOOKUP($C149,REV!$C:$AA,22,0)-'TRADE IN'!$F149=0,"",(VLOOKUP($C149,REV!$C:$AA,22,0)-'TRADE IN'!$F149))</f>
        <v>1099</v>
      </c>
      <c r="Y149" s="46">
        <f>IF(VLOOKUP($C149,REV!$C:$AA,23,0)-'TRADE IN'!$F149=0,"",(VLOOKUP($C149,REV!$C:$AA,23,0)-'TRADE IN'!$F149))</f>
        <v>899</v>
      </c>
      <c r="Z149" s="46">
        <f>IF(VLOOKUP($C149,REV!$C:$AA,24,0)-'TRADE IN'!$F149=0,"",(VLOOKUP($C149,REV!$C:$AA,24,0)-'TRADE IN'!$F149))</f>
        <v>899</v>
      </c>
      <c r="AA149" s="46">
        <f>IF(VLOOKUP($C149,REV!$C:$AA,25,0)-'TRADE IN'!$F149=0,"",(VLOOKUP($C149,REV!$C:$AA,25,0)-'TRADE IN'!$F149))</f>
        <v>699</v>
      </c>
      <c r="AB149" s="45">
        <f>IF(VLOOKUP($C149,REV!$C:$AL,27,0)-'TRADE IN'!$F149=0,"",(VLOOKUP($C149,REV!$C:$AL,27,0)-'TRADE IN'!$F149))</f>
        <v>2399</v>
      </c>
      <c r="AC149" s="45">
        <f>IF(VLOOKUP($C149,REV!$C:$AL,28,0)-'TRADE IN'!$F149=0,"",(VLOOKUP($C149,REV!$C:$AL,28,0)-'TRADE IN'!$F149))</f>
        <v>2399</v>
      </c>
      <c r="AD149" s="45">
        <f>IF(VLOOKUP($C149,REV!$C:$AL,29,0)-'TRADE IN'!$F149=0,"",(VLOOKUP($C149,REV!$C:$AL,29,0)-'TRADE IN'!$F149))</f>
        <v>2299</v>
      </c>
      <c r="AE149" s="45">
        <f>IF(VLOOKUP($C149,REV!$C:$AL,30,0)-'TRADE IN'!$F149=0,"",(VLOOKUP($C149,REV!$C:$AL,30,0)-'TRADE IN'!$F149))</f>
        <v>2199</v>
      </c>
      <c r="AF149" s="45">
        <f>IF(VLOOKUP($C149,REV!$C:$AL,31,0)-'TRADE IN'!$F149=0,"",(VLOOKUP($C149,REV!$C:$AL,31,0)-'TRADE IN'!$F149))</f>
        <v>2199</v>
      </c>
      <c r="AG149" s="45">
        <f>IF(VLOOKUP($C149,REV!$C:$AL,31,0)-'TRADE IN'!$F149=0,"",(VLOOKUP($C149,REV!$C:$AL,31,0)-'TRADE IN'!$F149))</f>
        <v>2199</v>
      </c>
      <c r="AH149" s="45">
        <f>IF(VLOOKUP($C149,REV!$C:$AL,32,0)-'TRADE IN'!$F149=0,"",(VLOOKUP($C149,REV!$C:$AL,32,0)-'TRADE IN'!$F149))</f>
        <v>1199</v>
      </c>
      <c r="AI149" s="45">
        <f>IF(VLOOKUP($C149,REV!$C:$AL,33,0)-'TRADE IN'!$F149=0,"",(VLOOKUP($C149,REV!$C:$AL,33,0)-'TRADE IN'!$F149))</f>
        <v>1199</v>
      </c>
      <c r="AJ149" s="45">
        <f>IF(VLOOKUP($C149,REV!$C:$AL,34,0)-'TRADE IN'!$F149=0,"",(VLOOKUP($C149,REV!$C:$AL,34,0)-'TRADE IN'!$F149))</f>
        <v>1199</v>
      </c>
      <c r="AK149" s="45">
        <f>IF(VLOOKUP($C149,REV!$C:$AL,35,0)-'TRADE IN'!$F149=0,"",(VLOOKUP($C149,REV!$C:$AL,35,0)-'TRADE IN'!$F149))</f>
        <v>1199</v>
      </c>
      <c r="AL149" s="45">
        <f>IF(VLOOKUP($C149,REV!$C:$AL,36,0)-'TRADE IN'!$F149=0,"",(VLOOKUP($C149,REV!$C:$AL,36,0)-'TRADE IN'!$F149))</f>
        <v>899</v>
      </c>
      <c r="AM149" s="45"/>
      <c r="AN149" s="45"/>
      <c r="AO149" s="45"/>
      <c r="AP149" s="45"/>
      <c r="AQ149" s="45"/>
      <c r="AR149" s="45"/>
      <c r="AS149" s="45"/>
      <c r="AT149" s="45"/>
      <c r="AU149" s="45"/>
      <c r="AV149" s="47"/>
      <c r="AW149" s="48" t="str">
        <f>REV!AW149</f>
        <v>13.08.2026</v>
      </c>
      <c r="AX149" s="149" t="s">
        <v>68</v>
      </c>
    </row>
    <row r="150" spans="1:50" ht="22" customHeight="1">
      <c r="A150" s="41" t="s">
        <v>63</v>
      </c>
      <c r="B150" s="42" t="s">
        <v>64</v>
      </c>
      <c r="C150" s="43">
        <v>4017041</v>
      </c>
      <c r="D150" s="56" t="s">
        <v>254</v>
      </c>
      <c r="E150" s="56" t="s">
        <v>255</v>
      </c>
      <c r="F150" s="45">
        <v>100</v>
      </c>
      <c r="G150" s="45"/>
      <c r="H150" s="45"/>
      <c r="I150" s="45"/>
      <c r="J150" s="46">
        <f>IF(VLOOKUP($C150,REV!$C:$AA,8,0)-'TRADE IN'!$F150=0,"",(VLOOKUP($C150,REV!$C:$AA,8,0)-'TRADE IN'!$F150))</f>
        <v>2899</v>
      </c>
      <c r="K150" s="46">
        <f>IF(VLOOKUP($C150,REV!$C:$AA,9,0)-'TRADE IN'!$F150=0,"",(VLOOKUP($C150,REV!$C:$AA,9,0)-'TRADE IN'!$F150))</f>
        <v>2899</v>
      </c>
      <c r="L150" s="46">
        <f>IF(VLOOKUP($C150,REV!$C:$AA,10,0)-'TRADE IN'!$F150=0,"",(VLOOKUP($C150,REV!$C:$AA,10,0)-'TRADE IN'!$F150))</f>
        <v>2899</v>
      </c>
      <c r="M150" s="46">
        <f>IF(VLOOKUP($C150,REV!$C:$AA,11,0)-'TRADE IN'!$F150=0,"",(VLOOKUP($C150,REV!$C:$AA,11,0)-'TRADE IN'!$F150))</f>
        <v>2899</v>
      </c>
      <c r="N150" s="46">
        <f>IF(VLOOKUP($C150,REV!$C:$AA,12,0)-'TRADE IN'!$F150=0,"",(VLOOKUP($C150,REV!$C:$AA,12,0)-'TRADE IN'!$F150))</f>
        <v>2899</v>
      </c>
      <c r="O150" s="46">
        <f>IF(VLOOKUP($C150,REV!$C:$AA,13,0)-'TRADE IN'!$F150=0,"",(VLOOKUP($C150,REV!$C:$AA,13,0)-'TRADE IN'!$F150))</f>
        <v>2799</v>
      </c>
      <c r="P150" s="46">
        <f>IF(VLOOKUP($C150,REV!$C:$AA,14,0)-'TRADE IN'!$F150=0,"",(VLOOKUP($C150,REV!$C:$AA,14,0)-'TRADE IN'!$F150))</f>
        <v>2699</v>
      </c>
      <c r="Q150" s="46">
        <f>IF(VLOOKUP($C150,REV!$C:$AA,15,0)-'TRADE IN'!$F150=0,"",(VLOOKUP($C150,REV!$C:$AA,15,0)-'TRADE IN'!$F150))</f>
        <v>1399</v>
      </c>
      <c r="R150" s="46">
        <f>IF(VLOOKUP($C150,REV!$C:$AA,16,0)-'TRADE IN'!$F150=0,"",(VLOOKUP($C150,REV!$C:$AA,16,0)-'TRADE IN'!$F150))</f>
        <v>2799</v>
      </c>
      <c r="S150" s="46">
        <f>IF(VLOOKUP($C150,REV!$C:$AA,17,0)-'TRADE IN'!$F150=0,"",(VLOOKUP($C150,REV!$C:$AA,17,0)-'TRADE IN'!$F150))</f>
        <v>2699</v>
      </c>
      <c r="T150" s="46">
        <f>IF(VLOOKUP($C150,REV!$C:$AA,18,0)-'TRADE IN'!$F150=0,"",(VLOOKUP($C150,REV!$C:$AA,18,0)-'TRADE IN'!$F150))</f>
        <v>1399</v>
      </c>
      <c r="U150" s="46">
        <f>IF(VLOOKUP($C150,REV!$C:$AA,19,0)-'TRADE IN'!$F150=0,"",(VLOOKUP($C150,REV!$C:$AA,19,0)-'TRADE IN'!$F150))</f>
        <v>1399</v>
      </c>
      <c r="V150" s="46">
        <f>IF(VLOOKUP($C150,REV!$C:$AA,20,0)-'TRADE IN'!$F150=0,"",(VLOOKUP($C150,REV!$C:$AA,20,0)-'TRADE IN'!$F150))</f>
        <v>1399</v>
      </c>
      <c r="W150" s="46">
        <f>IF(VLOOKUP($C150,REV!$C:$AA,21,0)-'TRADE IN'!$F150=0,"",(VLOOKUP($C150,REV!$C:$AA,21,0)-'TRADE IN'!$F150))</f>
        <v>1399</v>
      </c>
      <c r="X150" s="46">
        <f>IF(VLOOKUP($C150,REV!$C:$AA,22,0)-'TRADE IN'!$F150=0,"",(VLOOKUP($C150,REV!$C:$AA,22,0)-'TRADE IN'!$F150))</f>
        <v>1399</v>
      </c>
      <c r="Y150" s="46">
        <f>IF(VLOOKUP($C150,REV!$C:$AA,23,0)-'TRADE IN'!$F150=0,"",(VLOOKUP($C150,REV!$C:$AA,23,0)-'TRADE IN'!$F150))</f>
        <v>1399</v>
      </c>
      <c r="Z150" s="46">
        <f>IF(VLOOKUP($C150,REV!$C:$AA,24,0)-'TRADE IN'!$F150=0,"",(VLOOKUP($C150,REV!$C:$AA,24,0)-'TRADE IN'!$F150))</f>
        <v>1399</v>
      </c>
      <c r="AA150" s="46">
        <f>IF(VLOOKUP($C150,REV!$C:$AA,25,0)-'TRADE IN'!$F150=0,"",(VLOOKUP($C150,REV!$C:$AA,25,0)-'TRADE IN'!$F150))</f>
        <v>1399</v>
      </c>
      <c r="AB150" s="45"/>
      <c r="AC150" s="45"/>
      <c r="AD150" s="45"/>
      <c r="AE150" s="45"/>
      <c r="AF150" s="45"/>
      <c r="AG150" s="45"/>
      <c r="AH150" s="45"/>
      <c r="AI150" s="45"/>
      <c r="AJ150" s="45"/>
      <c r="AK150" s="45"/>
      <c r="AL150" s="45"/>
      <c r="AM150" s="45"/>
      <c r="AN150" s="45"/>
      <c r="AO150" s="45"/>
      <c r="AP150" s="45"/>
      <c r="AQ150" s="45"/>
      <c r="AR150" s="45"/>
      <c r="AS150" s="45"/>
      <c r="AT150" s="45"/>
      <c r="AU150" s="45"/>
      <c r="AV150" s="47"/>
      <c r="AW150" s="48" t="str">
        <f>REV!AW150</f>
        <v>13.08.2026</v>
      </c>
      <c r="AX150" s="149" t="s">
        <v>68</v>
      </c>
    </row>
    <row r="151" spans="1:50" ht="22" customHeight="1">
      <c r="A151" s="41" t="s">
        <v>63</v>
      </c>
      <c r="B151" s="42" t="s">
        <v>64</v>
      </c>
      <c r="C151" s="43">
        <v>4017646</v>
      </c>
      <c r="D151" s="57" t="s">
        <v>256</v>
      </c>
      <c r="E151" s="56" t="s">
        <v>257</v>
      </c>
      <c r="F151" s="54">
        <v>1000</v>
      </c>
      <c r="G151" s="45"/>
      <c r="H151" s="45"/>
      <c r="I151" s="45"/>
      <c r="J151" s="46">
        <f>IF(VLOOKUP($C151,REV!$C:$AA,8,0)-'TRADE IN'!$F151=0,"",(VLOOKUP($C151,REV!$C:$AA,8,0)-'TRADE IN'!$F151))</f>
        <v>3899</v>
      </c>
      <c r="K151" s="46">
        <f>IF(VLOOKUP($C151,REV!$C:$AA,9,0)-'TRADE IN'!$F151=0,"",(VLOOKUP($C151,REV!$C:$AA,9,0)-'TRADE IN'!$F151))</f>
        <v>3899</v>
      </c>
      <c r="L151" s="46">
        <f>IF(VLOOKUP($C151,REV!$C:$AA,10,0)-'TRADE IN'!$F151=0,"",(VLOOKUP($C151,REV!$C:$AA,10,0)-'TRADE IN'!$F151))</f>
        <v>3899</v>
      </c>
      <c r="M151" s="46">
        <f>IF(VLOOKUP($C151,REV!$C:$AA,11,0)-'TRADE IN'!$F151=0,"",(VLOOKUP($C151,REV!$C:$AA,11,0)-'TRADE IN'!$F151))</f>
        <v>3899</v>
      </c>
      <c r="N151" s="46">
        <f>IF(VLOOKUP($C151,REV!$C:$AA,12,0)-'TRADE IN'!$F151=0,"",(VLOOKUP($C151,REV!$C:$AA,12,0)-'TRADE IN'!$F151))</f>
        <v>3899</v>
      </c>
      <c r="O151" s="46">
        <f>IF(VLOOKUP($C151,REV!$C:$AA,13,0)-'TRADE IN'!$F151=0,"",(VLOOKUP($C151,REV!$C:$AA,13,0)-'TRADE IN'!$F151))</f>
        <v>3799</v>
      </c>
      <c r="P151" s="46">
        <f>IF(VLOOKUP($C151,REV!$C:$AA,14,0)-'TRADE IN'!$F151=0,"",(VLOOKUP($C151,REV!$C:$AA,14,0)-'TRADE IN'!$F151))</f>
        <v>3699</v>
      </c>
      <c r="Q151" s="46">
        <f>IF(VLOOKUP($C151,REV!$C:$AA,15,0)-'TRADE IN'!$F151=0,"",(VLOOKUP($C151,REV!$C:$AA,15,0)-'TRADE IN'!$F151))</f>
        <v>2999</v>
      </c>
      <c r="R151" s="46">
        <f>IF(VLOOKUP($C151,REV!$C:$AA,16,0)-'TRADE IN'!$F151=0,"",(VLOOKUP($C151,REV!$C:$AA,16,0)-'TRADE IN'!$F151))</f>
        <v>3799</v>
      </c>
      <c r="S151" s="46">
        <f>IF(VLOOKUP($C151,REV!$C:$AA,17,0)-'TRADE IN'!$F151=0,"",(VLOOKUP($C151,REV!$C:$AA,17,0)-'TRADE IN'!$F151))</f>
        <v>3699</v>
      </c>
      <c r="T151" s="46">
        <f>IF(VLOOKUP($C151,REV!$C:$AA,18,0)-'TRADE IN'!$F151=0,"",(VLOOKUP($C151,REV!$C:$AA,18,0)-'TRADE IN'!$F151))</f>
        <v>2999</v>
      </c>
      <c r="U151" s="46">
        <f>IF(VLOOKUP($C151,REV!$C:$AA,19,0)-'TRADE IN'!$F151=0,"",(VLOOKUP($C151,REV!$C:$AA,19,0)-'TRADE IN'!$F151))</f>
        <v>2999</v>
      </c>
      <c r="V151" s="46">
        <f>IF(VLOOKUP($C151,REV!$C:$AA,20,0)-'TRADE IN'!$F151=0,"",(VLOOKUP($C151,REV!$C:$AA,20,0)-'TRADE IN'!$F151))</f>
        <v>2999</v>
      </c>
      <c r="W151" s="46">
        <f>IF(VLOOKUP($C151,REV!$C:$AA,21,0)-'TRADE IN'!$F151=0,"",(VLOOKUP($C151,REV!$C:$AA,21,0)-'TRADE IN'!$F151))</f>
        <v>2999</v>
      </c>
      <c r="X151" s="46">
        <f>IF(VLOOKUP($C151,REV!$C:$AA,22,0)-'TRADE IN'!$F151=0,"",(VLOOKUP($C151,REV!$C:$AA,22,0)-'TRADE IN'!$F151))</f>
        <v>2899</v>
      </c>
      <c r="Y151" s="46">
        <f>IF(VLOOKUP($C151,REV!$C:$AA,23,0)-'TRADE IN'!$F151=0,"",(VLOOKUP($C151,REV!$C:$AA,23,0)-'TRADE IN'!$F151))</f>
        <v>1499</v>
      </c>
      <c r="Z151" s="46">
        <f>IF(VLOOKUP($C151,REV!$C:$AA,24,0)-'TRADE IN'!$F151=0,"",(VLOOKUP($C151,REV!$C:$AA,24,0)-'TRADE IN'!$F151))</f>
        <v>1499</v>
      </c>
      <c r="AA151" s="46">
        <f>IF(VLOOKUP($C151,REV!$C:$AA,25,0)-'TRADE IN'!$F151=0,"",(VLOOKUP($C151,REV!$C:$AA,25,0)-'TRADE IN'!$F151))</f>
        <v>1499</v>
      </c>
      <c r="AB151" s="45">
        <f>IF(VLOOKUP($C151,REV!$C:$AL,27,0)-'TRADE IN'!$F151=0,"",(VLOOKUP($C151,REV!$C:$AL,27,0)-'TRADE IN'!$F151))</f>
        <v>3899</v>
      </c>
      <c r="AC151" s="45">
        <f>IF(VLOOKUP($C151,REV!$C:$AL,28,0)-'TRADE IN'!$F151=0,"",(VLOOKUP($C151,REV!$C:$AL,28,0)-'TRADE IN'!$F151))</f>
        <v>3899</v>
      </c>
      <c r="AD151" s="45">
        <f>IF(VLOOKUP($C151,REV!$C:$AL,29,0)-'TRADE IN'!$F151=0,"",(VLOOKUP($C151,REV!$C:$AL,29,0)-'TRADE IN'!$F151))</f>
        <v>3799</v>
      </c>
      <c r="AE151" s="45">
        <f>IF(VLOOKUP($C151,REV!$C:$AL,30,0)-'TRADE IN'!$F151=0,"",(VLOOKUP($C151,REV!$C:$AL,30,0)-'TRADE IN'!$F151))</f>
        <v>3699</v>
      </c>
      <c r="AF151" s="45">
        <f>IF(VLOOKUP($C151,REV!$C:$AL,31,0)-'TRADE IN'!$F151=0,"",(VLOOKUP($C151,REV!$C:$AL,31,0)-'TRADE IN'!$F151))</f>
        <v>3699</v>
      </c>
      <c r="AG151" s="45">
        <f>IF(VLOOKUP($C151,REV!$C:$AL,31,0)-'TRADE IN'!$F151=0,"",(VLOOKUP($C151,REV!$C:$AL,31,0)-'TRADE IN'!$F151))</f>
        <v>3699</v>
      </c>
      <c r="AH151" s="45">
        <f>IF(VLOOKUP($C151,REV!$C:$AL,32,0)-'TRADE IN'!$F151=0,"",(VLOOKUP($C151,REV!$C:$AL,32,0)-'TRADE IN'!$F151))</f>
        <v>2999</v>
      </c>
      <c r="AI151" s="45">
        <f>IF(VLOOKUP($C151,REV!$C:$AL,33,0)-'TRADE IN'!$F151=0,"",(VLOOKUP($C151,REV!$C:$AL,33,0)-'TRADE IN'!$F151))</f>
        <v>2999</v>
      </c>
      <c r="AJ151" s="45">
        <f>IF(VLOOKUP($C151,REV!$C:$AL,34,0)-'TRADE IN'!$F151=0,"",(VLOOKUP($C151,REV!$C:$AL,34,0)-'TRADE IN'!$F151))</f>
        <v>2999</v>
      </c>
      <c r="AK151" s="45">
        <f>IF(VLOOKUP($C151,REV!$C:$AL,35,0)-'TRADE IN'!$F151=0,"",(VLOOKUP($C151,REV!$C:$AL,35,0)-'TRADE IN'!$F151))</f>
        <v>2999</v>
      </c>
      <c r="AL151" s="45">
        <f>IF(VLOOKUP($C151,REV!$C:$AL,36,0)-'TRADE IN'!$F151=0,"",(VLOOKUP($C151,REV!$C:$AL,36,0)-'TRADE IN'!$F151))</f>
        <v>1499</v>
      </c>
      <c r="AM151" s="45"/>
      <c r="AN151" s="45"/>
      <c r="AO151" s="45"/>
      <c r="AP151" s="45"/>
      <c r="AQ151" s="45"/>
      <c r="AR151" s="45"/>
      <c r="AS151" s="45"/>
      <c r="AT151" s="45"/>
      <c r="AU151" s="45"/>
      <c r="AV151" s="47"/>
      <c r="AW151" s="48" t="str">
        <f>REV!AW151</f>
        <v>13.08.2026</v>
      </c>
      <c r="AX151" s="149" t="s">
        <v>68</v>
      </c>
    </row>
    <row r="152" spans="1:50" ht="22" customHeight="1">
      <c r="A152" s="41" t="s">
        <v>63</v>
      </c>
      <c r="B152" s="42" t="s">
        <v>64</v>
      </c>
      <c r="C152" s="43">
        <v>4017644</v>
      </c>
      <c r="D152" s="57" t="s">
        <v>256</v>
      </c>
      <c r="E152" s="56" t="s">
        <v>258</v>
      </c>
      <c r="F152" s="54">
        <v>1000</v>
      </c>
      <c r="G152" s="45"/>
      <c r="H152" s="45"/>
      <c r="I152" s="45"/>
      <c r="J152" s="46">
        <f>IF(VLOOKUP($C152,REV!$C:$AA,8,0)-'TRADE IN'!$F152=0,"",(VLOOKUP($C152,REV!$C:$AA,8,0)-'TRADE IN'!$F152))</f>
        <v>3899</v>
      </c>
      <c r="K152" s="46">
        <f>IF(VLOOKUP($C152,REV!$C:$AA,9,0)-'TRADE IN'!$F152=0,"",(VLOOKUP($C152,REV!$C:$AA,9,0)-'TRADE IN'!$F152))</f>
        <v>3899</v>
      </c>
      <c r="L152" s="46">
        <f>IF(VLOOKUP($C152,REV!$C:$AA,10,0)-'TRADE IN'!$F152=0,"",(VLOOKUP($C152,REV!$C:$AA,10,0)-'TRADE IN'!$F152))</f>
        <v>3899</v>
      </c>
      <c r="M152" s="46">
        <f>IF(VLOOKUP($C152,REV!$C:$AA,11,0)-'TRADE IN'!$F152=0,"",(VLOOKUP($C152,REV!$C:$AA,11,0)-'TRADE IN'!$F152))</f>
        <v>3899</v>
      </c>
      <c r="N152" s="46">
        <f>IF(VLOOKUP($C152,REV!$C:$AA,12,0)-'TRADE IN'!$F152=0,"",(VLOOKUP($C152,REV!$C:$AA,12,0)-'TRADE IN'!$F152))</f>
        <v>3899</v>
      </c>
      <c r="O152" s="46">
        <f>IF(VLOOKUP($C152,REV!$C:$AA,13,0)-'TRADE IN'!$F152=0,"",(VLOOKUP($C152,REV!$C:$AA,13,0)-'TRADE IN'!$F152))</f>
        <v>3799</v>
      </c>
      <c r="P152" s="46">
        <f>IF(VLOOKUP($C152,REV!$C:$AA,14,0)-'TRADE IN'!$F152=0,"",(VLOOKUP($C152,REV!$C:$AA,14,0)-'TRADE IN'!$F152))</f>
        <v>3699</v>
      </c>
      <c r="Q152" s="46">
        <f>IF(VLOOKUP($C152,REV!$C:$AA,15,0)-'TRADE IN'!$F152=0,"",(VLOOKUP($C152,REV!$C:$AA,15,0)-'TRADE IN'!$F152))</f>
        <v>2999</v>
      </c>
      <c r="R152" s="46">
        <f>IF(VLOOKUP($C152,REV!$C:$AA,16,0)-'TRADE IN'!$F152=0,"",(VLOOKUP($C152,REV!$C:$AA,16,0)-'TRADE IN'!$F152))</f>
        <v>3799</v>
      </c>
      <c r="S152" s="46">
        <f>IF(VLOOKUP($C152,REV!$C:$AA,17,0)-'TRADE IN'!$F152=0,"",(VLOOKUP($C152,REV!$C:$AA,17,0)-'TRADE IN'!$F152))</f>
        <v>3699</v>
      </c>
      <c r="T152" s="46">
        <f>IF(VLOOKUP($C152,REV!$C:$AA,18,0)-'TRADE IN'!$F152=0,"",(VLOOKUP($C152,REV!$C:$AA,18,0)-'TRADE IN'!$F152))</f>
        <v>2999</v>
      </c>
      <c r="U152" s="46">
        <f>IF(VLOOKUP($C152,REV!$C:$AA,19,0)-'TRADE IN'!$F152=0,"",(VLOOKUP($C152,REV!$C:$AA,19,0)-'TRADE IN'!$F152))</f>
        <v>2999</v>
      </c>
      <c r="V152" s="46">
        <f>IF(VLOOKUP($C152,REV!$C:$AA,20,0)-'TRADE IN'!$F152=0,"",(VLOOKUP($C152,REV!$C:$AA,20,0)-'TRADE IN'!$F152))</f>
        <v>2999</v>
      </c>
      <c r="W152" s="46">
        <f>IF(VLOOKUP($C152,REV!$C:$AA,21,0)-'TRADE IN'!$F152=0,"",(VLOOKUP($C152,REV!$C:$AA,21,0)-'TRADE IN'!$F152))</f>
        <v>2999</v>
      </c>
      <c r="X152" s="46">
        <f>IF(VLOOKUP($C152,REV!$C:$AA,22,0)-'TRADE IN'!$F152=0,"",(VLOOKUP($C152,REV!$C:$AA,22,0)-'TRADE IN'!$F152))</f>
        <v>2899</v>
      </c>
      <c r="Y152" s="46">
        <f>IF(VLOOKUP($C152,REV!$C:$AA,23,0)-'TRADE IN'!$F152=0,"",(VLOOKUP($C152,REV!$C:$AA,23,0)-'TRADE IN'!$F152))</f>
        <v>1499</v>
      </c>
      <c r="Z152" s="46">
        <f>IF(VLOOKUP($C152,REV!$C:$AA,24,0)-'TRADE IN'!$F152=0,"",(VLOOKUP($C152,REV!$C:$AA,24,0)-'TRADE IN'!$F152))</f>
        <v>1499</v>
      </c>
      <c r="AA152" s="46">
        <f>IF(VLOOKUP($C152,REV!$C:$AA,25,0)-'TRADE IN'!$F152=0,"",(VLOOKUP($C152,REV!$C:$AA,25,0)-'TRADE IN'!$F152))</f>
        <v>1499</v>
      </c>
      <c r="AB152" s="45">
        <f>IF(VLOOKUP($C152,REV!$C:$AL,27,0)-'TRADE IN'!$F152=0,"",(VLOOKUP($C152,REV!$C:$AL,27,0)-'TRADE IN'!$F152))</f>
        <v>3899</v>
      </c>
      <c r="AC152" s="45">
        <f>IF(VLOOKUP($C152,REV!$C:$AL,28,0)-'TRADE IN'!$F152=0,"",(VLOOKUP($C152,REV!$C:$AL,28,0)-'TRADE IN'!$F152))</f>
        <v>3899</v>
      </c>
      <c r="AD152" s="45">
        <f>IF(VLOOKUP($C152,REV!$C:$AL,29,0)-'TRADE IN'!$F152=0,"",(VLOOKUP($C152,REV!$C:$AL,29,0)-'TRADE IN'!$F152))</f>
        <v>3799</v>
      </c>
      <c r="AE152" s="45">
        <f>IF(VLOOKUP($C152,REV!$C:$AL,30,0)-'TRADE IN'!$F152=0,"",(VLOOKUP($C152,REV!$C:$AL,30,0)-'TRADE IN'!$F152))</f>
        <v>3699</v>
      </c>
      <c r="AF152" s="45">
        <f>IF(VLOOKUP($C152,REV!$C:$AL,31,0)-'TRADE IN'!$F152=0,"",(VLOOKUP($C152,REV!$C:$AL,31,0)-'TRADE IN'!$F152))</f>
        <v>3699</v>
      </c>
      <c r="AG152" s="45">
        <f>IF(VLOOKUP($C152,REV!$C:$AL,31,0)-'TRADE IN'!$F152=0,"",(VLOOKUP($C152,REV!$C:$AL,31,0)-'TRADE IN'!$F152))</f>
        <v>3699</v>
      </c>
      <c r="AH152" s="45">
        <f>IF(VLOOKUP($C152,REV!$C:$AL,32,0)-'TRADE IN'!$F152=0,"",(VLOOKUP($C152,REV!$C:$AL,32,0)-'TRADE IN'!$F152))</f>
        <v>2999</v>
      </c>
      <c r="AI152" s="45">
        <f>IF(VLOOKUP($C152,REV!$C:$AL,33,0)-'TRADE IN'!$F152=0,"",(VLOOKUP($C152,REV!$C:$AL,33,0)-'TRADE IN'!$F152))</f>
        <v>2999</v>
      </c>
      <c r="AJ152" s="45">
        <f>IF(VLOOKUP($C152,REV!$C:$AL,34,0)-'TRADE IN'!$F152=0,"",(VLOOKUP($C152,REV!$C:$AL,34,0)-'TRADE IN'!$F152))</f>
        <v>2999</v>
      </c>
      <c r="AK152" s="45">
        <f>IF(VLOOKUP($C152,REV!$C:$AL,35,0)-'TRADE IN'!$F152=0,"",(VLOOKUP($C152,REV!$C:$AL,35,0)-'TRADE IN'!$F152))</f>
        <v>2999</v>
      </c>
      <c r="AL152" s="45">
        <f>IF(VLOOKUP($C152,REV!$C:$AL,36,0)-'TRADE IN'!$F152=0,"",(VLOOKUP($C152,REV!$C:$AL,36,0)-'TRADE IN'!$F152))</f>
        <v>1499</v>
      </c>
      <c r="AM152" s="45"/>
      <c r="AN152" s="45"/>
      <c r="AO152" s="45"/>
      <c r="AP152" s="45"/>
      <c r="AQ152" s="45"/>
      <c r="AR152" s="45"/>
      <c r="AS152" s="45"/>
      <c r="AT152" s="45"/>
      <c r="AU152" s="45"/>
      <c r="AV152" s="47"/>
      <c r="AW152" s="48" t="str">
        <f>REV!AW152</f>
        <v>13.08.2026</v>
      </c>
      <c r="AX152" s="149" t="s">
        <v>68</v>
      </c>
    </row>
    <row r="153" spans="1:50" ht="22" customHeight="1">
      <c r="A153" s="41" t="s">
        <v>63</v>
      </c>
      <c r="B153" s="42" t="s">
        <v>64</v>
      </c>
      <c r="C153" s="43">
        <v>4017666</v>
      </c>
      <c r="D153" s="57" t="s">
        <v>259</v>
      </c>
      <c r="E153" s="56" t="s">
        <v>260</v>
      </c>
      <c r="F153" s="54">
        <v>1000</v>
      </c>
      <c r="G153" s="45"/>
      <c r="H153" s="45"/>
      <c r="I153" s="45"/>
      <c r="J153" s="46">
        <f>IF(VLOOKUP($C153,REV!$C:$AA,8,0)-'TRADE IN'!$F153=0,"",(VLOOKUP($C153,REV!$C:$AA,8,0)-'TRADE IN'!$F153))</f>
        <v>3899</v>
      </c>
      <c r="K153" s="46">
        <f>IF(VLOOKUP($C153,REV!$C:$AA,9,0)-'TRADE IN'!$F153=0,"",(VLOOKUP($C153,REV!$C:$AA,9,0)-'TRADE IN'!$F153))</f>
        <v>3899</v>
      </c>
      <c r="L153" s="46">
        <f>IF(VLOOKUP($C153,REV!$C:$AA,10,0)-'TRADE IN'!$F153=0,"",(VLOOKUP($C153,REV!$C:$AA,10,0)-'TRADE IN'!$F153))</f>
        <v>3899</v>
      </c>
      <c r="M153" s="46">
        <f>IF(VLOOKUP($C153,REV!$C:$AA,11,0)-'TRADE IN'!$F153=0,"",(VLOOKUP($C153,REV!$C:$AA,11,0)-'TRADE IN'!$F153))</f>
        <v>3899</v>
      </c>
      <c r="N153" s="46">
        <f>IF(VLOOKUP($C153,REV!$C:$AA,12,0)-'TRADE IN'!$F153=0,"",(VLOOKUP($C153,REV!$C:$AA,12,0)-'TRADE IN'!$F153))</f>
        <v>3899</v>
      </c>
      <c r="O153" s="46">
        <f>IF(VLOOKUP($C153,REV!$C:$AA,13,0)-'TRADE IN'!$F153=0,"",(VLOOKUP($C153,REV!$C:$AA,13,0)-'TRADE IN'!$F153))</f>
        <v>3799</v>
      </c>
      <c r="P153" s="46">
        <f>IF(VLOOKUP($C153,REV!$C:$AA,14,0)-'TRADE IN'!$F153=0,"",(VLOOKUP($C153,REV!$C:$AA,14,0)-'TRADE IN'!$F153))</f>
        <v>3699</v>
      </c>
      <c r="Q153" s="46">
        <f>IF(VLOOKUP($C153,REV!$C:$AA,15,0)-'TRADE IN'!$F153=0,"",(VLOOKUP($C153,REV!$C:$AA,15,0)-'TRADE IN'!$F153))</f>
        <v>2999</v>
      </c>
      <c r="R153" s="46">
        <f>IF(VLOOKUP($C153,REV!$C:$AA,16,0)-'TRADE IN'!$F153=0,"",(VLOOKUP($C153,REV!$C:$AA,16,0)-'TRADE IN'!$F153))</f>
        <v>3799</v>
      </c>
      <c r="S153" s="46">
        <f>IF(VLOOKUP($C153,REV!$C:$AA,17,0)-'TRADE IN'!$F153=0,"",(VLOOKUP($C153,REV!$C:$AA,17,0)-'TRADE IN'!$F153))</f>
        <v>3699</v>
      </c>
      <c r="T153" s="46">
        <f>IF(VLOOKUP($C153,REV!$C:$AA,18,0)-'TRADE IN'!$F153=0,"",(VLOOKUP($C153,REV!$C:$AA,18,0)-'TRADE IN'!$F153))</f>
        <v>2999</v>
      </c>
      <c r="U153" s="46">
        <f>IF(VLOOKUP($C153,REV!$C:$AA,19,0)-'TRADE IN'!$F153=0,"",(VLOOKUP($C153,REV!$C:$AA,19,0)-'TRADE IN'!$F153))</f>
        <v>2999</v>
      </c>
      <c r="V153" s="46">
        <f>IF(VLOOKUP($C153,REV!$C:$AA,20,0)-'TRADE IN'!$F153=0,"",(VLOOKUP($C153,REV!$C:$AA,20,0)-'TRADE IN'!$F153))</f>
        <v>2999</v>
      </c>
      <c r="W153" s="46">
        <f>IF(VLOOKUP($C153,REV!$C:$AA,21,0)-'TRADE IN'!$F153=0,"",(VLOOKUP($C153,REV!$C:$AA,21,0)-'TRADE IN'!$F153))</f>
        <v>2999</v>
      </c>
      <c r="X153" s="46">
        <f>IF(VLOOKUP($C153,REV!$C:$AA,22,0)-'TRADE IN'!$F153=0,"",(VLOOKUP($C153,REV!$C:$AA,22,0)-'TRADE IN'!$F153))</f>
        <v>2899</v>
      </c>
      <c r="Y153" s="46">
        <f>IF(VLOOKUP($C153,REV!$C:$AA,23,0)-'TRADE IN'!$F153=0,"",(VLOOKUP($C153,REV!$C:$AA,23,0)-'TRADE IN'!$F153))</f>
        <v>1499</v>
      </c>
      <c r="Z153" s="46">
        <f>IF(VLOOKUP($C153,REV!$C:$AA,24,0)-'TRADE IN'!$F153=0,"",(VLOOKUP($C153,REV!$C:$AA,24,0)-'TRADE IN'!$F153))</f>
        <v>1499</v>
      </c>
      <c r="AA153" s="46">
        <f>IF(VLOOKUP($C153,REV!$C:$AA,25,0)-'TRADE IN'!$F153=0,"",(VLOOKUP($C153,REV!$C:$AA,25,0)-'TRADE IN'!$F153))</f>
        <v>1499</v>
      </c>
      <c r="AB153" s="45"/>
      <c r="AC153" s="45"/>
      <c r="AD153" s="45"/>
      <c r="AE153" s="45"/>
      <c r="AF153" s="45"/>
      <c r="AG153" s="45"/>
      <c r="AH153" s="45"/>
      <c r="AI153" s="45"/>
      <c r="AJ153" s="45"/>
      <c r="AK153" s="45"/>
      <c r="AL153" s="45"/>
      <c r="AM153" s="45"/>
      <c r="AN153" s="45"/>
      <c r="AO153" s="45"/>
      <c r="AP153" s="45"/>
      <c r="AQ153" s="45"/>
      <c r="AR153" s="45"/>
      <c r="AS153" s="45"/>
      <c r="AT153" s="45"/>
      <c r="AU153" s="45"/>
      <c r="AV153" s="47"/>
      <c r="AW153" s="48" t="str">
        <f>REV!AW153</f>
        <v>13.08.2026</v>
      </c>
      <c r="AX153" s="149" t="s">
        <v>68</v>
      </c>
    </row>
    <row r="154" spans="1:50" ht="22.5" customHeight="1">
      <c r="A154" s="55" t="s">
        <v>222</v>
      </c>
      <c r="B154" s="42" t="s">
        <v>64</v>
      </c>
      <c r="C154" s="43">
        <v>4014667</v>
      </c>
      <c r="D154" s="56" t="s">
        <v>261</v>
      </c>
      <c r="E154" s="56" t="s">
        <v>262</v>
      </c>
      <c r="F154" s="45">
        <v>100</v>
      </c>
      <c r="G154" s="45"/>
      <c r="H154" s="45"/>
      <c r="I154" s="45"/>
      <c r="J154" s="46">
        <f>IF(VLOOKUP($C154,REV!$C:$AA,8,0)-'TRADE IN'!$F154=0,"",(VLOOKUP($C154,REV!$C:$AA,8,0)-'TRADE IN'!$F154))</f>
        <v>299</v>
      </c>
      <c r="K154" s="46">
        <f>IF(VLOOKUP($C154,REV!$C:$AA,9,0)-'TRADE IN'!$F154=0,"",(VLOOKUP($C154,REV!$C:$AA,9,0)-'TRADE IN'!$F154))</f>
        <v>299</v>
      </c>
      <c r="L154" s="46">
        <f>IF(VLOOKUP($C154,REV!$C:$AA,10,0)-'TRADE IN'!$F154=0,"",(VLOOKUP($C154,REV!$C:$AA,10,0)-'TRADE IN'!$F154))</f>
        <v>299</v>
      </c>
      <c r="M154" s="46">
        <f>IF(VLOOKUP($C154,REV!$C:$AA,11,0)-'TRADE IN'!$F154=0,"",(VLOOKUP($C154,REV!$C:$AA,11,0)-'TRADE IN'!$F154))</f>
        <v>299</v>
      </c>
      <c r="N154" s="46">
        <f>IF(VLOOKUP($C154,REV!$C:$AA,12,0)-'TRADE IN'!$F154=0,"",(VLOOKUP($C154,REV!$C:$AA,12,0)-'TRADE IN'!$F154))</f>
        <v>299</v>
      </c>
      <c r="O154" s="46">
        <f>IF(VLOOKUP($C154,REV!$C:$AA,13,0)-'TRADE IN'!$F154=0,"",(VLOOKUP($C154,REV!$C:$AA,13,0)-'TRADE IN'!$F154))</f>
        <v>249</v>
      </c>
      <c r="P154" s="46">
        <f>IF(VLOOKUP($C154,REV!$C:$AA,14,0)-'TRADE IN'!$F154=0,"",(VLOOKUP($C154,REV!$C:$AA,14,0)-'TRADE IN'!$F154))</f>
        <v>199</v>
      </c>
      <c r="Q154" s="46">
        <f>IF(VLOOKUP($C154,REV!$C:$AA,15,0)-'TRADE IN'!$F154=0,"",(VLOOKUP($C154,REV!$C:$AA,15,0)-'TRADE IN'!$F154))</f>
        <v>199</v>
      </c>
      <c r="R154" s="46">
        <f>IF(VLOOKUP($C154,REV!$C:$AA,16,0)-'TRADE IN'!$F154=0,"",(VLOOKUP($C154,REV!$C:$AA,16,0)-'TRADE IN'!$F154))</f>
        <v>249</v>
      </c>
      <c r="S154" s="46">
        <f>IF(VLOOKUP($C154,REV!$C:$AA,17,0)-'TRADE IN'!$F154=0,"",(VLOOKUP($C154,REV!$C:$AA,17,0)-'TRADE IN'!$F154))</f>
        <v>199</v>
      </c>
      <c r="T154" s="46">
        <f>IF(VLOOKUP($C154,REV!$C:$AA,18,0)-'TRADE IN'!$F154=0,"",(VLOOKUP($C154,REV!$C:$AA,18,0)-'TRADE IN'!$F154))</f>
        <v>199</v>
      </c>
      <c r="U154" s="46">
        <f>IF(VLOOKUP($C154,REV!$C:$AA,19,0)-'TRADE IN'!$F154=0,"",(VLOOKUP($C154,REV!$C:$AA,19,0)-'TRADE IN'!$F154))</f>
        <v>199</v>
      </c>
      <c r="V154" s="46">
        <f>IF(VLOOKUP($C154,REV!$C:$AA,20,0)-'TRADE IN'!$F154=0,"",(VLOOKUP($C154,REV!$C:$AA,20,0)-'TRADE IN'!$F154))</f>
        <v>199</v>
      </c>
      <c r="W154" s="46">
        <f>IF(VLOOKUP($C154,REV!$C:$AA,21,0)-'TRADE IN'!$F154=0,"",(VLOOKUP($C154,REV!$C:$AA,21,0)-'TRADE IN'!$F154))</f>
        <v>199</v>
      </c>
      <c r="X154" s="46">
        <f>IF(VLOOKUP($C154,REV!$C:$AA,22,0)-'TRADE IN'!$F154=0,"",(VLOOKUP($C154,REV!$C:$AA,22,0)-'TRADE IN'!$F154))</f>
        <v>199</v>
      </c>
      <c r="Y154" s="46">
        <f>IF(VLOOKUP($C154,REV!$C:$AA,23,0)-'TRADE IN'!$F154=0,"",(VLOOKUP($C154,REV!$C:$AA,23,0)-'TRADE IN'!$F154))</f>
        <v>199</v>
      </c>
      <c r="Z154" s="46">
        <f>IF(VLOOKUP($C154,REV!$C:$AA,24,0)-'TRADE IN'!$F154=0,"",(VLOOKUP($C154,REV!$C:$AA,24,0)-'TRADE IN'!$F154))</f>
        <v>199</v>
      </c>
      <c r="AA154" s="46">
        <f>IF(VLOOKUP($C154,REV!$C:$AA,25,0)-'TRADE IN'!$F154=0,"",(VLOOKUP($C154,REV!$C:$AA,25,0)-'TRADE IN'!$F154))</f>
        <v>199</v>
      </c>
      <c r="AB154" s="45"/>
      <c r="AC154" s="45"/>
      <c r="AD154" s="45"/>
      <c r="AE154" s="45"/>
      <c r="AF154" s="45"/>
      <c r="AG154" s="45"/>
      <c r="AH154" s="45"/>
      <c r="AI154" s="45"/>
      <c r="AJ154" s="45"/>
      <c r="AK154" s="45"/>
      <c r="AL154" s="45"/>
      <c r="AM154" s="45"/>
      <c r="AN154" s="45"/>
      <c r="AO154" s="45"/>
      <c r="AP154" s="45"/>
      <c r="AQ154" s="45"/>
      <c r="AR154" s="45"/>
      <c r="AS154" s="45"/>
      <c r="AT154" s="45"/>
      <c r="AU154" s="45"/>
      <c r="AV154" s="47"/>
      <c r="AW154" s="48" t="str">
        <f>REV!AW154</f>
        <v>13.08.2026</v>
      </c>
      <c r="AX154" s="149" t="s">
        <v>230</v>
      </c>
    </row>
    <row r="155" spans="1:50" ht="22.5" customHeight="1">
      <c r="A155" s="55" t="s">
        <v>222</v>
      </c>
      <c r="B155" s="42" t="s">
        <v>64</v>
      </c>
      <c r="C155" s="43">
        <v>4014668</v>
      </c>
      <c r="D155" s="56" t="s">
        <v>261</v>
      </c>
      <c r="E155" s="56" t="s">
        <v>263</v>
      </c>
      <c r="F155" s="45">
        <v>100</v>
      </c>
      <c r="G155" s="45"/>
      <c r="H155" s="45"/>
      <c r="I155" s="45"/>
      <c r="J155" s="46">
        <f>IF(VLOOKUP($C155,REV!$C:$AA,8,0)-'TRADE IN'!$F155=0,"",(VLOOKUP($C155,REV!$C:$AA,8,0)-'TRADE IN'!$F155))</f>
        <v>299</v>
      </c>
      <c r="K155" s="46">
        <f>IF(VLOOKUP($C155,REV!$C:$AA,9,0)-'TRADE IN'!$F155=0,"",(VLOOKUP($C155,REV!$C:$AA,9,0)-'TRADE IN'!$F155))</f>
        <v>299</v>
      </c>
      <c r="L155" s="46">
        <f>IF(VLOOKUP($C155,REV!$C:$AA,10,0)-'TRADE IN'!$F155=0,"",(VLOOKUP($C155,REV!$C:$AA,10,0)-'TRADE IN'!$F155))</f>
        <v>299</v>
      </c>
      <c r="M155" s="46">
        <f>IF(VLOOKUP($C155,REV!$C:$AA,11,0)-'TRADE IN'!$F155=0,"",(VLOOKUP($C155,REV!$C:$AA,11,0)-'TRADE IN'!$F155))</f>
        <v>299</v>
      </c>
      <c r="N155" s="46">
        <f>IF(VLOOKUP($C155,REV!$C:$AA,12,0)-'TRADE IN'!$F155=0,"",(VLOOKUP($C155,REV!$C:$AA,12,0)-'TRADE IN'!$F155))</f>
        <v>299</v>
      </c>
      <c r="O155" s="46">
        <f>IF(VLOOKUP($C155,REV!$C:$AA,13,0)-'TRADE IN'!$F155=0,"",(VLOOKUP($C155,REV!$C:$AA,13,0)-'TRADE IN'!$F155))</f>
        <v>249</v>
      </c>
      <c r="P155" s="46">
        <f>IF(VLOOKUP($C155,REV!$C:$AA,14,0)-'TRADE IN'!$F155=0,"",(VLOOKUP($C155,REV!$C:$AA,14,0)-'TRADE IN'!$F155))</f>
        <v>199</v>
      </c>
      <c r="Q155" s="46">
        <f>IF(VLOOKUP($C155,REV!$C:$AA,15,0)-'TRADE IN'!$F155=0,"",(VLOOKUP($C155,REV!$C:$AA,15,0)-'TRADE IN'!$F155))</f>
        <v>199</v>
      </c>
      <c r="R155" s="46">
        <f>IF(VLOOKUP($C155,REV!$C:$AA,16,0)-'TRADE IN'!$F155=0,"",(VLOOKUP($C155,REV!$C:$AA,16,0)-'TRADE IN'!$F155))</f>
        <v>249</v>
      </c>
      <c r="S155" s="46">
        <f>IF(VLOOKUP($C155,REV!$C:$AA,17,0)-'TRADE IN'!$F155=0,"",(VLOOKUP($C155,REV!$C:$AA,17,0)-'TRADE IN'!$F155))</f>
        <v>199</v>
      </c>
      <c r="T155" s="46">
        <f>IF(VLOOKUP($C155,REV!$C:$AA,18,0)-'TRADE IN'!$F155=0,"",(VLOOKUP($C155,REV!$C:$AA,18,0)-'TRADE IN'!$F155))</f>
        <v>199</v>
      </c>
      <c r="U155" s="46">
        <f>IF(VLOOKUP($C155,REV!$C:$AA,19,0)-'TRADE IN'!$F155=0,"",(VLOOKUP($C155,REV!$C:$AA,19,0)-'TRADE IN'!$F155))</f>
        <v>199</v>
      </c>
      <c r="V155" s="46">
        <f>IF(VLOOKUP($C155,REV!$C:$AA,20,0)-'TRADE IN'!$F155=0,"",(VLOOKUP($C155,REV!$C:$AA,20,0)-'TRADE IN'!$F155))</f>
        <v>199</v>
      </c>
      <c r="W155" s="46">
        <f>IF(VLOOKUP($C155,REV!$C:$AA,21,0)-'TRADE IN'!$F155=0,"",(VLOOKUP($C155,REV!$C:$AA,21,0)-'TRADE IN'!$F155))</f>
        <v>199</v>
      </c>
      <c r="X155" s="46">
        <f>IF(VLOOKUP($C155,REV!$C:$AA,22,0)-'TRADE IN'!$F155=0,"",(VLOOKUP($C155,REV!$C:$AA,22,0)-'TRADE IN'!$F155))</f>
        <v>199</v>
      </c>
      <c r="Y155" s="46">
        <f>IF(VLOOKUP($C155,REV!$C:$AA,23,0)-'TRADE IN'!$F155=0,"",(VLOOKUP($C155,REV!$C:$AA,23,0)-'TRADE IN'!$F155))</f>
        <v>199</v>
      </c>
      <c r="Z155" s="46">
        <f>IF(VLOOKUP($C155,REV!$C:$AA,24,0)-'TRADE IN'!$F155=0,"",(VLOOKUP($C155,REV!$C:$AA,24,0)-'TRADE IN'!$F155))</f>
        <v>199</v>
      </c>
      <c r="AA155" s="46">
        <f>IF(VLOOKUP($C155,REV!$C:$AA,25,0)-'TRADE IN'!$F155=0,"",(VLOOKUP($C155,REV!$C:$AA,25,0)-'TRADE IN'!$F155))</f>
        <v>199</v>
      </c>
      <c r="AB155" s="45"/>
      <c r="AC155" s="45"/>
      <c r="AD155" s="45"/>
      <c r="AE155" s="45"/>
      <c r="AF155" s="45"/>
      <c r="AG155" s="45"/>
      <c r="AH155" s="45"/>
      <c r="AI155" s="45"/>
      <c r="AJ155" s="45"/>
      <c r="AK155" s="45"/>
      <c r="AL155" s="45"/>
      <c r="AM155" s="45"/>
      <c r="AN155" s="45"/>
      <c r="AO155" s="45"/>
      <c r="AP155" s="45"/>
      <c r="AQ155" s="45"/>
      <c r="AR155" s="45"/>
      <c r="AS155" s="45"/>
      <c r="AT155" s="45"/>
      <c r="AU155" s="45"/>
      <c r="AV155" s="47"/>
      <c r="AW155" s="48" t="str">
        <f>REV!AW155</f>
        <v>13.08.2026</v>
      </c>
      <c r="AX155" s="149" t="s">
        <v>230</v>
      </c>
    </row>
    <row r="156" spans="1:50" ht="22.5" customHeight="1">
      <c r="A156" s="55" t="s">
        <v>222</v>
      </c>
      <c r="B156" s="42" t="s">
        <v>64</v>
      </c>
      <c r="C156" s="43">
        <v>4016017</v>
      </c>
      <c r="D156" s="44" t="s">
        <v>264</v>
      </c>
      <c r="E156" s="44" t="s">
        <v>265</v>
      </c>
      <c r="F156" s="45">
        <v>100</v>
      </c>
      <c r="G156" s="45"/>
      <c r="H156" s="45"/>
      <c r="I156" s="45"/>
      <c r="J156" s="46">
        <f>IF(VLOOKUP($C156,REV!$C:$AA,8,0)-'TRADE IN'!$F156=0,"",(VLOOKUP($C156,REV!$C:$AA,8,0)-'TRADE IN'!$F156))</f>
        <v>599</v>
      </c>
      <c r="K156" s="46">
        <f>IF(VLOOKUP($C156,REV!$C:$AA,9,0)-'TRADE IN'!$F156=0,"",(VLOOKUP($C156,REV!$C:$AA,9,0)-'TRADE IN'!$F156))</f>
        <v>599</v>
      </c>
      <c r="L156" s="46">
        <f>IF(VLOOKUP($C156,REV!$C:$AA,10,0)-'TRADE IN'!$F156=0,"",(VLOOKUP($C156,REV!$C:$AA,10,0)-'TRADE IN'!$F156))</f>
        <v>599</v>
      </c>
      <c r="M156" s="46">
        <f>IF(VLOOKUP($C156,REV!$C:$AA,11,0)-'TRADE IN'!$F156=0,"",(VLOOKUP($C156,REV!$C:$AA,11,0)-'TRADE IN'!$F156))</f>
        <v>599</v>
      </c>
      <c r="N156" s="46">
        <f>IF(VLOOKUP($C156,REV!$C:$AA,12,0)-'TRADE IN'!$F156=0,"",(VLOOKUP($C156,REV!$C:$AA,12,0)-'TRADE IN'!$F156))</f>
        <v>599</v>
      </c>
      <c r="O156" s="46">
        <f>IF(VLOOKUP($C156,REV!$C:$AA,13,0)-'TRADE IN'!$F156=0,"",(VLOOKUP($C156,REV!$C:$AA,13,0)-'TRADE IN'!$F156))</f>
        <v>549</v>
      </c>
      <c r="P156" s="46">
        <f>IF(VLOOKUP($C156,REV!$C:$AA,14,0)-'TRADE IN'!$F156=0,"",(VLOOKUP($C156,REV!$C:$AA,14,0)-'TRADE IN'!$F156))</f>
        <v>499</v>
      </c>
      <c r="Q156" s="46">
        <f>IF(VLOOKUP($C156,REV!$C:$AA,15,0)-'TRADE IN'!$F156=0,"",(VLOOKUP($C156,REV!$C:$AA,15,0)-'TRADE IN'!$F156))</f>
        <v>499</v>
      </c>
      <c r="R156" s="46">
        <f>IF(VLOOKUP($C156,REV!$C:$AA,16,0)-'TRADE IN'!$F156=0,"",(VLOOKUP($C156,REV!$C:$AA,16,0)-'TRADE IN'!$F156))</f>
        <v>549</v>
      </c>
      <c r="S156" s="46">
        <f>IF(VLOOKUP($C156,REV!$C:$AA,17,0)-'TRADE IN'!$F156=0,"",(VLOOKUP($C156,REV!$C:$AA,17,0)-'TRADE IN'!$F156))</f>
        <v>499</v>
      </c>
      <c r="T156" s="46">
        <f>IF(VLOOKUP($C156,REV!$C:$AA,18,0)-'TRADE IN'!$F156=0,"",(VLOOKUP($C156,REV!$C:$AA,18,0)-'TRADE IN'!$F156))</f>
        <v>499</v>
      </c>
      <c r="U156" s="46">
        <f>IF(VLOOKUP($C156,REV!$C:$AA,19,0)-'TRADE IN'!$F156=0,"",(VLOOKUP($C156,REV!$C:$AA,19,0)-'TRADE IN'!$F156))</f>
        <v>499</v>
      </c>
      <c r="V156" s="46">
        <f>IF(VLOOKUP($C156,REV!$C:$AA,20,0)-'TRADE IN'!$F156=0,"",(VLOOKUP($C156,REV!$C:$AA,20,0)-'TRADE IN'!$F156))</f>
        <v>499</v>
      </c>
      <c r="W156" s="46">
        <f>IF(VLOOKUP($C156,REV!$C:$AA,21,0)-'TRADE IN'!$F156=0,"",(VLOOKUP($C156,REV!$C:$AA,21,0)-'TRADE IN'!$F156))</f>
        <v>499</v>
      </c>
      <c r="X156" s="46">
        <f>IF(VLOOKUP($C156,REV!$C:$AA,22,0)-'TRADE IN'!$F156=0,"",(VLOOKUP($C156,REV!$C:$AA,22,0)-'TRADE IN'!$F156))</f>
        <v>499</v>
      </c>
      <c r="Y156" s="46">
        <f>IF(VLOOKUP($C156,REV!$C:$AA,23,0)-'TRADE IN'!$F156=0,"",(VLOOKUP($C156,REV!$C:$AA,23,0)-'TRADE IN'!$F156))</f>
        <v>499</v>
      </c>
      <c r="Z156" s="46">
        <f>IF(VLOOKUP($C156,REV!$C:$AA,24,0)-'TRADE IN'!$F156=0,"",(VLOOKUP($C156,REV!$C:$AA,24,0)-'TRADE IN'!$F156))</f>
        <v>499</v>
      </c>
      <c r="AA156" s="46">
        <f>IF(VLOOKUP($C156,REV!$C:$AA,25,0)-'TRADE IN'!$F156=0,"",(VLOOKUP($C156,REV!$C:$AA,25,0)-'TRADE IN'!$F156))</f>
        <v>499</v>
      </c>
      <c r="AB156" s="45"/>
      <c r="AC156" s="45"/>
      <c r="AD156" s="45"/>
      <c r="AE156" s="45"/>
      <c r="AF156" s="45"/>
      <c r="AG156" s="45"/>
      <c r="AH156" s="45"/>
      <c r="AI156" s="45"/>
      <c r="AJ156" s="45"/>
      <c r="AK156" s="45"/>
      <c r="AL156" s="45"/>
      <c r="AM156" s="45"/>
      <c r="AN156" s="45"/>
      <c r="AO156" s="45"/>
      <c r="AP156" s="45"/>
      <c r="AQ156" s="45"/>
      <c r="AR156" s="45"/>
      <c r="AS156" s="45"/>
      <c r="AT156" s="45"/>
      <c r="AU156" s="45"/>
      <c r="AV156" s="47"/>
      <c r="AW156" s="48" t="str">
        <f>REV!AW156</f>
        <v>13.08.2026</v>
      </c>
      <c r="AX156" s="149" t="s">
        <v>230</v>
      </c>
    </row>
    <row r="157" spans="1:50" ht="22.5" customHeight="1">
      <c r="A157" s="55" t="s">
        <v>222</v>
      </c>
      <c r="B157" s="42" t="s">
        <v>64</v>
      </c>
      <c r="C157" s="43">
        <v>4016281</v>
      </c>
      <c r="D157" s="44" t="s">
        <v>266</v>
      </c>
      <c r="E157" s="44" t="s">
        <v>267</v>
      </c>
      <c r="F157" s="45">
        <v>100</v>
      </c>
      <c r="G157" s="45"/>
      <c r="H157" s="45"/>
      <c r="I157" s="45"/>
      <c r="J157" s="46">
        <f>IF(VLOOKUP($C157,REV!$C:$AA,8,0)-'TRADE IN'!$F157=0,"",(VLOOKUP($C157,REV!$C:$AA,8,0)-'TRADE IN'!$F157))</f>
        <v>599</v>
      </c>
      <c r="K157" s="46">
        <f>IF(VLOOKUP($C157,REV!$C:$AA,9,0)-'TRADE IN'!$F157=0,"",(VLOOKUP($C157,REV!$C:$AA,9,0)-'TRADE IN'!$F157))</f>
        <v>599</v>
      </c>
      <c r="L157" s="46">
        <f>IF(VLOOKUP($C157,REV!$C:$AA,10,0)-'TRADE IN'!$F157=0,"",(VLOOKUP($C157,REV!$C:$AA,10,0)-'TRADE IN'!$F157))</f>
        <v>599</v>
      </c>
      <c r="M157" s="46">
        <f>IF(VLOOKUP($C157,REV!$C:$AA,11,0)-'TRADE IN'!$F157=0,"",(VLOOKUP($C157,REV!$C:$AA,11,0)-'TRADE IN'!$F157))</f>
        <v>599</v>
      </c>
      <c r="N157" s="46">
        <f>IF(VLOOKUP($C157,REV!$C:$AA,12,0)-'TRADE IN'!$F157=0,"",(VLOOKUP($C157,REV!$C:$AA,12,0)-'TRADE IN'!$F157))</f>
        <v>599</v>
      </c>
      <c r="O157" s="46">
        <f>IF(VLOOKUP($C157,REV!$C:$AA,13,0)-'TRADE IN'!$F157=0,"",(VLOOKUP($C157,REV!$C:$AA,13,0)-'TRADE IN'!$F157))</f>
        <v>549</v>
      </c>
      <c r="P157" s="46">
        <f>IF(VLOOKUP($C157,REV!$C:$AA,14,0)-'TRADE IN'!$F157=0,"",(VLOOKUP($C157,REV!$C:$AA,14,0)-'TRADE IN'!$F157))</f>
        <v>549</v>
      </c>
      <c r="Q157" s="46">
        <f>IF(VLOOKUP($C157,REV!$C:$AA,15,0)-'TRADE IN'!$F157=0,"",(VLOOKUP($C157,REV!$C:$AA,15,0)-'TRADE IN'!$F157))</f>
        <v>549</v>
      </c>
      <c r="R157" s="46">
        <f>IF(VLOOKUP($C157,REV!$C:$AA,16,0)-'TRADE IN'!$F157=0,"",(VLOOKUP($C157,REV!$C:$AA,16,0)-'TRADE IN'!$F157))</f>
        <v>549</v>
      </c>
      <c r="S157" s="46">
        <f>IF(VLOOKUP($C157,REV!$C:$AA,17,0)-'TRADE IN'!$F157=0,"",(VLOOKUP($C157,REV!$C:$AA,17,0)-'TRADE IN'!$F157))</f>
        <v>549</v>
      </c>
      <c r="T157" s="46">
        <f>IF(VLOOKUP($C157,REV!$C:$AA,18,0)-'TRADE IN'!$F157=0,"",(VLOOKUP($C157,REV!$C:$AA,18,0)-'TRADE IN'!$F157))</f>
        <v>549</v>
      </c>
      <c r="U157" s="46">
        <f>IF(VLOOKUP($C157,REV!$C:$AA,19,0)-'TRADE IN'!$F157=0,"",(VLOOKUP($C157,REV!$C:$AA,19,0)-'TRADE IN'!$F157))</f>
        <v>549</v>
      </c>
      <c r="V157" s="46">
        <f>IF(VLOOKUP($C157,REV!$C:$AA,20,0)-'TRADE IN'!$F157=0,"",(VLOOKUP($C157,REV!$C:$AA,20,0)-'TRADE IN'!$F157))</f>
        <v>549</v>
      </c>
      <c r="W157" s="46">
        <f>IF(VLOOKUP($C157,REV!$C:$AA,21,0)-'TRADE IN'!$F157=0,"",(VLOOKUP($C157,REV!$C:$AA,21,0)-'TRADE IN'!$F157))</f>
        <v>549</v>
      </c>
      <c r="X157" s="46">
        <f>IF(VLOOKUP($C157,REV!$C:$AA,22,0)-'TRADE IN'!$F157=0,"",(VLOOKUP($C157,REV!$C:$AA,22,0)-'TRADE IN'!$F157))</f>
        <v>549</v>
      </c>
      <c r="Y157" s="46">
        <f>IF(VLOOKUP($C157,REV!$C:$AA,23,0)-'TRADE IN'!$F157=0,"",(VLOOKUP($C157,REV!$C:$AA,23,0)-'TRADE IN'!$F157))</f>
        <v>549</v>
      </c>
      <c r="Z157" s="46">
        <f>IF(VLOOKUP($C157,REV!$C:$AA,24,0)-'TRADE IN'!$F157=0,"",(VLOOKUP($C157,REV!$C:$AA,24,0)-'TRADE IN'!$F157))</f>
        <v>549</v>
      </c>
      <c r="AA157" s="46">
        <f>IF(VLOOKUP($C157,REV!$C:$AA,25,0)-'TRADE IN'!$F157=0,"",(VLOOKUP($C157,REV!$C:$AA,25,0)-'TRADE IN'!$F157))</f>
        <v>549</v>
      </c>
      <c r="AB157" s="45"/>
      <c r="AC157" s="45"/>
      <c r="AD157" s="45"/>
      <c r="AE157" s="45"/>
      <c r="AF157" s="45"/>
      <c r="AG157" s="45"/>
      <c r="AH157" s="45"/>
      <c r="AI157" s="45"/>
      <c r="AJ157" s="45"/>
      <c r="AK157" s="45"/>
      <c r="AL157" s="45"/>
      <c r="AM157" s="45"/>
      <c r="AN157" s="45"/>
      <c r="AO157" s="45"/>
      <c r="AP157" s="45"/>
      <c r="AQ157" s="45"/>
      <c r="AR157" s="45"/>
      <c r="AS157" s="45"/>
      <c r="AT157" s="45"/>
      <c r="AU157" s="45"/>
      <c r="AV157" s="47"/>
      <c r="AW157" s="48" t="str">
        <f>REV!AW157</f>
        <v>13.08.2026</v>
      </c>
      <c r="AX157" s="149" t="s">
        <v>230</v>
      </c>
    </row>
    <row r="158" spans="1:50" ht="22.5" customHeight="1">
      <c r="A158" s="55" t="s">
        <v>222</v>
      </c>
      <c r="B158" s="42" t="s">
        <v>64</v>
      </c>
      <c r="C158" s="43">
        <v>4016801</v>
      </c>
      <c r="D158" s="58" t="s">
        <v>268</v>
      </c>
      <c r="E158" s="58" t="s">
        <v>269</v>
      </c>
      <c r="F158" s="45">
        <v>100</v>
      </c>
      <c r="G158" s="45"/>
      <c r="H158" s="45"/>
      <c r="I158" s="45"/>
      <c r="J158" s="46">
        <f>IF(VLOOKUP($C158,REV!$C:$AA,8,0)-'TRADE IN'!$F158=0,"",(VLOOKUP($C158,REV!$C:$AA,8,0)-'TRADE IN'!$F158))</f>
        <v>499</v>
      </c>
      <c r="K158" s="46">
        <f>IF(VLOOKUP($C158,REV!$C:$AA,9,0)-'TRADE IN'!$F158=0,"",(VLOOKUP($C158,REV!$C:$AA,9,0)-'TRADE IN'!$F158))</f>
        <v>399</v>
      </c>
      <c r="L158" s="46">
        <f>IF(VLOOKUP($C158,REV!$C:$AA,10,0)-'TRADE IN'!$F158=0,"",(VLOOKUP($C158,REV!$C:$AA,10,0)-'TRADE IN'!$F158))</f>
        <v>399</v>
      </c>
      <c r="M158" s="46">
        <f>IF(VLOOKUP($C158,REV!$C:$AA,11,0)-'TRADE IN'!$F158=0,"",(VLOOKUP($C158,REV!$C:$AA,11,0)-'TRADE IN'!$F158))</f>
        <v>499</v>
      </c>
      <c r="N158" s="46">
        <f>IF(VLOOKUP($C158,REV!$C:$AA,12,0)-'TRADE IN'!$F158=0,"",(VLOOKUP($C158,REV!$C:$AA,12,0)-'TRADE IN'!$F158))</f>
        <v>399</v>
      </c>
      <c r="O158" s="46">
        <f>IF(VLOOKUP($C158,REV!$C:$AA,13,0)-'TRADE IN'!$F158=0,"",(VLOOKUP($C158,REV!$C:$AA,13,0)-'TRADE IN'!$F158))</f>
        <v>399</v>
      </c>
      <c r="P158" s="46">
        <f>IF(VLOOKUP($C158,REV!$C:$AA,14,0)-'TRADE IN'!$F158=0,"",(VLOOKUP($C158,REV!$C:$AA,14,0)-'TRADE IN'!$F158))</f>
        <v>399</v>
      </c>
      <c r="Q158" s="46">
        <f>IF(VLOOKUP($C158,REV!$C:$AA,15,0)-'TRADE IN'!$F158=0,"",(VLOOKUP($C158,REV!$C:$AA,15,0)-'TRADE IN'!$F158))</f>
        <v>399</v>
      </c>
      <c r="R158" s="46">
        <f>IF(VLOOKUP($C158,REV!$C:$AA,16,0)-'TRADE IN'!$F158=0,"",(VLOOKUP($C158,REV!$C:$AA,16,0)-'TRADE IN'!$F158))</f>
        <v>399</v>
      </c>
      <c r="S158" s="46">
        <f>IF(VLOOKUP($C158,REV!$C:$AA,17,0)-'TRADE IN'!$F158=0,"",(VLOOKUP($C158,REV!$C:$AA,17,0)-'TRADE IN'!$F158))</f>
        <v>399</v>
      </c>
      <c r="T158" s="46">
        <f>IF(VLOOKUP($C158,REV!$C:$AA,18,0)-'TRADE IN'!$F158=0,"",(VLOOKUP($C158,REV!$C:$AA,18,0)-'TRADE IN'!$F158))</f>
        <v>399</v>
      </c>
      <c r="U158" s="46">
        <f>IF(VLOOKUP($C158,REV!$C:$AA,19,0)-'TRADE IN'!$F158=0,"",(VLOOKUP($C158,REV!$C:$AA,19,0)-'TRADE IN'!$F158))</f>
        <v>399</v>
      </c>
      <c r="V158" s="46">
        <f>IF(VLOOKUP($C158,REV!$C:$AA,20,0)-'TRADE IN'!$F158=0,"",(VLOOKUP($C158,REV!$C:$AA,20,0)-'TRADE IN'!$F158))</f>
        <v>399</v>
      </c>
      <c r="W158" s="46">
        <f>IF(VLOOKUP($C158,REV!$C:$AA,21,0)-'TRADE IN'!$F158=0,"",(VLOOKUP($C158,REV!$C:$AA,21,0)-'TRADE IN'!$F158))</f>
        <v>399</v>
      </c>
      <c r="X158" s="46">
        <f>IF(VLOOKUP($C158,REV!$C:$AA,22,0)-'TRADE IN'!$F158=0,"",(VLOOKUP($C158,REV!$C:$AA,22,0)-'TRADE IN'!$F158))</f>
        <v>399</v>
      </c>
      <c r="Y158" s="46">
        <f>IF(VLOOKUP($C158,REV!$C:$AA,23,0)-'TRADE IN'!$F158=0,"",(VLOOKUP($C158,REV!$C:$AA,23,0)-'TRADE IN'!$F158))</f>
        <v>399</v>
      </c>
      <c r="Z158" s="46">
        <f>IF(VLOOKUP($C158,REV!$C:$AA,24,0)-'TRADE IN'!$F158=0,"",(VLOOKUP($C158,REV!$C:$AA,24,0)-'TRADE IN'!$F158))</f>
        <v>399</v>
      </c>
      <c r="AA158" s="46">
        <f>IF(VLOOKUP($C158,REV!$C:$AA,25,0)-'TRADE IN'!$F158=0,"",(VLOOKUP($C158,REV!$C:$AA,25,0)-'TRADE IN'!$F158))</f>
        <v>399</v>
      </c>
      <c r="AB158" s="45"/>
      <c r="AC158" s="45"/>
      <c r="AD158" s="45"/>
      <c r="AE158" s="45"/>
      <c r="AF158" s="45"/>
      <c r="AG158" s="45"/>
      <c r="AH158" s="45"/>
      <c r="AI158" s="45"/>
      <c r="AJ158" s="45"/>
      <c r="AK158" s="45"/>
      <c r="AL158" s="45"/>
      <c r="AM158" s="45"/>
      <c r="AN158" s="45"/>
      <c r="AO158" s="45"/>
      <c r="AP158" s="45"/>
      <c r="AQ158" s="45"/>
      <c r="AR158" s="45"/>
      <c r="AS158" s="45"/>
      <c r="AT158" s="45"/>
      <c r="AU158" s="45"/>
      <c r="AV158" s="47"/>
      <c r="AW158" s="48" t="str">
        <f>REV!AW158</f>
        <v>13.08.2026</v>
      </c>
      <c r="AX158" s="149" t="s">
        <v>230</v>
      </c>
    </row>
    <row r="159" spans="1:50" ht="22.5" customHeight="1">
      <c r="A159" s="55" t="s">
        <v>222</v>
      </c>
      <c r="B159" s="42" t="s">
        <v>64</v>
      </c>
      <c r="C159" s="43">
        <v>4017405</v>
      </c>
      <c r="D159" s="58" t="s">
        <v>270</v>
      </c>
      <c r="E159" s="58" t="s">
        <v>271</v>
      </c>
      <c r="F159" s="45">
        <v>100</v>
      </c>
      <c r="G159" s="45"/>
      <c r="H159" s="45"/>
      <c r="I159" s="45"/>
      <c r="J159" s="46">
        <f>IF(VLOOKUP($C159,REV!$C:$AA,8,0)-'TRADE IN'!$F159=0,"",(VLOOKUP($C159,REV!$C:$AA,8,0)-'TRADE IN'!$F159))</f>
        <v>699</v>
      </c>
      <c r="K159" s="46">
        <f>IF(VLOOKUP($C159,REV!$C:$AA,9,0)-'TRADE IN'!$F159=0,"",(VLOOKUP($C159,REV!$C:$AA,9,0)-'TRADE IN'!$F159))</f>
        <v>699</v>
      </c>
      <c r="L159" s="46">
        <f>IF(VLOOKUP($C159,REV!$C:$AA,10,0)-'TRADE IN'!$F159=0,"",(VLOOKUP($C159,REV!$C:$AA,10,0)-'TRADE IN'!$F159))</f>
        <v>599</v>
      </c>
      <c r="M159" s="46">
        <f>IF(VLOOKUP($C159,REV!$C:$AA,11,0)-'TRADE IN'!$F159=0,"",(VLOOKUP($C159,REV!$C:$AA,11,0)-'TRADE IN'!$F159))</f>
        <v>699</v>
      </c>
      <c r="N159" s="46">
        <f>IF(VLOOKUP($C159,REV!$C:$AA,12,0)-'TRADE IN'!$F159=0,"",(VLOOKUP($C159,REV!$C:$AA,12,0)-'TRADE IN'!$F159))</f>
        <v>699</v>
      </c>
      <c r="O159" s="46">
        <f>IF(VLOOKUP($C159,REV!$C:$AA,13,0)-'TRADE IN'!$F159=0,"",(VLOOKUP($C159,REV!$C:$AA,13,0)-'TRADE IN'!$F159))</f>
        <v>549</v>
      </c>
      <c r="P159" s="46">
        <f>IF(VLOOKUP($C159,REV!$C:$AA,14,0)-'TRADE IN'!$F159=0,"",(VLOOKUP($C159,REV!$C:$AA,14,0)-'TRADE IN'!$F159))</f>
        <v>549</v>
      </c>
      <c r="Q159" s="46">
        <f>IF(VLOOKUP($C159,REV!$C:$AA,15,0)-'TRADE IN'!$F159=0,"",(VLOOKUP($C159,REV!$C:$AA,15,0)-'TRADE IN'!$F159))</f>
        <v>499</v>
      </c>
      <c r="R159" s="46">
        <f>IF(VLOOKUP($C159,REV!$C:$AA,16,0)-'TRADE IN'!$F159=0,"",(VLOOKUP($C159,REV!$C:$AA,16,0)-'TRADE IN'!$F159))</f>
        <v>549</v>
      </c>
      <c r="S159" s="46">
        <f>IF(VLOOKUP($C159,REV!$C:$AA,17,0)-'TRADE IN'!$F159=0,"",(VLOOKUP($C159,REV!$C:$AA,17,0)-'TRADE IN'!$F159))</f>
        <v>549</v>
      </c>
      <c r="T159" s="46">
        <f>IF(VLOOKUP($C159,REV!$C:$AA,18,0)-'TRADE IN'!$F159=0,"",(VLOOKUP($C159,REV!$C:$AA,18,0)-'TRADE IN'!$F159))</f>
        <v>499</v>
      </c>
      <c r="U159" s="46">
        <f>IF(VLOOKUP($C159,REV!$C:$AA,19,0)-'TRADE IN'!$F159=0,"",(VLOOKUP($C159,REV!$C:$AA,19,0)-'TRADE IN'!$F159))</f>
        <v>499</v>
      </c>
      <c r="V159" s="46">
        <f>IF(VLOOKUP($C159,REV!$C:$AA,20,0)-'TRADE IN'!$F159=0,"",(VLOOKUP($C159,REV!$C:$AA,20,0)-'TRADE IN'!$F159))</f>
        <v>499</v>
      </c>
      <c r="W159" s="46">
        <f>IF(VLOOKUP($C159,REV!$C:$AA,21,0)-'TRADE IN'!$F159=0,"",(VLOOKUP($C159,REV!$C:$AA,21,0)-'TRADE IN'!$F159))</f>
        <v>499</v>
      </c>
      <c r="X159" s="46">
        <f>IF(VLOOKUP($C159,REV!$C:$AA,22,0)-'TRADE IN'!$F159=0,"",(VLOOKUP($C159,REV!$C:$AA,22,0)-'TRADE IN'!$F159))</f>
        <v>499</v>
      </c>
      <c r="Y159" s="46">
        <f>IF(VLOOKUP($C159,REV!$C:$AA,23,0)-'TRADE IN'!$F159=0,"",(VLOOKUP($C159,REV!$C:$AA,23,0)-'TRADE IN'!$F159))</f>
        <v>499</v>
      </c>
      <c r="Z159" s="46">
        <f>IF(VLOOKUP($C159,REV!$C:$AA,24,0)-'TRADE IN'!$F159=0,"",(VLOOKUP($C159,REV!$C:$AA,24,0)-'TRADE IN'!$F159))</f>
        <v>499</v>
      </c>
      <c r="AA159" s="46">
        <f>IF(VLOOKUP($C159,REV!$C:$AA,25,0)-'TRADE IN'!$F159=0,"",(VLOOKUP($C159,REV!$C:$AA,25,0)-'TRADE IN'!$F159))</f>
        <v>499</v>
      </c>
      <c r="AB159" s="45"/>
      <c r="AC159" s="45"/>
      <c r="AD159" s="45"/>
      <c r="AE159" s="45"/>
      <c r="AF159" s="45"/>
      <c r="AG159" s="45"/>
      <c r="AH159" s="45"/>
      <c r="AI159" s="45"/>
      <c r="AJ159" s="45"/>
      <c r="AK159" s="45"/>
      <c r="AL159" s="45"/>
      <c r="AM159" s="45"/>
      <c r="AN159" s="45"/>
      <c r="AO159" s="45"/>
      <c r="AP159" s="45"/>
      <c r="AQ159" s="45"/>
      <c r="AR159" s="45"/>
      <c r="AS159" s="45"/>
      <c r="AT159" s="45"/>
      <c r="AU159" s="45"/>
      <c r="AV159" s="47"/>
      <c r="AW159" s="48" t="str">
        <f>REV!AW159</f>
        <v>13.08.2026</v>
      </c>
      <c r="AX159" s="149" t="s">
        <v>230</v>
      </c>
    </row>
    <row r="160" spans="1:50" ht="21.75" customHeight="1">
      <c r="A160" s="55" t="s">
        <v>222</v>
      </c>
      <c r="B160" s="42" t="s">
        <v>64</v>
      </c>
      <c r="C160" s="43">
        <v>4015983</v>
      </c>
      <c r="D160" s="56" t="s">
        <v>272</v>
      </c>
      <c r="E160" s="56" t="s">
        <v>273</v>
      </c>
      <c r="F160" s="45">
        <v>100</v>
      </c>
      <c r="G160" s="45"/>
      <c r="H160" s="45"/>
      <c r="I160" s="45"/>
      <c r="J160" s="46">
        <f>IF(VLOOKUP($C160,REV!$C:$AA,8,0)-'TRADE IN'!$F160=0,"",(VLOOKUP($C160,REV!$C:$AA,8,0)-'TRADE IN'!$F160))</f>
        <v>699</v>
      </c>
      <c r="K160" s="46">
        <f>IF(VLOOKUP($C160,REV!$C:$AA,9,0)-'TRADE IN'!$F160=0,"",(VLOOKUP($C160,REV!$C:$AA,9,0)-'TRADE IN'!$F160))</f>
        <v>699</v>
      </c>
      <c r="L160" s="46">
        <f>IF(VLOOKUP($C160,REV!$C:$AA,10,0)-'TRADE IN'!$F160=0,"",(VLOOKUP($C160,REV!$C:$AA,10,0)-'TRADE IN'!$F160))</f>
        <v>699</v>
      </c>
      <c r="M160" s="46">
        <f>IF(VLOOKUP($C160,REV!$C:$AA,11,0)-'TRADE IN'!$F160=0,"",(VLOOKUP($C160,REV!$C:$AA,11,0)-'TRADE IN'!$F160))</f>
        <v>699</v>
      </c>
      <c r="N160" s="46">
        <f>IF(VLOOKUP($C160,REV!$C:$AA,12,0)-'TRADE IN'!$F160=0,"",(VLOOKUP($C160,REV!$C:$AA,12,0)-'TRADE IN'!$F160))</f>
        <v>699</v>
      </c>
      <c r="O160" s="46">
        <f>IF(VLOOKUP($C160,REV!$C:$AA,13,0)-'TRADE IN'!$F160=0,"",(VLOOKUP($C160,REV!$C:$AA,13,0)-'TRADE IN'!$F160))</f>
        <v>649</v>
      </c>
      <c r="P160" s="46">
        <f>IF(VLOOKUP($C160,REV!$C:$AA,14,0)-'TRADE IN'!$F160=0,"",(VLOOKUP($C160,REV!$C:$AA,14,0)-'TRADE IN'!$F160))</f>
        <v>649</v>
      </c>
      <c r="Q160" s="46">
        <f>IF(VLOOKUP($C160,REV!$C:$AA,15,0)-'TRADE IN'!$F160=0,"",(VLOOKUP($C160,REV!$C:$AA,15,0)-'TRADE IN'!$F160))</f>
        <v>649</v>
      </c>
      <c r="R160" s="46">
        <f>IF(VLOOKUP($C160,REV!$C:$AA,16,0)-'TRADE IN'!$F160=0,"",(VLOOKUP($C160,REV!$C:$AA,16,0)-'TRADE IN'!$F160))</f>
        <v>649</v>
      </c>
      <c r="S160" s="46">
        <f>IF(VLOOKUP($C160,REV!$C:$AA,17,0)-'TRADE IN'!$F160=0,"",(VLOOKUP($C160,REV!$C:$AA,17,0)-'TRADE IN'!$F160))</f>
        <v>649</v>
      </c>
      <c r="T160" s="46">
        <f>IF(VLOOKUP($C160,REV!$C:$AA,18,0)-'TRADE IN'!$F160=0,"",(VLOOKUP($C160,REV!$C:$AA,18,0)-'TRADE IN'!$F160))</f>
        <v>649</v>
      </c>
      <c r="U160" s="46">
        <f>IF(VLOOKUP($C160,REV!$C:$AA,19,0)-'TRADE IN'!$F160=0,"",(VLOOKUP($C160,REV!$C:$AA,19,0)-'TRADE IN'!$F160))</f>
        <v>649</v>
      </c>
      <c r="V160" s="46">
        <f>IF(VLOOKUP($C160,REV!$C:$AA,20,0)-'TRADE IN'!$F160=0,"",(VLOOKUP($C160,REV!$C:$AA,20,0)-'TRADE IN'!$F160))</f>
        <v>649</v>
      </c>
      <c r="W160" s="46">
        <f>IF(VLOOKUP($C160,REV!$C:$AA,21,0)-'TRADE IN'!$F160=0,"",(VLOOKUP($C160,REV!$C:$AA,21,0)-'TRADE IN'!$F160))</f>
        <v>649</v>
      </c>
      <c r="X160" s="46">
        <f>IF(VLOOKUP($C160,REV!$C:$AA,22,0)-'TRADE IN'!$F160=0,"",(VLOOKUP($C160,REV!$C:$AA,22,0)-'TRADE IN'!$F160))</f>
        <v>649</v>
      </c>
      <c r="Y160" s="46">
        <f>IF(VLOOKUP($C160,REV!$C:$AA,23,0)-'TRADE IN'!$F160=0,"",(VLOOKUP($C160,REV!$C:$AA,23,0)-'TRADE IN'!$F160))</f>
        <v>649</v>
      </c>
      <c r="Z160" s="46">
        <f>IF(VLOOKUP($C160,REV!$C:$AA,24,0)-'TRADE IN'!$F160=0,"",(VLOOKUP($C160,REV!$C:$AA,24,0)-'TRADE IN'!$F160))</f>
        <v>649</v>
      </c>
      <c r="AA160" s="46">
        <f>IF(VLOOKUP($C160,REV!$C:$AA,25,0)-'TRADE IN'!$F160=0,"",(VLOOKUP($C160,REV!$C:$AA,25,0)-'TRADE IN'!$F160))</f>
        <v>649</v>
      </c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5"/>
      <c r="AN160" s="45"/>
      <c r="AO160" s="45"/>
      <c r="AP160" s="45"/>
      <c r="AQ160" s="45"/>
      <c r="AR160" s="45"/>
      <c r="AS160" s="45"/>
      <c r="AT160" s="45"/>
      <c r="AU160" s="45"/>
      <c r="AV160" s="47"/>
      <c r="AW160" s="48" t="str">
        <f>REV!AW160</f>
        <v>13.08.2026</v>
      </c>
      <c r="AX160" s="149" t="s">
        <v>68</v>
      </c>
    </row>
    <row r="161" spans="1:50" ht="21.75" customHeight="1">
      <c r="A161" s="55" t="s">
        <v>222</v>
      </c>
      <c r="B161" s="42" t="s">
        <v>64</v>
      </c>
      <c r="C161" s="43">
        <v>4015985</v>
      </c>
      <c r="D161" s="56" t="s">
        <v>272</v>
      </c>
      <c r="E161" s="56" t="s">
        <v>274</v>
      </c>
      <c r="F161" s="45">
        <v>100</v>
      </c>
      <c r="G161" s="45"/>
      <c r="H161" s="45"/>
      <c r="I161" s="45"/>
      <c r="J161" s="46">
        <f>IF(VLOOKUP($C161,REV!$C:$AA,8,0)-'TRADE IN'!$F161=0,"",(VLOOKUP($C161,REV!$C:$AA,8,0)-'TRADE IN'!$F161))</f>
        <v>699</v>
      </c>
      <c r="K161" s="46">
        <f>IF(VLOOKUP($C161,REV!$C:$AA,9,0)-'TRADE IN'!$F161=0,"",(VLOOKUP($C161,REV!$C:$AA,9,0)-'TRADE IN'!$F161))</f>
        <v>699</v>
      </c>
      <c r="L161" s="46">
        <f>IF(VLOOKUP($C161,REV!$C:$AA,10,0)-'TRADE IN'!$F161=0,"",(VLOOKUP($C161,REV!$C:$AA,10,0)-'TRADE IN'!$F161))</f>
        <v>699</v>
      </c>
      <c r="M161" s="46">
        <f>IF(VLOOKUP($C161,REV!$C:$AA,11,0)-'TRADE IN'!$F161=0,"",(VLOOKUP($C161,REV!$C:$AA,11,0)-'TRADE IN'!$F161))</f>
        <v>699</v>
      </c>
      <c r="N161" s="46">
        <f>IF(VLOOKUP($C161,REV!$C:$AA,12,0)-'TRADE IN'!$F161=0,"",(VLOOKUP($C161,REV!$C:$AA,12,0)-'TRADE IN'!$F161))</f>
        <v>699</v>
      </c>
      <c r="O161" s="46">
        <f>IF(VLOOKUP($C161,REV!$C:$AA,13,0)-'TRADE IN'!$F161=0,"",(VLOOKUP($C161,REV!$C:$AA,13,0)-'TRADE IN'!$F161))</f>
        <v>649</v>
      </c>
      <c r="P161" s="46">
        <f>IF(VLOOKUP($C161,REV!$C:$AA,14,0)-'TRADE IN'!$F161=0,"",(VLOOKUP($C161,REV!$C:$AA,14,0)-'TRADE IN'!$F161))</f>
        <v>649</v>
      </c>
      <c r="Q161" s="46">
        <f>IF(VLOOKUP($C161,REV!$C:$AA,15,0)-'TRADE IN'!$F161=0,"",(VLOOKUP($C161,REV!$C:$AA,15,0)-'TRADE IN'!$F161))</f>
        <v>649</v>
      </c>
      <c r="R161" s="46">
        <f>IF(VLOOKUP($C161,REV!$C:$AA,16,0)-'TRADE IN'!$F161=0,"",(VLOOKUP($C161,REV!$C:$AA,16,0)-'TRADE IN'!$F161))</f>
        <v>649</v>
      </c>
      <c r="S161" s="46">
        <f>IF(VLOOKUP($C161,REV!$C:$AA,17,0)-'TRADE IN'!$F161=0,"",(VLOOKUP($C161,REV!$C:$AA,17,0)-'TRADE IN'!$F161))</f>
        <v>649</v>
      </c>
      <c r="T161" s="46">
        <f>IF(VLOOKUP($C161,REV!$C:$AA,18,0)-'TRADE IN'!$F161=0,"",(VLOOKUP($C161,REV!$C:$AA,18,0)-'TRADE IN'!$F161))</f>
        <v>649</v>
      </c>
      <c r="U161" s="46">
        <f>IF(VLOOKUP($C161,REV!$C:$AA,19,0)-'TRADE IN'!$F161=0,"",(VLOOKUP($C161,REV!$C:$AA,19,0)-'TRADE IN'!$F161))</f>
        <v>649</v>
      </c>
      <c r="V161" s="46">
        <f>IF(VLOOKUP($C161,REV!$C:$AA,20,0)-'TRADE IN'!$F161=0,"",(VLOOKUP($C161,REV!$C:$AA,20,0)-'TRADE IN'!$F161))</f>
        <v>649</v>
      </c>
      <c r="W161" s="46">
        <f>IF(VLOOKUP($C161,REV!$C:$AA,21,0)-'TRADE IN'!$F161=0,"",(VLOOKUP($C161,REV!$C:$AA,21,0)-'TRADE IN'!$F161))</f>
        <v>649</v>
      </c>
      <c r="X161" s="46">
        <f>IF(VLOOKUP($C161,REV!$C:$AA,22,0)-'TRADE IN'!$F161=0,"",(VLOOKUP($C161,REV!$C:$AA,22,0)-'TRADE IN'!$F161))</f>
        <v>649</v>
      </c>
      <c r="Y161" s="46">
        <f>IF(VLOOKUP($C161,REV!$C:$AA,23,0)-'TRADE IN'!$F161=0,"",(VLOOKUP($C161,REV!$C:$AA,23,0)-'TRADE IN'!$F161))</f>
        <v>649</v>
      </c>
      <c r="Z161" s="46">
        <f>IF(VLOOKUP($C161,REV!$C:$AA,24,0)-'TRADE IN'!$F161=0,"",(VLOOKUP($C161,REV!$C:$AA,24,0)-'TRADE IN'!$F161))</f>
        <v>649</v>
      </c>
      <c r="AA161" s="46">
        <f>IF(VLOOKUP($C161,REV!$C:$AA,25,0)-'TRADE IN'!$F161=0,"",(VLOOKUP($C161,REV!$C:$AA,25,0)-'TRADE IN'!$F161))</f>
        <v>649</v>
      </c>
      <c r="AB161" s="45"/>
      <c r="AC161" s="45"/>
      <c r="AD161" s="45"/>
      <c r="AE161" s="45"/>
      <c r="AF161" s="45"/>
      <c r="AG161" s="45"/>
      <c r="AH161" s="45"/>
      <c r="AI161" s="45"/>
      <c r="AJ161" s="45"/>
      <c r="AK161" s="45"/>
      <c r="AL161" s="45"/>
      <c r="AM161" s="45"/>
      <c r="AN161" s="45"/>
      <c r="AO161" s="45"/>
      <c r="AP161" s="45"/>
      <c r="AQ161" s="45"/>
      <c r="AR161" s="45"/>
      <c r="AS161" s="45"/>
      <c r="AT161" s="45"/>
      <c r="AU161" s="45"/>
      <c r="AV161" s="47"/>
      <c r="AW161" s="48" t="str">
        <f>REV!AW161</f>
        <v>13.08.2026</v>
      </c>
      <c r="AX161" s="149" t="s">
        <v>68</v>
      </c>
    </row>
    <row r="162" spans="1:50" ht="21.75" customHeight="1">
      <c r="A162" s="55" t="s">
        <v>222</v>
      </c>
      <c r="B162" s="42" t="s">
        <v>64</v>
      </c>
      <c r="C162" s="43">
        <v>4016578</v>
      </c>
      <c r="D162" s="56" t="s">
        <v>275</v>
      </c>
      <c r="E162" s="56" t="s">
        <v>276</v>
      </c>
      <c r="F162" s="45">
        <v>100</v>
      </c>
      <c r="G162" s="45"/>
      <c r="H162" s="45"/>
      <c r="I162" s="45"/>
      <c r="J162" s="46">
        <f>IF(VLOOKUP($C162,REV!$C:$AA,8,0)-'TRADE IN'!$F162=0,"",(VLOOKUP($C162,REV!$C:$AA,8,0)-'TRADE IN'!$F162))</f>
        <v>899</v>
      </c>
      <c r="K162" s="46">
        <f>IF(VLOOKUP($C162,REV!$C:$AA,9,0)-'TRADE IN'!$F162=0,"",(VLOOKUP($C162,REV!$C:$AA,9,0)-'TRADE IN'!$F162))</f>
        <v>799</v>
      </c>
      <c r="L162" s="46">
        <f>IF(VLOOKUP($C162,REV!$C:$AA,10,0)-'TRADE IN'!$F162=0,"",(VLOOKUP($C162,REV!$C:$AA,10,0)-'TRADE IN'!$F162))</f>
        <v>799</v>
      </c>
      <c r="M162" s="46">
        <f>IF(VLOOKUP($C162,REV!$C:$AA,11,0)-'TRADE IN'!$F162=0,"",(VLOOKUP($C162,REV!$C:$AA,11,0)-'TRADE IN'!$F162))</f>
        <v>899</v>
      </c>
      <c r="N162" s="46">
        <f>IF(VLOOKUP($C162,REV!$C:$AA,12,0)-'TRADE IN'!$F162=0,"",(VLOOKUP($C162,REV!$C:$AA,12,0)-'TRADE IN'!$F162))</f>
        <v>799</v>
      </c>
      <c r="O162" s="46">
        <f>IF(VLOOKUP($C162,REV!$C:$AA,13,0)-'TRADE IN'!$F162=0,"",(VLOOKUP($C162,REV!$C:$AA,13,0)-'TRADE IN'!$F162))</f>
        <v>749</v>
      </c>
      <c r="P162" s="46">
        <f>IF(VLOOKUP($C162,REV!$C:$AA,14,0)-'TRADE IN'!$F162=0,"",(VLOOKUP($C162,REV!$C:$AA,14,0)-'TRADE IN'!$F162))</f>
        <v>749</v>
      </c>
      <c r="Q162" s="46">
        <f>IF(VLOOKUP($C162,REV!$C:$AA,15,0)-'TRADE IN'!$F162=0,"",(VLOOKUP($C162,REV!$C:$AA,15,0)-'TRADE IN'!$F162))</f>
        <v>749</v>
      </c>
      <c r="R162" s="46">
        <f>IF(VLOOKUP($C162,REV!$C:$AA,16,0)-'TRADE IN'!$F162=0,"",(VLOOKUP($C162,REV!$C:$AA,16,0)-'TRADE IN'!$F162))</f>
        <v>749</v>
      </c>
      <c r="S162" s="46">
        <f>IF(VLOOKUP($C162,REV!$C:$AA,17,0)-'TRADE IN'!$F162=0,"",(VLOOKUP($C162,REV!$C:$AA,17,0)-'TRADE IN'!$F162))</f>
        <v>749</v>
      </c>
      <c r="T162" s="46">
        <f>IF(VLOOKUP($C162,REV!$C:$AA,18,0)-'TRADE IN'!$F162=0,"",(VLOOKUP($C162,REV!$C:$AA,18,0)-'TRADE IN'!$F162))</f>
        <v>749</v>
      </c>
      <c r="U162" s="46">
        <f>IF(VLOOKUP($C162,REV!$C:$AA,19,0)-'TRADE IN'!$F162=0,"",(VLOOKUP($C162,REV!$C:$AA,19,0)-'TRADE IN'!$F162))</f>
        <v>749</v>
      </c>
      <c r="V162" s="46">
        <f>IF(VLOOKUP($C162,REV!$C:$AA,20,0)-'TRADE IN'!$F162=0,"",(VLOOKUP($C162,REV!$C:$AA,20,0)-'TRADE IN'!$F162))</f>
        <v>749</v>
      </c>
      <c r="W162" s="46">
        <f>IF(VLOOKUP($C162,REV!$C:$AA,21,0)-'TRADE IN'!$F162=0,"",(VLOOKUP($C162,REV!$C:$AA,21,0)-'TRADE IN'!$F162))</f>
        <v>749</v>
      </c>
      <c r="X162" s="46">
        <f>IF(VLOOKUP($C162,REV!$C:$AA,22,0)-'TRADE IN'!$F162=0,"",(VLOOKUP($C162,REV!$C:$AA,22,0)-'TRADE IN'!$F162))</f>
        <v>749</v>
      </c>
      <c r="Y162" s="46">
        <f>IF(VLOOKUP($C162,REV!$C:$AA,23,0)-'TRADE IN'!$F162=0,"",(VLOOKUP($C162,REV!$C:$AA,23,0)-'TRADE IN'!$F162))</f>
        <v>749</v>
      </c>
      <c r="Z162" s="46">
        <f>IF(VLOOKUP($C162,REV!$C:$AA,24,0)-'TRADE IN'!$F162=0,"",(VLOOKUP($C162,REV!$C:$AA,24,0)-'TRADE IN'!$F162))</f>
        <v>749</v>
      </c>
      <c r="AA162" s="46">
        <f>IF(VLOOKUP($C162,REV!$C:$AA,25,0)-'TRADE IN'!$F162=0,"",(VLOOKUP($C162,REV!$C:$AA,25,0)-'TRADE IN'!$F162))</f>
        <v>749</v>
      </c>
      <c r="AB162" s="46">
        <f>IF(VLOOKUP($C162,REV!$C:$AL,27,0)-'TRADE IN'!$F162=0,"",(VLOOKUP($C162,REV!$C:$AL,27,0)-'TRADE IN'!$F162))</f>
        <v>799</v>
      </c>
      <c r="AC162" s="46">
        <f>IF(VLOOKUP($C162,REV!$C:$AL,28,0)-'TRADE IN'!$F162=0,"",(VLOOKUP($C162,REV!$C:$AL,28,0)-'TRADE IN'!$F162))</f>
        <v>799</v>
      </c>
      <c r="AD162" s="46">
        <f>IF(VLOOKUP($C162,REV!$C:$AL,29,0)-'TRADE IN'!$F162=0,"",(VLOOKUP($C162,REV!$C:$AL,29,0)-'TRADE IN'!$F162))</f>
        <v>749</v>
      </c>
      <c r="AE162" s="46">
        <f>IF(VLOOKUP($C162,REV!$C:$AL,30,0)-'TRADE IN'!$F162=0,"",(VLOOKUP($C162,REV!$C:$AL,30,0)-'TRADE IN'!$F162))</f>
        <v>749</v>
      </c>
      <c r="AF162" s="46">
        <f>IF(VLOOKUP($C162,REV!$C:$AL,31,0)-'TRADE IN'!$F162=0,"",(VLOOKUP($C162,REV!$C:$AL,31,0)-'TRADE IN'!$F162))</f>
        <v>749</v>
      </c>
      <c r="AG162" s="46">
        <f>IF(VLOOKUP($C162,REV!$C:$AL,31,0)-'TRADE IN'!$F162=0,"",(VLOOKUP($C162,REV!$C:$AL,31,0)-'TRADE IN'!$F162))</f>
        <v>749</v>
      </c>
      <c r="AH162" s="46">
        <f>IF(VLOOKUP($C162,REV!$C:$AL,32,0)-'TRADE IN'!$F162=0,"",(VLOOKUP($C162,REV!$C:$AL,32,0)-'TRADE IN'!$F162))</f>
        <v>749</v>
      </c>
      <c r="AI162" s="46">
        <f>IF(VLOOKUP($C162,REV!$C:$AL,33,0)-'TRADE IN'!$F162=0,"",(VLOOKUP($C162,REV!$C:$AL,33,0)-'TRADE IN'!$F162))</f>
        <v>749</v>
      </c>
      <c r="AJ162" s="46">
        <f>IF(VLOOKUP($C162,REV!$C:$AL,34,0)-'TRADE IN'!$F162=0,"",(VLOOKUP($C162,REV!$C:$AL,34,0)-'TRADE IN'!$F162))</f>
        <v>749</v>
      </c>
      <c r="AK162" s="46">
        <f>IF(VLOOKUP($C162,REV!$C:$AL,35,0)-'TRADE IN'!$F162=0,"",(VLOOKUP($C162,REV!$C:$AL,35,0)-'TRADE IN'!$F162))</f>
        <v>749</v>
      </c>
      <c r="AL162" s="46">
        <f>IF(VLOOKUP($C162,REV!$C:$AL,36,0)-'TRADE IN'!$F162=0,"",(VLOOKUP($C162,REV!$C:$AL,36,0)-'TRADE IN'!$F162))</f>
        <v>749</v>
      </c>
      <c r="AM162" s="45"/>
      <c r="AN162" s="45"/>
      <c r="AO162" s="45"/>
      <c r="AP162" s="45"/>
      <c r="AQ162" s="45"/>
      <c r="AR162" s="45"/>
      <c r="AS162" s="45"/>
      <c r="AT162" s="45"/>
      <c r="AU162" s="45"/>
      <c r="AV162" s="47"/>
      <c r="AW162" s="48" t="str">
        <f>REV!AW162</f>
        <v>13.08.2026</v>
      </c>
      <c r="AX162" s="149" t="s">
        <v>68</v>
      </c>
    </row>
    <row r="163" spans="1:50" ht="21.75" customHeight="1">
      <c r="A163" s="55" t="s">
        <v>222</v>
      </c>
      <c r="B163" s="42" t="s">
        <v>64</v>
      </c>
      <c r="C163" s="43">
        <v>4016661</v>
      </c>
      <c r="D163" s="56" t="s">
        <v>275</v>
      </c>
      <c r="E163" s="56" t="s">
        <v>277</v>
      </c>
      <c r="F163" s="45">
        <v>100</v>
      </c>
      <c r="G163" s="45"/>
      <c r="H163" s="45"/>
      <c r="I163" s="45"/>
      <c r="J163" s="46">
        <f>IF(VLOOKUP($C163,REV!$C:$AA,8,0)-'TRADE IN'!$F163=0,"",(VLOOKUP($C163,REV!$C:$AA,8,0)-'TRADE IN'!$F163))</f>
        <v>899</v>
      </c>
      <c r="K163" s="46">
        <f>IF(VLOOKUP($C163,REV!$C:$AA,9,0)-'TRADE IN'!$F163=0,"",(VLOOKUP($C163,REV!$C:$AA,9,0)-'TRADE IN'!$F163))</f>
        <v>799</v>
      </c>
      <c r="L163" s="46">
        <f>IF(VLOOKUP($C163,REV!$C:$AA,10,0)-'TRADE IN'!$F163=0,"",(VLOOKUP($C163,REV!$C:$AA,10,0)-'TRADE IN'!$F163))</f>
        <v>799</v>
      </c>
      <c r="M163" s="46">
        <f>IF(VLOOKUP($C163,REV!$C:$AA,11,0)-'TRADE IN'!$F163=0,"",(VLOOKUP($C163,REV!$C:$AA,11,0)-'TRADE IN'!$F163))</f>
        <v>899</v>
      </c>
      <c r="N163" s="46">
        <f>IF(VLOOKUP($C163,REV!$C:$AA,12,0)-'TRADE IN'!$F163=0,"",(VLOOKUP($C163,REV!$C:$AA,12,0)-'TRADE IN'!$F163))</f>
        <v>799</v>
      </c>
      <c r="O163" s="46">
        <f>IF(VLOOKUP($C163,REV!$C:$AA,13,0)-'TRADE IN'!$F163=0,"",(VLOOKUP($C163,REV!$C:$AA,13,0)-'TRADE IN'!$F163))</f>
        <v>749</v>
      </c>
      <c r="P163" s="46">
        <f>IF(VLOOKUP($C163,REV!$C:$AA,14,0)-'TRADE IN'!$F163=0,"",(VLOOKUP($C163,REV!$C:$AA,14,0)-'TRADE IN'!$F163))</f>
        <v>749</v>
      </c>
      <c r="Q163" s="46">
        <f>IF(VLOOKUP($C163,REV!$C:$AA,15,0)-'TRADE IN'!$F163=0,"",(VLOOKUP($C163,REV!$C:$AA,15,0)-'TRADE IN'!$F163))</f>
        <v>749</v>
      </c>
      <c r="R163" s="46">
        <f>IF(VLOOKUP($C163,REV!$C:$AA,16,0)-'TRADE IN'!$F163=0,"",(VLOOKUP($C163,REV!$C:$AA,16,0)-'TRADE IN'!$F163))</f>
        <v>749</v>
      </c>
      <c r="S163" s="46">
        <f>IF(VLOOKUP($C163,REV!$C:$AA,17,0)-'TRADE IN'!$F163=0,"",(VLOOKUP($C163,REV!$C:$AA,17,0)-'TRADE IN'!$F163))</f>
        <v>749</v>
      </c>
      <c r="T163" s="46">
        <f>IF(VLOOKUP($C163,REV!$C:$AA,18,0)-'TRADE IN'!$F163=0,"",(VLOOKUP($C163,REV!$C:$AA,18,0)-'TRADE IN'!$F163))</f>
        <v>749</v>
      </c>
      <c r="U163" s="46">
        <f>IF(VLOOKUP($C163,REV!$C:$AA,19,0)-'TRADE IN'!$F163=0,"",(VLOOKUP($C163,REV!$C:$AA,19,0)-'TRADE IN'!$F163))</f>
        <v>749</v>
      </c>
      <c r="V163" s="46">
        <f>IF(VLOOKUP($C163,REV!$C:$AA,20,0)-'TRADE IN'!$F163=0,"",(VLOOKUP($C163,REV!$C:$AA,20,0)-'TRADE IN'!$F163))</f>
        <v>749</v>
      </c>
      <c r="W163" s="46">
        <f>IF(VLOOKUP($C163,REV!$C:$AA,21,0)-'TRADE IN'!$F163=0,"",(VLOOKUP($C163,REV!$C:$AA,21,0)-'TRADE IN'!$F163))</f>
        <v>749</v>
      </c>
      <c r="X163" s="46">
        <f>IF(VLOOKUP($C163,REV!$C:$AA,22,0)-'TRADE IN'!$F163=0,"",(VLOOKUP($C163,REV!$C:$AA,22,0)-'TRADE IN'!$F163))</f>
        <v>749</v>
      </c>
      <c r="Y163" s="46">
        <f>IF(VLOOKUP($C163,REV!$C:$AA,23,0)-'TRADE IN'!$F163=0,"",(VLOOKUP($C163,REV!$C:$AA,23,0)-'TRADE IN'!$F163))</f>
        <v>749</v>
      </c>
      <c r="Z163" s="46">
        <f>IF(VLOOKUP($C163,REV!$C:$AA,24,0)-'TRADE IN'!$F163=0,"",(VLOOKUP($C163,REV!$C:$AA,24,0)-'TRADE IN'!$F163))</f>
        <v>749</v>
      </c>
      <c r="AA163" s="46">
        <f>IF(VLOOKUP($C163,REV!$C:$AA,25,0)-'TRADE IN'!$F163=0,"",(VLOOKUP($C163,REV!$C:$AA,25,0)-'TRADE IN'!$F163))</f>
        <v>749</v>
      </c>
      <c r="AB163" s="46">
        <f>IF(VLOOKUP($C163,REV!$C:$AL,27,0)-'TRADE IN'!$F163=0,"",(VLOOKUP($C163,REV!$C:$AL,27,0)-'TRADE IN'!$F163))</f>
        <v>799</v>
      </c>
      <c r="AC163" s="46">
        <f>IF(VLOOKUP($C163,REV!$C:$AL,28,0)-'TRADE IN'!$F163=0,"",(VLOOKUP($C163,REV!$C:$AL,28,0)-'TRADE IN'!$F163))</f>
        <v>799</v>
      </c>
      <c r="AD163" s="46">
        <f>IF(VLOOKUP($C163,REV!$C:$AL,29,0)-'TRADE IN'!$F163=0,"",(VLOOKUP($C163,REV!$C:$AL,29,0)-'TRADE IN'!$F163))</f>
        <v>749</v>
      </c>
      <c r="AE163" s="46">
        <f>IF(VLOOKUP($C163,REV!$C:$AL,30,0)-'TRADE IN'!$F163=0,"",(VLOOKUP($C163,REV!$C:$AL,30,0)-'TRADE IN'!$F163))</f>
        <v>749</v>
      </c>
      <c r="AF163" s="46">
        <f>IF(VLOOKUP($C163,REV!$C:$AL,31,0)-'TRADE IN'!$F163=0,"",(VLOOKUP($C163,REV!$C:$AL,31,0)-'TRADE IN'!$F163))</f>
        <v>749</v>
      </c>
      <c r="AG163" s="46">
        <f>IF(VLOOKUP($C163,REV!$C:$AL,31,0)-'TRADE IN'!$F163=0,"",(VLOOKUP($C163,REV!$C:$AL,31,0)-'TRADE IN'!$F163))</f>
        <v>749</v>
      </c>
      <c r="AH163" s="46">
        <f>IF(VLOOKUP($C163,REV!$C:$AL,32,0)-'TRADE IN'!$F163=0,"",(VLOOKUP($C163,REV!$C:$AL,32,0)-'TRADE IN'!$F163))</f>
        <v>749</v>
      </c>
      <c r="AI163" s="46">
        <f>IF(VLOOKUP($C163,REV!$C:$AL,33,0)-'TRADE IN'!$F163=0,"",(VLOOKUP($C163,REV!$C:$AL,33,0)-'TRADE IN'!$F163))</f>
        <v>749</v>
      </c>
      <c r="AJ163" s="46">
        <f>IF(VLOOKUP($C163,REV!$C:$AL,34,0)-'TRADE IN'!$F163=0,"",(VLOOKUP($C163,REV!$C:$AL,34,0)-'TRADE IN'!$F163))</f>
        <v>749</v>
      </c>
      <c r="AK163" s="46">
        <f>IF(VLOOKUP($C163,REV!$C:$AL,35,0)-'TRADE IN'!$F163=0,"",(VLOOKUP($C163,REV!$C:$AL,35,0)-'TRADE IN'!$F163))</f>
        <v>749</v>
      </c>
      <c r="AL163" s="46">
        <f>IF(VLOOKUP($C163,REV!$C:$AL,36,0)-'TRADE IN'!$F163=0,"",(VLOOKUP($C163,REV!$C:$AL,36,0)-'TRADE IN'!$F163))</f>
        <v>749</v>
      </c>
      <c r="AM163" s="45"/>
      <c r="AN163" s="45"/>
      <c r="AO163" s="45"/>
      <c r="AP163" s="45"/>
      <c r="AQ163" s="45"/>
      <c r="AR163" s="45"/>
      <c r="AS163" s="45"/>
      <c r="AT163" s="45"/>
      <c r="AU163" s="45"/>
      <c r="AV163" s="47"/>
      <c r="AW163" s="48" t="str">
        <f>REV!AW163</f>
        <v>13.08.2026</v>
      </c>
      <c r="AX163" s="149" t="s">
        <v>68</v>
      </c>
    </row>
    <row r="164" spans="1:50" ht="21.75" customHeight="1">
      <c r="A164" s="55" t="s">
        <v>222</v>
      </c>
      <c r="B164" s="42" t="s">
        <v>64</v>
      </c>
      <c r="C164" s="43">
        <v>4016660</v>
      </c>
      <c r="D164" s="56" t="s">
        <v>278</v>
      </c>
      <c r="E164" s="56" t="s">
        <v>279</v>
      </c>
      <c r="F164" s="45">
        <v>100</v>
      </c>
      <c r="G164" s="45"/>
      <c r="H164" s="45"/>
      <c r="I164" s="45"/>
      <c r="J164" s="46">
        <f>IF(VLOOKUP($C164,REV!$C:$AA,8,0)-'TRADE IN'!$F164=0,"",(VLOOKUP($C164,REV!$C:$AA,8,0)-'TRADE IN'!$F164))</f>
        <v>1199</v>
      </c>
      <c r="K164" s="46">
        <f>IF(VLOOKUP($C164,REV!$C:$AA,9,0)-'TRADE IN'!$F164=0,"",(VLOOKUP($C164,REV!$C:$AA,9,0)-'TRADE IN'!$F164))</f>
        <v>1199</v>
      </c>
      <c r="L164" s="46">
        <f>IF(VLOOKUP($C164,REV!$C:$AA,10,0)-'TRADE IN'!$F164=0,"",(VLOOKUP($C164,REV!$C:$AA,10,0)-'TRADE IN'!$F164))</f>
        <v>1199</v>
      </c>
      <c r="M164" s="46">
        <f>IF(VLOOKUP($C164,REV!$C:$AA,11,0)-'TRADE IN'!$F164=0,"",(VLOOKUP($C164,REV!$C:$AA,11,0)-'TRADE IN'!$F164))</f>
        <v>1199</v>
      </c>
      <c r="N164" s="46">
        <f>IF(VLOOKUP($C164,REV!$C:$AA,12,0)-'TRADE IN'!$F164=0,"",(VLOOKUP($C164,REV!$C:$AA,12,0)-'TRADE IN'!$F164))</f>
        <v>1199</v>
      </c>
      <c r="O164" s="46">
        <f>IF(VLOOKUP($C164,REV!$C:$AA,13,0)-'TRADE IN'!$F164=0,"",(VLOOKUP($C164,REV!$C:$AA,13,0)-'TRADE IN'!$F164))</f>
        <v>1149</v>
      </c>
      <c r="P164" s="46">
        <f>IF(VLOOKUP($C164,REV!$C:$AA,14,0)-'TRADE IN'!$F164=0,"",(VLOOKUP($C164,REV!$C:$AA,14,0)-'TRADE IN'!$F164))</f>
        <v>1099</v>
      </c>
      <c r="Q164" s="46">
        <f>IF(VLOOKUP($C164,REV!$C:$AA,15,0)-'TRADE IN'!$F164=0,"",(VLOOKUP($C164,REV!$C:$AA,15,0)-'TRADE IN'!$F164))</f>
        <v>899</v>
      </c>
      <c r="R164" s="46">
        <f>IF(VLOOKUP($C164,REV!$C:$AA,16,0)-'TRADE IN'!$F164=0,"",(VLOOKUP($C164,REV!$C:$AA,16,0)-'TRADE IN'!$F164))</f>
        <v>1149</v>
      </c>
      <c r="S164" s="46">
        <f>IF(VLOOKUP($C164,REV!$C:$AA,17,0)-'TRADE IN'!$F164=0,"",(VLOOKUP($C164,REV!$C:$AA,17,0)-'TRADE IN'!$F164))</f>
        <v>1099</v>
      </c>
      <c r="T164" s="46">
        <f>IF(VLOOKUP($C164,REV!$C:$AA,18,0)-'TRADE IN'!$F164=0,"",(VLOOKUP($C164,REV!$C:$AA,18,0)-'TRADE IN'!$F164))</f>
        <v>899</v>
      </c>
      <c r="U164" s="46">
        <f>IF(VLOOKUP($C164,REV!$C:$AA,19,0)-'TRADE IN'!$F164=0,"",(VLOOKUP($C164,REV!$C:$AA,19,0)-'TRADE IN'!$F164))</f>
        <v>899</v>
      </c>
      <c r="V164" s="46">
        <f>IF(VLOOKUP($C164,REV!$C:$AA,20,0)-'TRADE IN'!$F164=0,"",(VLOOKUP($C164,REV!$C:$AA,20,0)-'TRADE IN'!$F164))</f>
        <v>899</v>
      </c>
      <c r="W164" s="46">
        <f>IF(VLOOKUP($C164,REV!$C:$AA,21,0)-'TRADE IN'!$F164=0,"",(VLOOKUP($C164,REV!$C:$AA,21,0)-'TRADE IN'!$F164))</f>
        <v>899</v>
      </c>
      <c r="X164" s="46">
        <f>IF(VLOOKUP($C164,REV!$C:$AA,22,0)-'TRADE IN'!$F164=0,"",(VLOOKUP($C164,REV!$C:$AA,22,0)-'TRADE IN'!$F164))</f>
        <v>899</v>
      </c>
      <c r="Y164" s="46">
        <f>IF(VLOOKUP($C164,REV!$C:$AA,23,0)-'TRADE IN'!$F164=0,"",(VLOOKUP($C164,REV!$C:$AA,23,0)-'TRADE IN'!$F164))</f>
        <v>899</v>
      </c>
      <c r="Z164" s="46">
        <f>IF(VLOOKUP($C164,REV!$C:$AA,24,0)-'TRADE IN'!$F164=0,"",(VLOOKUP($C164,REV!$C:$AA,24,0)-'TRADE IN'!$F164))</f>
        <v>899</v>
      </c>
      <c r="AA164" s="46">
        <f>IF(VLOOKUP($C164,REV!$C:$AA,25,0)-'TRADE IN'!$F164=0,"",(VLOOKUP($C164,REV!$C:$AA,25,0)-'TRADE IN'!$F164))</f>
        <v>899</v>
      </c>
      <c r="AB164" s="45"/>
      <c r="AC164" s="45"/>
      <c r="AD164" s="45"/>
      <c r="AE164" s="45"/>
      <c r="AF164" s="45"/>
      <c r="AG164" s="45"/>
      <c r="AH164" s="45"/>
      <c r="AI164" s="45"/>
      <c r="AJ164" s="45"/>
      <c r="AK164" s="45"/>
      <c r="AL164" s="45"/>
      <c r="AM164" s="45"/>
      <c r="AN164" s="45"/>
      <c r="AO164" s="45"/>
      <c r="AP164" s="45"/>
      <c r="AQ164" s="45"/>
      <c r="AR164" s="45"/>
      <c r="AS164" s="45"/>
      <c r="AT164" s="45"/>
      <c r="AU164" s="45"/>
      <c r="AV164" s="47"/>
      <c r="AW164" s="48" t="str">
        <f>REV!AW164</f>
        <v>13.08.2026</v>
      </c>
      <c r="AX164" s="149" t="s">
        <v>68</v>
      </c>
    </row>
    <row r="165" spans="1:50" ht="21.75" customHeight="1">
      <c r="A165" s="55" t="s">
        <v>222</v>
      </c>
      <c r="B165" s="42" t="s">
        <v>64</v>
      </c>
      <c r="C165" s="43">
        <v>4016663</v>
      </c>
      <c r="D165" s="56" t="s">
        <v>278</v>
      </c>
      <c r="E165" s="56" t="s">
        <v>280</v>
      </c>
      <c r="F165" s="45">
        <v>100</v>
      </c>
      <c r="G165" s="45"/>
      <c r="H165" s="45"/>
      <c r="I165" s="45"/>
      <c r="J165" s="46">
        <f>IF(VLOOKUP($C165,REV!$C:$AA,8,0)-'TRADE IN'!$F165=0,"",(VLOOKUP($C165,REV!$C:$AA,8,0)-'TRADE IN'!$F165))</f>
        <v>1199</v>
      </c>
      <c r="K165" s="46">
        <f>IF(VLOOKUP($C165,REV!$C:$AA,9,0)-'TRADE IN'!$F165=0,"",(VLOOKUP($C165,REV!$C:$AA,9,0)-'TRADE IN'!$F165))</f>
        <v>1199</v>
      </c>
      <c r="L165" s="46">
        <f>IF(VLOOKUP($C165,REV!$C:$AA,10,0)-'TRADE IN'!$F165=0,"",(VLOOKUP($C165,REV!$C:$AA,10,0)-'TRADE IN'!$F165))</f>
        <v>1199</v>
      </c>
      <c r="M165" s="46">
        <f>IF(VLOOKUP($C165,REV!$C:$AA,11,0)-'TRADE IN'!$F165=0,"",(VLOOKUP($C165,REV!$C:$AA,11,0)-'TRADE IN'!$F165))</f>
        <v>1199</v>
      </c>
      <c r="N165" s="46">
        <f>IF(VLOOKUP($C165,REV!$C:$AA,12,0)-'TRADE IN'!$F165=0,"",(VLOOKUP($C165,REV!$C:$AA,12,0)-'TRADE IN'!$F165))</f>
        <v>1199</v>
      </c>
      <c r="O165" s="46">
        <f>IF(VLOOKUP($C165,REV!$C:$AA,13,0)-'TRADE IN'!$F165=0,"",(VLOOKUP($C165,REV!$C:$AA,13,0)-'TRADE IN'!$F165))</f>
        <v>1149</v>
      </c>
      <c r="P165" s="46">
        <f>IF(VLOOKUP($C165,REV!$C:$AA,14,0)-'TRADE IN'!$F165=0,"",(VLOOKUP($C165,REV!$C:$AA,14,0)-'TRADE IN'!$F165))</f>
        <v>1099</v>
      </c>
      <c r="Q165" s="46">
        <f>IF(VLOOKUP($C165,REV!$C:$AA,15,0)-'TRADE IN'!$F165=0,"",(VLOOKUP($C165,REV!$C:$AA,15,0)-'TRADE IN'!$F165))</f>
        <v>899</v>
      </c>
      <c r="R165" s="46">
        <f>IF(VLOOKUP($C165,REV!$C:$AA,16,0)-'TRADE IN'!$F165=0,"",(VLOOKUP($C165,REV!$C:$AA,16,0)-'TRADE IN'!$F165))</f>
        <v>1149</v>
      </c>
      <c r="S165" s="46">
        <f>IF(VLOOKUP($C165,REV!$C:$AA,17,0)-'TRADE IN'!$F165=0,"",(VLOOKUP($C165,REV!$C:$AA,17,0)-'TRADE IN'!$F165))</f>
        <v>1099</v>
      </c>
      <c r="T165" s="46">
        <f>IF(VLOOKUP($C165,REV!$C:$AA,18,0)-'TRADE IN'!$F165=0,"",(VLOOKUP($C165,REV!$C:$AA,18,0)-'TRADE IN'!$F165))</f>
        <v>899</v>
      </c>
      <c r="U165" s="46">
        <f>IF(VLOOKUP($C165,REV!$C:$AA,19,0)-'TRADE IN'!$F165=0,"",(VLOOKUP($C165,REV!$C:$AA,19,0)-'TRADE IN'!$F165))</f>
        <v>899</v>
      </c>
      <c r="V165" s="46">
        <f>IF(VLOOKUP($C165,REV!$C:$AA,20,0)-'TRADE IN'!$F165=0,"",(VLOOKUP($C165,REV!$C:$AA,20,0)-'TRADE IN'!$F165))</f>
        <v>899</v>
      </c>
      <c r="W165" s="46">
        <f>IF(VLOOKUP($C165,REV!$C:$AA,21,0)-'TRADE IN'!$F165=0,"",(VLOOKUP($C165,REV!$C:$AA,21,0)-'TRADE IN'!$F165))</f>
        <v>899</v>
      </c>
      <c r="X165" s="46">
        <f>IF(VLOOKUP($C165,REV!$C:$AA,22,0)-'TRADE IN'!$F165=0,"",(VLOOKUP($C165,REV!$C:$AA,22,0)-'TRADE IN'!$F165))</f>
        <v>899</v>
      </c>
      <c r="Y165" s="46">
        <f>IF(VLOOKUP($C165,REV!$C:$AA,23,0)-'TRADE IN'!$F165=0,"",(VLOOKUP($C165,REV!$C:$AA,23,0)-'TRADE IN'!$F165))</f>
        <v>899</v>
      </c>
      <c r="Z165" s="46">
        <f>IF(VLOOKUP($C165,REV!$C:$AA,24,0)-'TRADE IN'!$F165=0,"",(VLOOKUP($C165,REV!$C:$AA,24,0)-'TRADE IN'!$F165))</f>
        <v>899</v>
      </c>
      <c r="AA165" s="46">
        <f>IF(VLOOKUP($C165,REV!$C:$AA,25,0)-'TRADE IN'!$F165=0,"",(VLOOKUP($C165,REV!$C:$AA,25,0)-'TRADE IN'!$F165))</f>
        <v>899</v>
      </c>
      <c r="AB165" s="45"/>
      <c r="AC165" s="45"/>
      <c r="AD165" s="45"/>
      <c r="AE165" s="45"/>
      <c r="AF165" s="45"/>
      <c r="AG165" s="45"/>
      <c r="AH165" s="45"/>
      <c r="AI165" s="45"/>
      <c r="AJ165" s="45"/>
      <c r="AK165" s="45"/>
      <c r="AL165" s="45"/>
      <c r="AM165" s="45"/>
      <c r="AN165" s="45"/>
      <c r="AO165" s="45"/>
      <c r="AP165" s="45"/>
      <c r="AQ165" s="45"/>
      <c r="AR165" s="45"/>
      <c r="AS165" s="45"/>
      <c r="AT165" s="45"/>
      <c r="AU165" s="45"/>
      <c r="AV165" s="47"/>
      <c r="AW165" s="48" t="str">
        <f>REV!AW165</f>
        <v>13.08.2026</v>
      </c>
      <c r="AX165" s="149" t="s">
        <v>68</v>
      </c>
    </row>
    <row r="166" spans="1:50" ht="21.75" customHeight="1">
      <c r="A166" s="55" t="s">
        <v>222</v>
      </c>
      <c r="B166" s="42" t="s">
        <v>64</v>
      </c>
      <c r="C166" s="43">
        <v>4017967</v>
      </c>
      <c r="D166" s="56" t="s">
        <v>281</v>
      </c>
      <c r="E166" s="56" t="s">
        <v>282</v>
      </c>
      <c r="F166" s="45">
        <v>100</v>
      </c>
      <c r="G166" s="45"/>
      <c r="H166" s="45"/>
      <c r="I166" s="45"/>
      <c r="J166" s="46">
        <f>IF(VLOOKUP($C166,REV!$C:$AA,8,0)-'TRADE IN'!$F166=0,"",(VLOOKUP($C166,REV!$C:$AA,8,0)-'TRADE IN'!$F166))</f>
        <v>999</v>
      </c>
      <c r="K166" s="46">
        <f>IF(VLOOKUP($C166,REV!$C:$AA,9,0)-'TRADE IN'!$F166=0,"",(VLOOKUP($C166,REV!$C:$AA,9,0)-'TRADE IN'!$F166))</f>
        <v>899</v>
      </c>
      <c r="L166" s="46">
        <f>IF(VLOOKUP($C166,REV!$C:$AA,10,0)-'TRADE IN'!$F166=0,"",(VLOOKUP($C166,REV!$C:$AA,10,0)-'TRADE IN'!$F166))</f>
        <v>899</v>
      </c>
      <c r="M166" s="46">
        <f>IF(VLOOKUP($C166,REV!$C:$AA,11,0)-'TRADE IN'!$F166=0,"",(VLOOKUP($C166,REV!$C:$AA,11,0)-'TRADE IN'!$F166))</f>
        <v>999</v>
      </c>
      <c r="N166" s="46">
        <f>IF(VLOOKUP($C166,REV!$C:$AA,12,0)-'TRADE IN'!$F166=0,"",(VLOOKUP($C166,REV!$C:$AA,12,0)-'TRADE IN'!$F166))</f>
        <v>899</v>
      </c>
      <c r="O166" s="46">
        <f>IF(VLOOKUP($C166,REV!$C:$AA,13,0)-'TRADE IN'!$F166=0,"",(VLOOKUP($C166,REV!$C:$AA,13,0)-'TRADE IN'!$F166))</f>
        <v>899</v>
      </c>
      <c r="P166" s="46">
        <f>IF(VLOOKUP($C166,REV!$C:$AA,14,0)-'TRADE IN'!$F166=0,"",(VLOOKUP($C166,REV!$C:$AA,14,0)-'TRADE IN'!$F166))</f>
        <v>899</v>
      </c>
      <c r="Q166" s="46">
        <f>IF(VLOOKUP($C166,REV!$C:$AA,15,0)-'TRADE IN'!$F166=0,"",(VLOOKUP($C166,REV!$C:$AA,15,0)-'TRADE IN'!$F166))</f>
        <v>899</v>
      </c>
      <c r="R166" s="46">
        <f>IF(VLOOKUP($C166,REV!$C:$AA,16,0)-'TRADE IN'!$F166=0,"",(VLOOKUP($C166,REV!$C:$AA,16,0)-'TRADE IN'!$F166))</f>
        <v>899</v>
      </c>
      <c r="S166" s="46">
        <f>IF(VLOOKUP($C166,REV!$C:$AA,17,0)-'TRADE IN'!$F166=0,"",(VLOOKUP($C166,REV!$C:$AA,17,0)-'TRADE IN'!$F166))</f>
        <v>899</v>
      </c>
      <c r="T166" s="46">
        <f>IF(VLOOKUP($C166,REV!$C:$AA,18,0)-'TRADE IN'!$F166=0,"",(VLOOKUP($C166,REV!$C:$AA,18,0)-'TRADE IN'!$F166))</f>
        <v>899</v>
      </c>
      <c r="U166" s="46">
        <f>IF(VLOOKUP($C166,REV!$C:$AA,19,0)-'TRADE IN'!$F166=0,"",(VLOOKUP($C166,REV!$C:$AA,19,0)-'TRADE IN'!$F166))</f>
        <v>899</v>
      </c>
      <c r="V166" s="46">
        <f>IF(VLOOKUP($C166,REV!$C:$AA,20,0)-'TRADE IN'!$F166=0,"",(VLOOKUP($C166,REV!$C:$AA,20,0)-'TRADE IN'!$F166))</f>
        <v>899</v>
      </c>
      <c r="W166" s="46">
        <f>IF(VLOOKUP($C166,REV!$C:$AA,21,0)-'TRADE IN'!$F166=0,"",(VLOOKUP($C166,REV!$C:$AA,21,0)-'TRADE IN'!$F166))</f>
        <v>899</v>
      </c>
      <c r="X166" s="46">
        <f>IF(VLOOKUP($C166,REV!$C:$AA,22,0)-'TRADE IN'!$F166=0,"",(VLOOKUP($C166,REV!$C:$AA,22,0)-'TRADE IN'!$F166))</f>
        <v>899</v>
      </c>
      <c r="Y166" s="46">
        <f>IF(VLOOKUP($C166,REV!$C:$AA,23,0)-'TRADE IN'!$F166=0,"",(VLOOKUP($C166,REV!$C:$AA,23,0)-'TRADE IN'!$F166))</f>
        <v>899</v>
      </c>
      <c r="Z166" s="46">
        <f>IF(VLOOKUP($C166,REV!$C:$AA,24,0)-'TRADE IN'!$F166=0,"",(VLOOKUP($C166,REV!$C:$AA,24,0)-'TRADE IN'!$F166))</f>
        <v>899</v>
      </c>
      <c r="AA166" s="46">
        <f>IF(VLOOKUP($C166,REV!$C:$AA,25,0)-'TRADE IN'!$F166=0,"",(VLOOKUP($C166,REV!$C:$AA,25,0)-'TRADE IN'!$F166))</f>
        <v>899</v>
      </c>
      <c r="AB166" s="45"/>
      <c r="AC166" s="45"/>
      <c r="AD166" s="45"/>
      <c r="AE166" s="45"/>
      <c r="AF166" s="45"/>
      <c r="AG166" s="45"/>
      <c r="AH166" s="45"/>
      <c r="AI166" s="45"/>
      <c r="AJ166" s="45"/>
      <c r="AK166" s="45"/>
      <c r="AL166" s="45"/>
      <c r="AM166" s="45"/>
      <c r="AN166" s="45"/>
      <c r="AO166" s="45"/>
      <c r="AP166" s="45"/>
      <c r="AQ166" s="45"/>
      <c r="AR166" s="45"/>
      <c r="AS166" s="45"/>
      <c r="AT166" s="45"/>
      <c r="AU166" s="45"/>
      <c r="AV166" s="47"/>
      <c r="AW166" s="48" t="str">
        <f>REV!AW166</f>
        <v>13.08.2026</v>
      </c>
      <c r="AX166" s="149" t="s">
        <v>68</v>
      </c>
    </row>
    <row r="167" spans="1:50" ht="21.75" customHeight="1">
      <c r="A167" s="55" t="s">
        <v>222</v>
      </c>
      <c r="B167" s="42" t="s">
        <v>64</v>
      </c>
      <c r="C167" s="43">
        <v>4017963</v>
      </c>
      <c r="D167" s="56" t="s">
        <v>281</v>
      </c>
      <c r="E167" s="56" t="s">
        <v>283</v>
      </c>
      <c r="F167" s="45">
        <v>100</v>
      </c>
      <c r="G167" s="45"/>
      <c r="H167" s="45"/>
      <c r="I167" s="45"/>
      <c r="J167" s="46">
        <f>IF(VLOOKUP($C167,REV!$C:$AA,8,0)-'TRADE IN'!$F167=0,"",(VLOOKUP($C167,REV!$C:$AA,8,0)-'TRADE IN'!$F167))</f>
        <v>999</v>
      </c>
      <c r="K167" s="46">
        <f>IF(VLOOKUP($C167,REV!$C:$AA,9,0)-'TRADE IN'!$F167=0,"",(VLOOKUP($C167,REV!$C:$AA,9,0)-'TRADE IN'!$F167))</f>
        <v>899</v>
      </c>
      <c r="L167" s="46">
        <f>IF(VLOOKUP($C167,REV!$C:$AA,10,0)-'TRADE IN'!$F167=0,"",(VLOOKUP($C167,REV!$C:$AA,10,0)-'TRADE IN'!$F167))</f>
        <v>899</v>
      </c>
      <c r="M167" s="46">
        <f>IF(VLOOKUP($C167,REV!$C:$AA,11,0)-'TRADE IN'!$F167=0,"",(VLOOKUP($C167,REV!$C:$AA,11,0)-'TRADE IN'!$F167))</f>
        <v>999</v>
      </c>
      <c r="N167" s="46">
        <f>IF(VLOOKUP($C167,REV!$C:$AA,12,0)-'TRADE IN'!$F167=0,"",(VLOOKUP($C167,REV!$C:$AA,12,0)-'TRADE IN'!$F167))</f>
        <v>899</v>
      </c>
      <c r="O167" s="46">
        <f>IF(VLOOKUP($C167,REV!$C:$AA,13,0)-'TRADE IN'!$F167=0,"",(VLOOKUP($C167,REV!$C:$AA,13,0)-'TRADE IN'!$F167))</f>
        <v>899</v>
      </c>
      <c r="P167" s="46">
        <f>IF(VLOOKUP($C167,REV!$C:$AA,14,0)-'TRADE IN'!$F167=0,"",(VLOOKUP($C167,REV!$C:$AA,14,0)-'TRADE IN'!$F167))</f>
        <v>899</v>
      </c>
      <c r="Q167" s="46">
        <f>IF(VLOOKUP($C167,REV!$C:$AA,15,0)-'TRADE IN'!$F167=0,"",(VLOOKUP($C167,REV!$C:$AA,15,0)-'TRADE IN'!$F167))</f>
        <v>899</v>
      </c>
      <c r="R167" s="46">
        <f>IF(VLOOKUP($C167,REV!$C:$AA,16,0)-'TRADE IN'!$F167=0,"",(VLOOKUP($C167,REV!$C:$AA,16,0)-'TRADE IN'!$F167))</f>
        <v>899</v>
      </c>
      <c r="S167" s="46">
        <f>IF(VLOOKUP($C167,REV!$C:$AA,17,0)-'TRADE IN'!$F167=0,"",(VLOOKUP($C167,REV!$C:$AA,17,0)-'TRADE IN'!$F167))</f>
        <v>899</v>
      </c>
      <c r="T167" s="46">
        <f>IF(VLOOKUP($C167,REV!$C:$AA,18,0)-'TRADE IN'!$F167=0,"",(VLOOKUP($C167,REV!$C:$AA,18,0)-'TRADE IN'!$F167))</f>
        <v>899</v>
      </c>
      <c r="U167" s="46">
        <f>IF(VLOOKUP($C167,REV!$C:$AA,19,0)-'TRADE IN'!$F167=0,"",(VLOOKUP($C167,REV!$C:$AA,19,0)-'TRADE IN'!$F167))</f>
        <v>899</v>
      </c>
      <c r="V167" s="46">
        <f>IF(VLOOKUP($C167,REV!$C:$AA,20,0)-'TRADE IN'!$F167=0,"",(VLOOKUP($C167,REV!$C:$AA,20,0)-'TRADE IN'!$F167))</f>
        <v>899</v>
      </c>
      <c r="W167" s="46">
        <f>IF(VLOOKUP($C167,REV!$C:$AA,21,0)-'TRADE IN'!$F167=0,"",(VLOOKUP($C167,REV!$C:$AA,21,0)-'TRADE IN'!$F167))</f>
        <v>899</v>
      </c>
      <c r="X167" s="46">
        <f>IF(VLOOKUP($C167,REV!$C:$AA,22,0)-'TRADE IN'!$F167=0,"",(VLOOKUP($C167,REV!$C:$AA,22,0)-'TRADE IN'!$F167))</f>
        <v>899</v>
      </c>
      <c r="Y167" s="46">
        <f>IF(VLOOKUP($C167,REV!$C:$AA,23,0)-'TRADE IN'!$F167=0,"",(VLOOKUP($C167,REV!$C:$AA,23,0)-'TRADE IN'!$F167))</f>
        <v>899</v>
      </c>
      <c r="Z167" s="46">
        <f>IF(VLOOKUP($C167,REV!$C:$AA,24,0)-'TRADE IN'!$F167=0,"",(VLOOKUP($C167,REV!$C:$AA,24,0)-'TRADE IN'!$F167))</f>
        <v>899</v>
      </c>
      <c r="AA167" s="46">
        <f>IF(VLOOKUP($C167,REV!$C:$AA,25,0)-'TRADE IN'!$F167=0,"",(VLOOKUP($C167,REV!$C:$AA,25,0)-'TRADE IN'!$F167))</f>
        <v>899</v>
      </c>
      <c r="AB167" s="45"/>
      <c r="AC167" s="45"/>
      <c r="AD167" s="45"/>
      <c r="AE167" s="45"/>
      <c r="AF167" s="45"/>
      <c r="AG167" s="45"/>
      <c r="AH167" s="45"/>
      <c r="AI167" s="45"/>
      <c r="AJ167" s="45"/>
      <c r="AK167" s="45"/>
      <c r="AL167" s="45"/>
      <c r="AM167" s="45"/>
      <c r="AN167" s="45"/>
      <c r="AO167" s="45"/>
      <c r="AP167" s="45"/>
      <c r="AQ167" s="45"/>
      <c r="AR167" s="45"/>
      <c r="AS167" s="45"/>
      <c r="AT167" s="45"/>
      <c r="AU167" s="45"/>
      <c r="AV167" s="47"/>
      <c r="AW167" s="48" t="str">
        <f>REV!AW167</f>
        <v>13.08.2026</v>
      </c>
      <c r="AX167" s="149" t="s">
        <v>68</v>
      </c>
    </row>
    <row r="168" spans="1:50" ht="21.75" customHeight="1">
      <c r="A168" s="55" t="s">
        <v>222</v>
      </c>
      <c r="B168" s="42" t="s">
        <v>64</v>
      </c>
      <c r="C168" s="43">
        <v>4015328</v>
      </c>
      <c r="D168" s="56" t="s">
        <v>284</v>
      </c>
      <c r="E168" s="56" t="s">
        <v>285</v>
      </c>
      <c r="F168" s="45">
        <v>100</v>
      </c>
      <c r="G168" s="45"/>
      <c r="H168" s="45"/>
      <c r="I168" s="45"/>
      <c r="J168" s="46">
        <f>IF(VLOOKUP($C168,REV!$C:$AA,8,0)-'TRADE IN'!$F168=0,"",(VLOOKUP($C168,REV!$C:$AA,8,0)-'TRADE IN'!$F168))</f>
        <v>429</v>
      </c>
      <c r="K168" s="46">
        <f>IF(VLOOKUP($C168,REV!$C:$AA,9,0)-'TRADE IN'!$F168=0,"",(VLOOKUP($C168,REV!$C:$AA,9,0)-'TRADE IN'!$F168))</f>
        <v>429</v>
      </c>
      <c r="L168" s="46">
        <f>IF(VLOOKUP($C168,REV!$C:$AA,10,0)-'TRADE IN'!$F168=0,"",(VLOOKUP($C168,REV!$C:$AA,10,0)-'TRADE IN'!$F168))</f>
        <v>429</v>
      </c>
      <c r="M168" s="46">
        <f>IF(VLOOKUP($C168,REV!$C:$AA,11,0)-'TRADE IN'!$F168=0,"",(VLOOKUP($C168,REV!$C:$AA,11,0)-'TRADE IN'!$F168))</f>
        <v>429</v>
      </c>
      <c r="N168" s="46">
        <f>IF(VLOOKUP($C168,REV!$C:$AA,12,0)-'TRADE IN'!$F168=0,"",(VLOOKUP($C168,REV!$C:$AA,12,0)-'TRADE IN'!$F168))</f>
        <v>429</v>
      </c>
      <c r="O168" s="46">
        <f>IF(VLOOKUP($C168,REV!$C:$AA,13,0)-'TRADE IN'!$F168=0,"",(VLOOKUP($C168,REV!$C:$AA,13,0)-'TRADE IN'!$F168))</f>
        <v>429</v>
      </c>
      <c r="P168" s="46">
        <f>IF(VLOOKUP($C168,REV!$C:$AA,14,0)-'TRADE IN'!$F168=0,"",(VLOOKUP($C168,REV!$C:$AA,14,0)-'TRADE IN'!$F168))</f>
        <v>429</v>
      </c>
      <c r="Q168" s="46">
        <f>IF(VLOOKUP($C168,REV!$C:$AA,15,0)-'TRADE IN'!$F168=0,"",(VLOOKUP($C168,REV!$C:$AA,15,0)-'TRADE IN'!$F168))</f>
        <v>429</v>
      </c>
      <c r="R168" s="46">
        <f>IF(VLOOKUP($C168,REV!$C:$AA,16,0)-'TRADE IN'!$F168=0,"",(VLOOKUP($C168,REV!$C:$AA,16,0)-'TRADE IN'!$F168))</f>
        <v>429</v>
      </c>
      <c r="S168" s="46">
        <f>IF(VLOOKUP($C168,REV!$C:$AA,17,0)-'TRADE IN'!$F168=0,"",(VLOOKUP($C168,REV!$C:$AA,17,0)-'TRADE IN'!$F168))</f>
        <v>429</v>
      </c>
      <c r="T168" s="46">
        <f>IF(VLOOKUP($C168,REV!$C:$AA,18,0)-'TRADE IN'!$F168=0,"",(VLOOKUP($C168,REV!$C:$AA,18,0)-'TRADE IN'!$F168))</f>
        <v>429</v>
      </c>
      <c r="U168" s="46">
        <f>IF(VLOOKUP($C168,REV!$C:$AA,19,0)-'TRADE IN'!$F168=0,"",(VLOOKUP($C168,REV!$C:$AA,19,0)-'TRADE IN'!$F168))</f>
        <v>429</v>
      </c>
      <c r="V168" s="46">
        <f>IF(VLOOKUP($C168,REV!$C:$AA,20,0)-'TRADE IN'!$F168=0,"",(VLOOKUP($C168,REV!$C:$AA,20,0)-'TRADE IN'!$F168))</f>
        <v>429</v>
      </c>
      <c r="W168" s="46">
        <f>IF(VLOOKUP($C168,REV!$C:$AA,21,0)-'TRADE IN'!$F168=0,"",(VLOOKUP($C168,REV!$C:$AA,21,0)-'TRADE IN'!$F168))</f>
        <v>429</v>
      </c>
      <c r="X168" s="46">
        <f>IF(VLOOKUP($C168,REV!$C:$AA,22,0)-'TRADE IN'!$F168=0,"",(VLOOKUP($C168,REV!$C:$AA,22,0)-'TRADE IN'!$F168))</f>
        <v>429</v>
      </c>
      <c r="Y168" s="46">
        <f>IF(VLOOKUP($C168,REV!$C:$AA,23,0)-'TRADE IN'!$F168=0,"",(VLOOKUP($C168,REV!$C:$AA,23,0)-'TRADE IN'!$F168))</f>
        <v>429</v>
      </c>
      <c r="Z168" s="46">
        <f>IF(VLOOKUP($C168,REV!$C:$AA,24,0)-'TRADE IN'!$F168=0,"",(VLOOKUP($C168,REV!$C:$AA,24,0)-'TRADE IN'!$F168))</f>
        <v>429</v>
      </c>
      <c r="AA168" s="46">
        <f>IF(VLOOKUP($C168,REV!$C:$AA,25,0)-'TRADE IN'!$F168=0,"",(VLOOKUP($C168,REV!$C:$AA,25,0)-'TRADE IN'!$F168))</f>
        <v>429</v>
      </c>
      <c r="AB168" s="45"/>
      <c r="AC168" s="45"/>
      <c r="AD168" s="45"/>
      <c r="AE168" s="45"/>
      <c r="AF168" s="45"/>
      <c r="AG168" s="45"/>
      <c r="AH168" s="45"/>
      <c r="AI168" s="45"/>
      <c r="AJ168" s="45"/>
      <c r="AK168" s="45"/>
      <c r="AL168" s="45"/>
      <c r="AM168" s="45"/>
      <c r="AN168" s="45"/>
      <c r="AO168" s="45"/>
      <c r="AP168" s="45"/>
      <c r="AQ168" s="45"/>
      <c r="AR168" s="45"/>
      <c r="AS168" s="45"/>
      <c r="AT168" s="45"/>
      <c r="AU168" s="45"/>
      <c r="AV168" s="47"/>
      <c r="AW168" s="48" t="str">
        <f>REV!AW168</f>
        <v>13.08.2026</v>
      </c>
      <c r="AX168" s="149" t="s">
        <v>68</v>
      </c>
    </row>
    <row r="169" spans="1:50" ht="21.75" customHeight="1">
      <c r="A169" s="55" t="s">
        <v>222</v>
      </c>
      <c r="B169" s="42" t="s">
        <v>64</v>
      </c>
      <c r="C169" s="43">
        <v>4015336</v>
      </c>
      <c r="D169" s="56" t="s">
        <v>284</v>
      </c>
      <c r="E169" s="56" t="s">
        <v>286</v>
      </c>
      <c r="F169" s="45">
        <v>100</v>
      </c>
      <c r="G169" s="45"/>
      <c r="H169" s="45"/>
      <c r="I169" s="45"/>
      <c r="J169" s="46">
        <f>IF(VLOOKUP($C169,REV!$C:$AA,8,0)-'TRADE IN'!$F169=0,"",(VLOOKUP($C169,REV!$C:$AA,8,0)-'TRADE IN'!$F169))</f>
        <v>429</v>
      </c>
      <c r="K169" s="46">
        <f>IF(VLOOKUP($C169,REV!$C:$AA,9,0)-'TRADE IN'!$F169=0,"",(VLOOKUP($C169,REV!$C:$AA,9,0)-'TRADE IN'!$F169))</f>
        <v>429</v>
      </c>
      <c r="L169" s="46">
        <f>IF(VLOOKUP($C169,REV!$C:$AA,10,0)-'TRADE IN'!$F169=0,"",(VLOOKUP($C169,REV!$C:$AA,10,0)-'TRADE IN'!$F169))</f>
        <v>429</v>
      </c>
      <c r="M169" s="46">
        <f>IF(VLOOKUP($C169,REV!$C:$AA,11,0)-'TRADE IN'!$F169=0,"",(VLOOKUP($C169,REV!$C:$AA,11,0)-'TRADE IN'!$F169))</f>
        <v>429</v>
      </c>
      <c r="N169" s="46">
        <f>IF(VLOOKUP($C169,REV!$C:$AA,12,0)-'TRADE IN'!$F169=0,"",(VLOOKUP($C169,REV!$C:$AA,12,0)-'TRADE IN'!$F169))</f>
        <v>429</v>
      </c>
      <c r="O169" s="46">
        <f>IF(VLOOKUP($C169,REV!$C:$AA,13,0)-'TRADE IN'!$F169=0,"",(VLOOKUP($C169,REV!$C:$AA,13,0)-'TRADE IN'!$F169))</f>
        <v>429</v>
      </c>
      <c r="P169" s="46">
        <f>IF(VLOOKUP($C169,REV!$C:$AA,14,0)-'TRADE IN'!$F169=0,"",(VLOOKUP($C169,REV!$C:$AA,14,0)-'TRADE IN'!$F169))</f>
        <v>429</v>
      </c>
      <c r="Q169" s="46">
        <f>IF(VLOOKUP($C169,REV!$C:$AA,15,0)-'TRADE IN'!$F169=0,"",(VLOOKUP($C169,REV!$C:$AA,15,0)-'TRADE IN'!$F169))</f>
        <v>429</v>
      </c>
      <c r="R169" s="46">
        <f>IF(VLOOKUP($C169,REV!$C:$AA,16,0)-'TRADE IN'!$F169=0,"",(VLOOKUP($C169,REV!$C:$AA,16,0)-'TRADE IN'!$F169))</f>
        <v>429</v>
      </c>
      <c r="S169" s="46">
        <f>IF(VLOOKUP($C169,REV!$C:$AA,17,0)-'TRADE IN'!$F169=0,"",(VLOOKUP($C169,REV!$C:$AA,17,0)-'TRADE IN'!$F169))</f>
        <v>429</v>
      </c>
      <c r="T169" s="46">
        <f>IF(VLOOKUP($C169,REV!$C:$AA,18,0)-'TRADE IN'!$F169=0,"",(VLOOKUP($C169,REV!$C:$AA,18,0)-'TRADE IN'!$F169))</f>
        <v>429</v>
      </c>
      <c r="U169" s="46">
        <f>IF(VLOOKUP($C169,REV!$C:$AA,19,0)-'TRADE IN'!$F169=0,"",(VLOOKUP($C169,REV!$C:$AA,19,0)-'TRADE IN'!$F169))</f>
        <v>429</v>
      </c>
      <c r="V169" s="46">
        <f>IF(VLOOKUP($C169,REV!$C:$AA,20,0)-'TRADE IN'!$F169=0,"",(VLOOKUP($C169,REV!$C:$AA,20,0)-'TRADE IN'!$F169))</f>
        <v>429</v>
      </c>
      <c r="W169" s="46">
        <f>IF(VLOOKUP($C169,REV!$C:$AA,21,0)-'TRADE IN'!$F169=0,"",(VLOOKUP($C169,REV!$C:$AA,21,0)-'TRADE IN'!$F169))</f>
        <v>429</v>
      </c>
      <c r="X169" s="46">
        <f>IF(VLOOKUP($C169,REV!$C:$AA,22,0)-'TRADE IN'!$F169=0,"",(VLOOKUP($C169,REV!$C:$AA,22,0)-'TRADE IN'!$F169))</f>
        <v>429</v>
      </c>
      <c r="Y169" s="46">
        <f>IF(VLOOKUP($C169,REV!$C:$AA,23,0)-'TRADE IN'!$F169=0,"",(VLOOKUP($C169,REV!$C:$AA,23,0)-'TRADE IN'!$F169))</f>
        <v>429</v>
      </c>
      <c r="Z169" s="46">
        <f>IF(VLOOKUP($C169,REV!$C:$AA,24,0)-'TRADE IN'!$F169=0,"",(VLOOKUP($C169,REV!$C:$AA,24,0)-'TRADE IN'!$F169))</f>
        <v>429</v>
      </c>
      <c r="AA169" s="46">
        <f>IF(VLOOKUP($C169,REV!$C:$AA,25,0)-'TRADE IN'!$F169=0,"",(VLOOKUP($C169,REV!$C:$AA,25,0)-'TRADE IN'!$F169))</f>
        <v>429</v>
      </c>
      <c r="AB169" s="45"/>
      <c r="AC169" s="45"/>
      <c r="AD169" s="45"/>
      <c r="AE169" s="45"/>
      <c r="AF169" s="45"/>
      <c r="AG169" s="45"/>
      <c r="AH169" s="45"/>
      <c r="AI169" s="45"/>
      <c r="AJ169" s="45"/>
      <c r="AK169" s="45"/>
      <c r="AL169" s="45"/>
      <c r="AM169" s="45"/>
      <c r="AN169" s="45"/>
      <c r="AO169" s="45"/>
      <c r="AP169" s="45"/>
      <c r="AQ169" s="45"/>
      <c r="AR169" s="45"/>
      <c r="AS169" s="45"/>
      <c r="AT169" s="45"/>
      <c r="AU169" s="45"/>
      <c r="AV169" s="47"/>
      <c r="AW169" s="48" t="str">
        <f>REV!AW169</f>
        <v>13.08.2026</v>
      </c>
      <c r="AX169" s="149" t="s">
        <v>68</v>
      </c>
    </row>
    <row r="170" spans="1:50" ht="21.75" customHeight="1">
      <c r="A170" s="55" t="s">
        <v>222</v>
      </c>
      <c r="B170" s="42" t="s">
        <v>64</v>
      </c>
      <c r="C170" s="43">
        <v>4015989</v>
      </c>
      <c r="D170" s="56" t="s">
        <v>287</v>
      </c>
      <c r="E170" s="56" t="s">
        <v>288</v>
      </c>
      <c r="F170" s="45">
        <v>100</v>
      </c>
      <c r="G170" s="45"/>
      <c r="H170" s="45"/>
      <c r="I170" s="45"/>
      <c r="J170" s="46">
        <f>IF(VLOOKUP($C170,REV!$C:$AA,8,0)-'TRADE IN'!$F170=0,"",(VLOOKUP($C170,REV!$C:$AA,8,0)-'TRADE IN'!$F170))</f>
        <v>1099</v>
      </c>
      <c r="K170" s="46">
        <f>IF(VLOOKUP($C170,REV!$C:$AA,9,0)-'TRADE IN'!$F170=0,"",(VLOOKUP($C170,REV!$C:$AA,9,0)-'TRADE IN'!$F170))</f>
        <v>1099</v>
      </c>
      <c r="L170" s="46">
        <f>IF(VLOOKUP($C170,REV!$C:$AA,10,0)-'TRADE IN'!$F170=0,"",(VLOOKUP($C170,REV!$C:$AA,10,0)-'TRADE IN'!$F170))</f>
        <v>1099</v>
      </c>
      <c r="M170" s="46">
        <f>IF(VLOOKUP($C170,REV!$C:$AA,11,0)-'TRADE IN'!$F170=0,"",(VLOOKUP($C170,REV!$C:$AA,11,0)-'TRADE IN'!$F170))</f>
        <v>1099</v>
      </c>
      <c r="N170" s="46">
        <f>IF(VLOOKUP($C170,REV!$C:$AA,12,0)-'TRADE IN'!$F170=0,"",(VLOOKUP($C170,REV!$C:$AA,12,0)-'TRADE IN'!$F170))</f>
        <v>1099</v>
      </c>
      <c r="O170" s="46">
        <f>IF(VLOOKUP($C170,REV!$C:$AA,13,0)-'TRADE IN'!$F170=0,"",(VLOOKUP($C170,REV!$C:$AA,13,0)-'TRADE IN'!$F170))</f>
        <v>999</v>
      </c>
      <c r="P170" s="46">
        <f>IF(VLOOKUP($C170,REV!$C:$AA,14,0)-'TRADE IN'!$F170=0,"",(VLOOKUP($C170,REV!$C:$AA,14,0)-'TRADE IN'!$F170))</f>
        <v>949</v>
      </c>
      <c r="Q170" s="46">
        <f>IF(VLOOKUP($C170,REV!$C:$AA,15,0)-'TRADE IN'!$F170=0,"",(VLOOKUP($C170,REV!$C:$AA,15,0)-'TRADE IN'!$F170))</f>
        <v>799</v>
      </c>
      <c r="R170" s="46">
        <f>IF(VLOOKUP($C170,REV!$C:$AA,16,0)-'TRADE IN'!$F170=0,"",(VLOOKUP($C170,REV!$C:$AA,16,0)-'TRADE IN'!$F170))</f>
        <v>999</v>
      </c>
      <c r="S170" s="46">
        <f>IF(VLOOKUP($C170,REV!$C:$AA,17,0)-'TRADE IN'!$F170=0,"",(VLOOKUP($C170,REV!$C:$AA,17,0)-'TRADE IN'!$F170))</f>
        <v>949</v>
      </c>
      <c r="T170" s="46">
        <f>IF(VLOOKUP($C170,REV!$C:$AA,18,0)-'TRADE IN'!$F170=0,"",(VLOOKUP($C170,REV!$C:$AA,18,0)-'TRADE IN'!$F170))</f>
        <v>799</v>
      </c>
      <c r="U170" s="46">
        <f>IF(VLOOKUP($C170,REV!$C:$AA,19,0)-'TRADE IN'!$F170=0,"",(VLOOKUP($C170,REV!$C:$AA,19,0)-'TRADE IN'!$F170))</f>
        <v>799</v>
      </c>
      <c r="V170" s="46">
        <f>IF(VLOOKUP($C170,REV!$C:$AA,20,0)-'TRADE IN'!$F170=0,"",(VLOOKUP($C170,REV!$C:$AA,20,0)-'TRADE IN'!$F170))</f>
        <v>799</v>
      </c>
      <c r="W170" s="46">
        <f>IF(VLOOKUP($C170,REV!$C:$AA,21,0)-'TRADE IN'!$F170=0,"",(VLOOKUP($C170,REV!$C:$AA,21,0)-'TRADE IN'!$F170))</f>
        <v>799</v>
      </c>
      <c r="X170" s="46">
        <f>IF(VLOOKUP($C170,REV!$C:$AA,22,0)-'TRADE IN'!$F170=0,"",(VLOOKUP($C170,REV!$C:$AA,22,0)-'TRADE IN'!$F170))</f>
        <v>749</v>
      </c>
      <c r="Y170" s="46">
        <f>IF(VLOOKUP($C170,REV!$C:$AA,23,0)-'TRADE IN'!$F170=0,"",(VLOOKUP($C170,REV!$C:$AA,23,0)-'TRADE IN'!$F170))</f>
        <v>729</v>
      </c>
      <c r="Z170" s="46">
        <f>IF(VLOOKUP($C170,REV!$C:$AA,24,0)-'TRADE IN'!$F170=0,"",(VLOOKUP($C170,REV!$C:$AA,24,0)-'TRADE IN'!$F170))</f>
        <v>729</v>
      </c>
      <c r="AA170" s="46">
        <f>IF(VLOOKUP($C170,REV!$C:$AA,25,0)-'TRADE IN'!$F170=0,"",(VLOOKUP($C170,REV!$C:$AA,25,0)-'TRADE IN'!$F170))</f>
        <v>719</v>
      </c>
      <c r="AB170" s="45"/>
      <c r="AC170" s="45"/>
      <c r="AD170" s="45"/>
      <c r="AE170" s="45"/>
      <c r="AF170" s="45"/>
      <c r="AG170" s="45"/>
      <c r="AH170" s="45"/>
      <c r="AI170" s="45"/>
      <c r="AJ170" s="45"/>
      <c r="AK170" s="45"/>
      <c r="AL170" s="45"/>
      <c r="AM170" s="45"/>
      <c r="AN170" s="45"/>
      <c r="AO170" s="45"/>
      <c r="AP170" s="45"/>
      <c r="AQ170" s="45"/>
      <c r="AR170" s="45"/>
      <c r="AS170" s="45"/>
      <c r="AT170" s="45"/>
      <c r="AU170" s="45"/>
      <c r="AV170" s="47"/>
      <c r="AW170" s="48" t="str">
        <f>REV!AW170</f>
        <v>13.08.2026</v>
      </c>
      <c r="AX170" s="149" t="s">
        <v>68</v>
      </c>
    </row>
    <row r="171" spans="1:50" ht="21.75" customHeight="1">
      <c r="A171" s="55" t="s">
        <v>222</v>
      </c>
      <c r="B171" s="42" t="s">
        <v>64</v>
      </c>
      <c r="C171" s="43">
        <v>4017123</v>
      </c>
      <c r="D171" s="56" t="s">
        <v>289</v>
      </c>
      <c r="E171" s="56" t="s">
        <v>290</v>
      </c>
      <c r="F171" s="45">
        <v>100</v>
      </c>
      <c r="G171" s="45"/>
      <c r="H171" s="45"/>
      <c r="I171" s="45"/>
      <c r="J171" s="46">
        <f>IF(VLOOKUP($C171,REV!$C:$AA,8,0)-'TRADE IN'!$F171=0,"",(VLOOKUP($C171,REV!$C:$AA,8,0)-'TRADE IN'!$F171))</f>
        <v>1799</v>
      </c>
      <c r="K171" s="46">
        <f>IF(VLOOKUP($C171,REV!$C:$AA,9,0)-'TRADE IN'!$F171=0,"",(VLOOKUP($C171,REV!$C:$AA,9,0)-'TRADE IN'!$F171))</f>
        <v>1799</v>
      </c>
      <c r="L171" s="46">
        <f>IF(VLOOKUP($C171,REV!$C:$AA,10,0)-'TRADE IN'!$F171=0,"",(VLOOKUP($C171,REV!$C:$AA,10,0)-'TRADE IN'!$F171))</f>
        <v>1799</v>
      </c>
      <c r="M171" s="46">
        <f>IF(VLOOKUP($C171,REV!$C:$AA,11,0)-'TRADE IN'!$F171=0,"",(VLOOKUP($C171,REV!$C:$AA,11,0)-'TRADE IN'!$F171))</f>
        <v>1799</v>
      </c>
      <c r="N171" s="46">
        <f>IF(VLOOKUP($C171,REV!$C:$AA,12,0)-'TRADE IN'!$F171=0,"",(VLOOKUP($C171,REV!$C:$AA,12,0)-'TRADE IN'!$F171))</f>
        <v>1799</v>
      </c>
      <c r="O171" s="46">
        <f>IF(VLOOKUP($C171,REV!$C:$AA,13,0)-'TRADE IN'!$F171=0,"",(VLOOKUP($C171,REV!$C:$AA,13,0)-'TRADE IN'!$F171))</f>
        <v>1699</v>
      </c>
      <c r="P171" s="46">
        <f>IF(VLOOKUP($C171,REV!$C:$AA,14,0)-'TRADE IN'!$F171=0,"",(VLOOKUP($C171,REV!$C:$AA,14,0)-'TRADE IN'!$F171))</f>
        <v>1599</v>
      </c>
      <c r="Q171" s="46">
        <f>IF(VLOOKUP($C171,REV!$C:$AA,15,0)-'TRADE IN'!$F171=0,"",(VLOOKUP($C171,REV!$C:$AA,15,0)-'TRADE IN'!$F171))</f>
        <v>1399</v>
      </c>
      <c r="R171" s="46">
        <f>IF(VLOOKUP($C171,REV!$C:$AA,16,0)-'TRADE IN'!$F171=0,"",(VLOOKUP($C171,REV!$C:$AA,16,0)-'TRADE IN'!$F171))</f>
        <v>1699</v>
      </c>
      <c r="S171" s="46">
        <f>IF(VLOOKUP($C171,REV!$C:$AA,17,0)-'TRADE IN'!$F171=0,"",(VLOOKUP($C171,REV!$C:$AA,17,0)-'TRADE IN'!$F171))</f>
        <v>1599</v>
      </c>
      <c r="T171" s="46">
        <f>IF(VLOOKUP($C171,REV!$C:$AA,18,0)-'TRADE IN'!$F171=0,"",(VLOOKUP($C171,REV!$C:$AA,18,0)-'TRADE IN'!$F171))</f>
        <v>1399</v>
      </c>
      <c r="U171" s="46">
        <f>IF(VLOOKUP($C171,REV!$C:$AA,19,0)-'TRADE IN'!$F171=0,"",(VLOOKUP($C171,REV!$C:$AA,19,0)-'TRADE IN'!$F171))</f>
        <v>1399</v>
      </c>
      <c r="V171" s="46">
        <f>IF(VLOOKUP($C171,REV!$C:$AA,20,0)-'TRADE IN'!$F171=0,"",(VLOOKUP($C171,REV!$C:$AA,20,0)-'TRADE IN'!$F171))</f>
        <v>1399</v>
      </c>
      <c r="W171" s="46">
        <f>IF(VLOOKUP($C171,REV!$C:$AA,21,0)-'TRADE IN'!$F171=0,"",(VLOOKUP($C171,REV!$C:$AA,21,0)-'TRADE IN'!$F171))</f>
        <v>1399</v>
      </c>
      <c r="X171" s="46">
        <f>IF(VLOOKUP($C171,REV!$C:$AA,22,0)-'TRADE IN'!$F171=0,"",(VLOOKUP($C171,REV!$C:$AA,22,0)-'TRADE IN'!$F171))</f>
        <v>1299</v>
      </c>
      <c r="Y171" s="46">
        <f>IF(VLOOKUP($C171,REV!$C:$AA,23,0)-'TRADE IN'!$F171=0,"",(VLOOKUP($C171,REV!$C:$AA,23,0)-'TRADE IN'!$F171))</f>
        <v>899</v>
      </c>
      <c r="Z171" s="46">
        <f>IF(VLOOKUP($C171,REV!$C:$AA,24,0)-'TRADE IN'!$F171=0,"",(VLOOKUP($C171,REV!$C:$AA,24,0)-'TRADE IN'!$F171))</f>
        <v>899</v>
      </c>
      <c r="AA171" s="46">
        <f>IF(VLOOKUP($C171,REV!$C:$AA,25,0)-'TRADE IN'!$F171=0,"",(VLOOKUP($C171,REV!$C:$AA,25,0)-'TRADE IN'!$F171))</f>
        <v>899</v>
      </c>
      <c r="AB171" s="45">
        <f>IF(VLOOKUP($C171,REV!$C:$AL,27,0)-'TRADE IN'!$F171=0,"",(VLOOKUP($C171,REV!$C:$AL,27,0)-'TRADE IN'!$F171))</f>
        <v>1799</v>
      </c>
      <c r="AC171" s="45">
        <f>IF(VLOOKUP($C171,REV!$C:$AL,28,0)-'TRADE IN'!$F171=0,"",(VLOOKUP($C171,REV!$C:$AL,28,0)-'TRADE IN'!$F171))</f>
        <v>1799</v>
      </c>
      <c r="AD171" s="45">
        <f>IF(VLOOKUP($C171,REV!$C:$AL,29,0)-'TRADE IN'!$F171=0,"",(VLOOKUP($C171,REV!$C:$AL,29,0)-'TRADE IN'!$F171))</f>
        <v>1699</v>
      </c>
      <c r="AE171" s="45">
        <f>IF(VLOOKUP($C171,REV!$C:$AL,30,0)-'TRADE IN'!$F171=0,"",(VLOOKUP($C171,REV!$C:$AL,30,0)-'TRADE IN'!$F171))</f>
        <v>1599</v>
      </c>
      <c r="AF171" s="45">
        <f>IF(VLOOKUP($C171,REV!$C:$AL,31,0)-'TRADE IN'!$F171=0,"",(VLOOKUP($C171,REV!$C:$AL,31,0)-'TRADE IN'!$F171))</f>
        <v>1599</v>
      </c>
      <c r="AG171" s="45">
        <f>IF(VLOOKUP($C171,REV!$C:$AL,31,0)-'TRADE IN'!$F171=0,"",(VLOOKUP($C171,REV!$C:$AL,31,0)-'TRADE IN'!$F171))</f>
        <v>1599</v>
      </c>
      <c r="AH171" s="45">
        <f>IF(VLOOKUP($C171,REV!$C:$AL,32,0)-'TRADE IN'!$F171=0,"",(VLOOKUP($C171,REV!$C:$AL,32,0)-'TRADE IN'!$F171))</f>
        <v>1399</v>
      </c>
      <c r="AI171" s="45">
        <f>IF(VLOOKUP($C171,REV!$C:$AL,33,0)-'TRADE IN'!$F171=0,"",(VLOOKUP($C171,REV!$C:$AL,33,0)-'TRADE IN'!$F171))</f>
        <v>1399</v>
      </c>
      <c r="AJ171" s="45">
        <f>IF(VLOOKUP($C171,REV!$C:$AL,34,0)-'TRADE IN'!$F171=0,"",(VLOOKUP($C171,REV!$C:$AL,34,0)-'TRADE IN'!$F171))</f>
        <v>1399</v>
      </c>
      <c r="AK171" s="45">
        <f>IF(VLOOKUP($C171,REV!$C:$AL,35,0)-'TRADE IN'!$F171=0,"",(VLOOKUP($C171,REV!$C:$AL,35,0)-'TRADE IN'!$F171))</f>
        <v>1399</v>
      </c>
      <c r="AL171" s="45">
        <f>IF(VLOOKUP($C171,REV!$C:$AL,36,0)-'TRADE IN'!$F171=0,"",(VLOOKUP($C171,REV!$C:$AL,36,0)-'TRADE IN'!$F171))</f>
        <v>899</v>
      </c>
      <c r="AM171" s="45"/>
      <c r="AN171" s="45"/>
      <c r="AO171" s="45"/>
      <c r="AP171" s="45"/>
      <c r="AQ171" s="45"/>
      <c r="AR171" s="45"/>
      <c r="AS171" s="45"/>
      <c r="AT171" s="45"/>
      <c r="AU171" s="45"/>
      <c r="AV171" s="47"/>
      <c r="AW171" s="48" t="str">
        <f>REV!AW171</f>
        <v>13.08.2026</v>
      </c>
      <c r="AX171" s="149" t="s">
        <v>68</v>
      </c>
    </row>
    <row r="172" spans="1:50" ht="21.75" customHeight="1">
      <c r="A172" s="55" t="s">
        <v>222</v>
      </c>
      <c r="B172" s="42" t="s">
        <v>64</v>
      </c>
      <c r="C172" s="43">
        <v>4017120</v>
      </c>
      <c r="D172" s="56" t="s">
        <v>289</v>
      </c>
      <c r="E172" s="56" t="s">
        <v>291</v>
      </c>
      <c r="F172" s="45">
        <v>100</v>
      </c>
      <c r="G172" s="45"/>
      <c r="H172" s="45"/>
      <c r="I172" s="45"/>
      <c r="J172" s="46">
        <f>IF(VLOOKUP($C172,REV!$C:$AA,8,0)-'TRADE IN'!$F172=0,"",(VLOOKUP($C172,REV!$C:$AA,8,0)-'TRADE IN'!$F172))</f>
        <v>1799</v>
      </c>
      <c r="K172" s="46">
        <f>IF(VLOOKUP($C172,REV!$C:$AA,9,0)-'TRADE IN'!$F172=0,"",(VLOOKUP($C172,REV!$C:$AA,9,0)-'TRADE IN'!$F172))</f>
        <v>1799</v>
      </c>
      <c r="L172" s="46">
        <f>IF(VLOOKUP($C172,REV!$C:$AA,10,0)-'TRADE IN'!$F172=0,"",(VLOOKUP($C172,REV!$C:$AA,10,0)-'TRADE IN'!$F172))</f>
        <v>1799</v>
      </c>
      <c r="M172" s="46">
        <f>IF(VLOOKUP($C172,REV!$C:$AA,11,0)-'TRADE IN'!$F172=0,"",(VLOOKUP($C172,REV!$C:$AA,11,0)-'TRADE IN'!$F172))</f>
        <v>1799</v>
      </c>
      <c r="N172" s="46">
        <f>IF(VLOOKUP($C172,REV!$C:$AA,12,0)-'TRADE IN'!$F172=0,"",(VLOOKUP($C172,REV!$C:$AA,12,0)-'TRADE IN'!$F172))</f>
        <v>1799</v>
      </c>
      <c r="O172" s="46">
        <f>IF(VLOOKUP($C172,REV!$C:$AA,13,0)-'TRADE IN'!$F172=0,"",(VLOOKUP($C172,REV!$C:$AA,13,0)-'TRADE IN'!$F172))</f>
        <v>1699</v>
      </c>
      <c r="P172" s="46">
        <f>IF(VLOOKUP($C172,REV!$C:$AA,14,0)-'TRADE IN'!$F172=0,"",(VLOOKUP($C172,REV!$C:$AA,14,0)-'TRADE IN'!$F172))</f>
        <v>1599</v>
      </c>
      <c r="Q172" s="46">
        <f>IF(VLOOKUP($C172,REV!$C:$AA,15,0)-'TRADE IN'!$F172=0,"",(VLOOKUP($C172,REV!$C:$AA,15,0)-'TRADE IN'!$F172))</f>
        <v>1399</v>
      </c>
      <c r="R172" s="46">
        <f>IF(VLOOKUP($C172,REV!$C:$AA,16,0)-'TRADE IN'!$F172=0,"",(VLOOKUP($C172,REV!$C:$AA,16,0)-'TRADE IN'!$F172))</f>
        <v>1699</v>
      </c>
      <c r="S172" s="46">
        <f>IF(VLOOKUP($C172,REV!$C:$AA,17,0)-'TRADE IN'!$F172=0,"",(VLOOKUP($C172,REV!$C:$AA,17,0)-'TRADE IN'!$F172))</f>
        <v>1599</v>
      </c>
      <c r="T172" s="46">
        <f>IF(VLOOKUP($C172,REV!$C:$AA,18,0)-'TRADE IN'!$F172=0,"",(VLOOKUP($C172,REV!$C:$AA,18,0)-'TRADE IN'!$F172))</f>
        <v>1399</v>
      </c>
      <c r="U172" s="46">
        <f>IF(VLOOKUP($C172,REV!$C:$AA,19,0)-'TRADE IN'!$F172=0,"",(VLOOKUP($C172,REV!$C:$AA,19,0)-'TRADE IN'!$F172))</f>
        <v>1399</v>
      </c>
      <c r="V172" s="46">
        <f>IF(VLOOKUP($C172,REV!$C:$AA,20,0)-'TRADE IN'!$F172=0,"",(VLOOKUP($C172,REV!$C:$AA,20,0)-'TRADE IN'!$F172))</f>
        <v>1399</v>
      </c>
      <c r="W172" s="46">
        <f>IF(VLOOKUP($C172,REV!$C:$AA,21,0)-'TRADE IN'!$F172=0,"",(VLOOKUP($C172,REV!$C:$AA,21,0)-'TRADE IN'!$F172))</f>
        <v>1399</v>
      </c>
      <c r="X172" s="46">
        <f>IF(VLOOKUP($C172,REV!$C:$AA,22,0)-'TRADE IN'!$F172=0,"",(VLOOKUP($C172,REV!$C:$AA,22,0)-'TRADE IN'!$F172))</f>
        <v>1299</v>
      </c>
      <c r="Y172" s="46">
        <f>IF(VLOOKUP($C172,REV!$C:$AA,23,0)-'TRADE IN'!$F172=0,"",(VLOOKUP($C172,REV!$C:$AA,23,0)-'TRADE IN'!$F172))</f>
        <v>899</v>
      </c>
      <c r="Z172" s="46">
        <f>IF(VLOOKUP($C172,REV!$C:$AA,24,0)-'TRADE IN'!$F172=0,"",(VLOOKUP($C172,REV!$C:$AA,24,0)-'TRADE IN'!$F172))</f>
        <v>899</v>
      </c>
      <c r="AA172" s="46">
        <f>IF(VLOOKUP($C172,REV!$C:$AA,25,0)-'TRADE IN'!$F172=0,"",(VLOOKUP($C172,REV!$C:$AA,25,0)-'TRADE IN'!$F172))</f>
        <v>899</v>
      </c>
      <c r="AB172" s="45">
        <f>IF(VLOOKUP($C172,REV!$C:$AL,27,0)-'TRADE IN'!$F172=0,"",(VLOOKUP($C172,REV!$C:$AL,27,0)-'TRADE IN'!$F172))</f>
        <v>1799</v>
      </c>
      <c r="AC172" s="45">
        <f>IF(VLOOKUP($C172,REV!$C:$AL,28,0)-'TRADE IN'!$F172=0,"",(VLOOKUP($C172,REV!$C:$AL,28,0)-'TRADE IN'!$F172))</f>
        <v>1799</v>
      </c>
      <c r="AD172" s="45">
        <f>IF(VLOOKUP($C172,REV!$C:$AL,29,0)-'TRADE IN'!$F172=0,"",(VLOOKUP($C172,REV!$C:$AL,29,0)-'TRADE IN'!$F172))</f>
        <v>1699</v>
      </c>
      <c r="AE172" s="45">
        <f>IF(VLOOKUP($C172,REV!$C:$AL,30,0)-'TRADE IN'!$F172=0,"",(VLOOKUP($C172,REV!$C:$AL,30,0)-'TRADE IN'!$F172))</f>
        <v>1599</v>
      </c>
      <c r="AF172" s="45">
        <f>IF(VLOOKUP($C172,REV!$C:$AL,31,0)-'TRADE IN'!$F172=0,"",(VLOOKUP($C172,REV!$C:$AL,31,0)-'TRADE IN'!$F172))</f>
        <v>1599</v>
      </c>
      <c r="AG172" s="45">
        <f>IF(VLOOKUP($C172,REV!$C:$AL,31,0)-'TRADE IN'!$F172=0,"",(VLOOKUP($C172,REV!$C:$AL,31,0)-'TRADE IN'!$F172))</f>
        <v>1599</v>
      </c>
      <c r="AH172" s="45">
        <f>IF(VLOOKUP($C172,REV!$C:$AL,32,0)-'TRADE IN'!$F172=0,"",(VLOOKUP($C172,REV!$C:$AL,32,0)-'TRADE IN'!$F172))</f>
        <v>1399</v>
      </c>
      <c r="AI172" s="45">
        <f>IF(VLOOKUP($C172,REV!$C:$AL,33,0)-'TRADE IN'!$F172=0,"",(VLOOKUP($C172,REV!$C:$AL,33,0)-'TRADE IN'!$F172))</f>
        <v>1399</v>
      </c>
      <c r="AJ172" s="45">
        <f>IF(VLOOKUP($C172,REV!$C:$AL,34,0)-'TRADE IN'!$F172=0,"",(VLOOKUP($C172,REV!$C:$AL,34,0)-'TRADE IN'!$F172))</f>
        <v>1399</v>
      </c>
      <c r="AK172" s="45">
        <f>IF(VLOOKUP($C172,REV!$C:$AL,35,0)-'TRADE IN'!$F172=0,"",(VLOOKUP($C172,REV!$C:$AL,35,0)-'TRADE IN'!$F172))</f>
        <v>1399</v>
      </c>
      <c r="AL172" s="45">
        <f>IF(VLOOKUP($C172,REV!$C:$AL,36,0)-'TRADE IN'!$F172=0,"",(VLOOKUP($C172,REV!$C:$AL,36,0)-'TRADE IN'!$F172))</f>
        <v>899</v>
      </c>
      <c r="AM172" s="45"/>
      <c r="AN172" s="45"/>
      <c r="AO172" s="45"/>
      <c r="AP172" s="45"/>
      <c r="AQ172" s="45"/>
      <c r="AR172" s="45"/>
      <c r="AS172" s="45"/>
      <c r="AT172" s="45"/>
      <c r="AU172" s="45"/>
      <c r="AV172" s="47"/>
      <c r="AW172" s="48" t="str">
        <f>REV!AW172</f>
        <v>13.08.2026</v>
      </c>
      <c r="AX172" s="149" t="s">
        <v>68</v>
      </c>
    </row>
    <row r="173" spans="1:50" ht="21.75" customHeight="1">
      <c r="A173" s="55" t="s">
        <v>222</v>
      </c>
      <c r="B173" s="42" t="s">
        <v>64</v>
      </c>
      <c r="C173" s="43">
        <v>4017684</v>
      </c>
      <c r="D173" s="56" t="s">
        <v>292</v>
      </c>
      <c r="E173" s="56" t="s">
        <v>293</v>
      </c>
      <c r="F173" s="45">
        <v>100</v>
      </c>
      <c r="G173" s="45"/>
      <c r="H173" s="45"/>
      <c r="I173" s="45"/>
      <c r="J173" s="46">
        <f>IF(VLOOKUP($C173,REV!$C:$AA,8,0)-'TRADE IN'!$F173=0,"",(VLOOKUP($C173,REV!$C:$AA,8,0)-'TRADE IN'!$F173))</f>
        <v>1399</v>
      </c>
      <c r="K173" s="46">
        <f>IF(VLOOKUP($C173,REV!$C:$AA,9,0)-'TRADE IN'!$F173=0,"",(VLOOKUP($C173,REV!$C:$AA,9,0)-'TRADE IN'!$F173))</f>
        <v>1299</v>
      </c>
      <c r="L173" s="46">
        <f>IF(VLOOKUP($C173,REV!$C:$AA,10,0)-'TRADE IN'!$F173=0,"",(VLOOKUP($C173,REV!$C:$AA,10,0)-'TRADE IN'!$F173))</f>
        <v>1299</v>
      </c>
      <c r="M173" s="46">
        <f>IF(VLOOKUP($C173,REV!$C:$AA,11,0)-'TRADE IN'!$F173=0,"",(VLOOKUP($C173,REV!$C:$AA,11,0)-'TRADE IN'!$F173))</f>
        <v>1399</v>
      </c>
      <c r="N173" s="46">
        <f>IF(VLOOKUP($C173,REV!$C:$AA,12,0)-'TRADE IN'!$F173=0,"",(VLOOKUP($C173,REV!$C:$AA,12,0)-'TRADE IN'!$F173))</f>
        <v>1299</v>
      </c>
      <c r="O173" s="46">
        <f>IF(VLOOKUP($C173,REV!$C:$AA,13,0)-'TRADE IN'!$F173=0,"",(VLOOKUP($C173,REV!$C:$AA,13,0)-'TRADE IN'!$F173))</f>
        <v>1249</v>
      </c>
      <c r="P173" s="46">
        <f>IF(VLOOKUP($C173,REV!$C:$AA,14,0)-'TRADE IN'!$F173=0,"",(VLOOKUP($C173,REV!$C:$AA,14,0)-'TRADE IN'!$F173))</f>
        <v>1249</v>
      </c>
      <c r="Q173" s="46">
        <f>IF(VLOOKUP($C173,REV!$C:$AA,15,0)-'TRADE IN'!$F173=0,"",(VLOOKUP($C173,REV!$C:$AA,15,0)-'TRADE IN'!$F173))</f>
        <v>1099</v>
      </c>
      <c r="R173" s="46">
        <f>IF(VLOOKUP($C173,REV!$C:$AA,16,0)-'TRADE IN'!$F173=0,"",(VLOOKUP($C173,REV!$C:$AA,16,0)-'TRADE IN'!$F173))</f>
        <v>1249</v>
      </c>
      <c r="S173" s="46">
        <f>IF(VLOOKUP($C173,REV!$C:$AA,17,0)-'TRADE IN'!$F173=0,"",(VLOOKUP($C173,REV!$C:$AA,17,0)-'TRADE IN'!$F173))</f>
        <v>1249</v>
      </c>
      <c r="T173" s="46">
        <f>IF(VLOOKUP($C173,REV!$C:$AA,18,0)-'TRADE IN'!$F173=0,"",(VLOOKUP($C173,REV!$C:$AA,18,0)-'TRADE IN'!$F173))</f>
        <v>1099</v>
      </c>
      <c r="U173" s="46">
        <f>IF(VLOOKUP($C173,REV!$C:$AA,19,0)-'TRADE IN'!$F173=0,"",(VLOOKUP($C173,REV!$C:$AA,19,0)-'TRADE IN'!$F173))</f>
        <v>1099</v>
      </c>
      <c r="V173" s="46">
        <f>IF(VLOOKUP($C173,REV!$C:$AA,20,0)-'TRADE IN'!$F173=0,"",(VLOOKUP($C173,REV!$C:$AA,20,0)-'TRADE IN'!$F173))</f>
        <v>1099</v>
      </c>
      <c r="W173" s="46">
        <f>IF(VLOOKUP($C173,REV!$C:$AA,21,0)-'TRADE IN'!$F173=0,"",(VLOOKUP($C173,REV!$C:$AA,21,0)-'TRADE IN'!$F173))</f>
        <v>1099</v>
      </c>
      <c r="X173" s="46">
        <f>IF(VLOOKUP($C173,REV!$C:$AA,22,0)-'TRADE IN'!$F173=0,"",(VLOOKUP($C173,REV!$C:$AA,22,0)-'TRADE IN'!$F173))</f>
        <v>1049</v>
      </c>
      <c r="Y173" s="46">
        <f>IF(VLOOKUP($C173,REV!$C:$AA,23,0)-'TRADE IN'!$F173=0,"",(VLOOKUP($C173,REV!$C:$AA,23,0)-'TRADE IN'!$F173))</f>
        <v>899</v>
      </c>
      <c r="Z173" s="46">
        <f>IF(VLOOKUP($C173,REV!$C:$AA,24,0)-'TRADE IN'!$F173=0,"",(VLOOKUP($C173,REV!$C:$AA,24,0)-'TRADE IN'!$F173))</f>
        <v>899</v>
      </c>
      <c r="AA173" s="46">
        <f>IF(VLOOKUP($C173,REV!$C:$AA,25,0)-'TRADE IN'!$F173=0,"",(VLOOKUP($C173,REV!$C:$AA,25,0)-'TRADE IN'!$F173))</f>
        <v>899</v>
      </c>
      <c r="AB173" s="45"/>
      <c r="AC173" s="45"/>
      <c r="AD173" s="45"/>
      <c r="AE173" s="45"/>
      <c r="AF173" s="45"/>
      <c r="AG173" s="45"/>
      <c r="AH173" s="45"/>
      <c r="AI173" s="45"/>
      <c r="AJ173" s="45"/>
      <c r="AK173" s="45"/>
      <c r="AL173" s="45"/>
      <c r="AM173" s="45"/>
      <c r="AN173" s="45"/>
      <c r="AO173" s="45"/>
      <c r="AP173" s="45"/>
      <c r="AQ173" s="45"/>
      <c r="AR173" s="45"/>
      <c r="AS173" s="45"/>
      <c r="AT173" s="45"/>
      <c r="AU173" s="45"/>
      <c r="AV173" s="47"/>
      <c r="AW173" s="48" t="str">
        <f>REV!AW173</f>
        <v>13.08.2026</v>
      </c>
      <c r="AX173" s="149" t="s">
        <v>68</v>
      </c>
    </row>
    <row r="174" spans="1:50" ht="21.75" customHeight="1">
      <c r="A174" s="55" t="s">
        <v>222</v>
      </c>
      <c r="B174" s="42" t="s">
        <v>64</v>
      </c>
      <c r="C174" s="43">
        <v>4017687</v>
      </c>
      <c r="D174" s="56" t="s">
        <v>292</v>
      </c>
      <c r="E174" s="56" t="s">
        <v>294</v>
      </c>
      <c r="F174" s="45">
        <v>100</v>
      </c>
      <c r="G174" s="45"/>
      <c r="H174" s="45"/>
      <c r="I174" s="45"/>
      <c r="J174" s="46">
        <f>IF(VLOOKUP($C174,REV!$C:$AA,8,0)-'TRADE IN'!$F174=0,"",(VLOOKUP($C174,REV!$C:$AA,8,0)-'TRADE IN'!$F174))</f>
        <v>1399</v>
      </c>
      <c r="K174" s="46">
        <f>IF(VLOOKUP($C174,REV!$C:$AA,9,0)-'TRADE IN'!$F174=0,"",(VLOOKUP($C174,REV!$C:$AA,9,0)-'TRADE IN'!$F174))</f>
        <v>1299</v>
      </c>
      <c r="L174" s="46">
        <f>IF(VLOOKUP($C174,REV!$C:$AA,10,0)-'TRADE IN'!$F174=0,"",(VLOOKUP($C174,REV!$C:$AA,10,0)-'TRADE IN'!$F174))</f>
        <v>1299</v>
      </c>
      <c r="M174" s="46">
        <f>IF(VLOOKUP($C174,REV!$C:$AA,11,0)-'TRADE IN'!$F174=0,"",(VLOOKUP($C174,REV!$C:$AA,11,0)-'TRADE IN'!$F174))</f>
        <v>1399</v>
      </c>
      <c r="N174" s="46">
        <f>IF(VLOOKUP($C174,REV!$C:$AA,12,0)-'TRADE IN'!$F174=0,"",(VLOOKUP($C174,REV!$C:$AA,12,0)-'TRADE IN'!$F174))</f>
        <v>1299</v>
      </c>
      <c r="O174" s="46">
        <f>IF(VLOOKUP($C174,REV!$C:$AA,13,0)-'TRADE IN'!$F174=0,"",(VLOOKUP($C174,REV!$C:$AA,13,0)-'TRADE IN'!$F174))</f>
        <v>1249</v>
      </c>
      <c r="P174" s="46">
        <f>IF(VLOOKUP($C174,REV!$C:$AA,14,0)-'TRADE IN'!$F174=0,"",(VLOOKUP($C174,REV!$C:$AA,14,0)-'TRADE IN'!$F174))</f>
        <v>1249</v>
      </c>
      <c r="Q174" s="46">
        <f>IF(VLOOKUP($C174,REV!$C:$AA,15,0)-'TRADE IN'!$F174=0,"",(VLOOKUP($C174,REV!$C:$AA,15,0)-'TRADE IN'!$F174))</f>
        <v>1099</v>
      </c>
      <c r="R174" s="46">
        <f>IF(VLOOKUP($C174,REV!$C:$AA,16,0)-'TRADE IN'!$F174=0,"",(VLOOKUP($C174,REV!$C:$AA,16,0)-'TRADE IN'!$F174))</f>
        <v>1249</v>
      </c>
      <c r="S174" s="46">
        <f>IF(VLOOKUP($C174,REV!$C:$AA,17,0)-'TRADE IN'!$F174=0,"",(VLOOKUP($C174,REV!$C:$AA,17,0)-'TRADE IN'!$F174))</f>
        <v>1249</v>
      </c>
      <c r="T174" s="46">
        <f>IF(VLOOKUP($C174,REV!$C:$AA,18,0)-'TRADE IN'!$F174=0,"",(VLOOKUP($C174,REV!$C:$AA,18,0)-'TRADE IN'!$F174))</f>
        <v>1099</v>
      </c>
      <c r="U174" s="46">
        <f>IF(VLOOKUP($C174,REV!$C:$AA,19,0)-'TRADE IN'!$F174=0,"",(VLOOKUP($C174,REV!$C:$AA,19,0)-'TRADE IN'!$F174))</f>
        <v>1099</v>
      </c>
      <c r="V174" s="46">
        <f>IF(VLOOKUP($C174,REV!$C:$AA,20,0)-'TRADE IN'!$F174=0,"",(VLOOKUP($C174,REV!$C:$AA,20,0)-'TRADE IN'!$F174))</f>
        <v>1099</v>
      </c>
      <c r="W174" s="46">
        <f>IF(VLOOKUP($C174,REV!$C:$AA,21,0)-'TRADE IN'!$F174=0,"",(VLOOKUP($C174,REV!$C:$AA,21,0)-'TRADE IN'!$F174))</f>
        <v>1099</v>
      </c>
      <c r="X174" s="46">
        <f>IF(VLOOKUP($C174,REV!$C:$AA,22,0)-'TRADE IN'!$F174=0,"",(VLOOKUP($C174,REV!$C:$AA,22,0)-'TRADE IN'!$F174))</f>
        <v>1049</v>
      </c>
      <c r="Y174" s="46">
        <f>IF(VLOOKUP($C174,REV!$C:$AA,23,0)-'TRADE IN'!$F174=0,"",(VLOOKUP($C174,REV!$C:$AA,23,0)-'TRADE IN'!$F174))</f>
        <v>899</v>
      </c>
      <c r="Z174" s="46">
        <f>IF(VLOOKUP($C174,REV!$C:$AA,24,0)-'TRADE IN'!$F174=0,"",(VLOOKUP($C174,REV!$C:$AA,24,0)-'TRADE IN'!$F174))</f>
        <v>899</v>
      </c>
      <c r="AA174" s="46">
        <f>IF(VLOOKUP($C174,REV!$C:$AA,25,0)-'TRADE IN'!$F174=0,"",(VLOOKUP($C174,REV!$C:$AA,25,0)-'TRADE IN'!$F174))</f>
        <v>899</v>
      </c>
      <c r="AB174" s="45"/>
      <c r="AC174" s="45"/>
      <c r="AD174" s="45"/>
      <c r="AE174" s="45"/>
      <c r="AF174" s="45"/>
      <c r="AG174" s="45"/>
      <c r="AH174" s="45"/>
      <c r="AI174" s="45"/>
      <c r="AJ174" s="45"/>
      <c r="AK174" s="45"/>
      <c r="AL174" s="45"/>
      <c r="AM174" s="45"/>
      <c r="AN174" s="45"/>
      <c r="AO174" s="45"/>
      <c r="AP174" s="45"/>
      <c r="AQ174" s="45"/>
      <c r="AR174" s="45"/>
      <c r="AS174" s="45"/>
      <c r="AT174" s="45"/>
      <c r="AU174" s="45"/>
      <c r="AV174" s="47"/>
      <c r="AW174" s="48" t="str">
        <f>REV!AW174</f>
        <v>13.08.2026</v>
      </c>
      <c r="AX174" s="149" t="s">
        <v>68</v>
      </c>
    </row>
    <row r="175" spans="1:50" ht="22" customHeight="1">
      <c r="A175" s="55" t="s">
        <v>222</v>
      </c>
      <c r="B175" s="42" t="s">
        <v>64</v>
      </c>
      <c r="C175" s="43">
        <v>4016652</v>
      </c>
      <c r="D175" s="56" t="s">
        <v>295</v>
      </c>
      <c r="E175" s="56" t="s">
        <v>296</v>
      </c>
      <c r="F175" s="45">
        <v>100</v>
      </c>
      <c r="G175" s="45"/>
      <c r="H175" s="45"/>
      <c r="I175" s="45"/>
      <c r="J175" s="46">
        <f>IF(VLOOKUP($C175,REV!$C:$AA,8,0)-'TRADE IN'!$F175=0,"",(VLOOKUP($C175,REV!$C:$AA,8,0)-'TRADE IN'!$F175))</f>
        <v>1599</v>
      </c>
      <c r="K175" s="46">
        <f>IF(VLOOKUP($C175,REV!$C:$AA,9,0)-'TRADE IN'!$F175=0,"",(VLOOKUP($C175,REV!$C:$AA,9,0)-'TRADE IN'!$F175))</f>
        <v>1599</v>
      </c>
      <c r="L175" s="46">
        <f>IF(VLOOKUP($C175,REV!$C:$AA,10,0)-'TRADE IN'!$F175=0,"",(VLOOKUP($C175,REV!$C:$AA,10,0)-'TRADE IN'!$F175))</f>
        <v>1599</v>
      </c>
      <c r="M175" s="46">
        <f>IF(VLOOKUP($C175,REV!$C:$AA,11,0)-'TRADE IN'!$F175=0,"",(VLOOKUP($C175,REV!$C:$AA,11,0)-'TRADE IN'!$F175))</f>
        <v>1599</v>
      </c>
      <c r="N175" s="46">
        <f>IF(VLOOKUP($C175,REV!$C:$AA,12,0)-'TRADE IN'!$F175=0,"",(VLOOKUP($C175,REV!$C:$AA,12,0)-'TRADE IN'!$F175))</f>
        <v>1599</v>
      </c>
      <c r="O175" s="46">
        <f>IF(VLOOKUP($C175,REV!$C:$AA,13,0)-'TRADE IN'!$F175=0,"",(VLOOKUP($C175,REV!$C:$AA,13,0)-'TRADE IN'!$F175))</f>
        <v>1499</v>
      </c>
      <c r="P175" s="46">
        <f>IF(VLOOKUP($C175,REV!$C:$AA,14,0)-'TRADE IN'!$F175=0,"",(VLOOKUP($C175,REV!$C:$AA,14,0)-'TRADE IN'!$F175))</f>
        <v>1399</v>
      </c>
      <c r="Q175" s="46">
        <f>IF(VLOOKUP($C175,REV!$C:$AA,15,0)-'TRADE IN'!$F175=0,"",(VLOOKUP($C175,REV!$C:$AA,15,0)-'TRADE IN'!$F175))</f>
        <v>899</v>
      </c>
      <c r="R175" s="46">
        <f>IF(VLOOKUP($C175,REV!$C:$AA,16,0)-'TRADE IN'!$F175=0,"",(VLOOKUP($C175,REV!$C:$AA,16,0)-'TRADE IN'!$F175))</f>
        <v>1499</v>
      </c>
      <c r="S175" s="46">
        <f>IF(VLOOKUP($C175,REV!$C:$AA,17,0)-'TRADE IN'!$F175=0,"",(VLOOKUP($C175,REV!$C:$AA,17,0)-'TRADE IN'!$F175))</f>
        <v>1399</v>
      </c>
      <c r="T175" s="46">
        <f>IF(VLOOKUP($C175,REV!$C:$AA,18,0)-'TRADE IN'!$F175=0,"",(VLOOKUP($C175,REV!$C:$AA,18,0)-'TRADE IN'!$F175))</f>
        <v>899</v>
      </c>
      <c r="U175" s="46">
        <f>IF(VLOOKUP($C175,REV!$C:$AA,19,0)-'TRADE IN'!$F175=0,"",(VLOOKUP($C175,REV!$C:$AA,19,0)-'TRADE IN'!$F175))</f>
        <v>899</v>
      </c>
      <c r="V175" s="46">
        <f>IF(VLOOKUP($C175,REV!$C:$AA,20,0)-'TRADE IN'!$F175=0,"",(VLOOKUP($C175,REV!$C:$AA,20,0)-'TRADE IN'!$F175))</f>
        <v>899</v>
      </c>
      <c r="W175" s="46">
        <f>IF(VLOOKUP($C175,REV!$C:$AA,21,0)-'TRADE IN'!$F175=0,"",(VLOOKUP($C175,REV!$C:$AA,21,0)-'TRADE IN'!$F175))</f>
        <v>899</v>
      </c>
      <c r="X175" s="46">
        <f>IF(VLOOKUP($C175,REV!$C:$AA,22,0)-'TRADE IN'!$F175=0,"",(VLOOKUP($C175,REV!$C:$AA,22,0)-'TRADE IN'!$F175))</f>
        <v>899</v>
      </c>
      <c r="Y175" s="46">
        <f>IF(VLOOKUP($C175,REV!$C:$AA,23,0)-'TRADE IN'!$F175=0,"",(VLOOKUP($C175,REV!$C:$AA,23,0)-'TRADE IN'!$F175))</f>
        <v>799</v>
      </c>
      <c r="Z175" s="46">
        <f>IF(VLOOKUP($C175,REV!$C:$AA,24,0)-'TRADE IN'!$F175=0,"",(VLOOKUP($C175,REV!$C:$AA,24,0)-'TRADE IN'!$F175))</f>
        <v>799</v>
      </c>
      <c r="AA175" s="46">
        <f>IF(VLOOKUP($C175,REV!$C:$AA,25,0)-'TRADE IN'!$F175=0,"",(VLOOKUP($C175,REV!$C:$AA,25,0)-'TRADE IN'!$F175))</f>
        <v>799</v>
      </c>
      <c r="AB175" s="45"/>
      <c r="AC175" s="45"/>
      <c r="AD175" s="45"/>
      <c r="AE175" s="45"/>
      <c r="AF175" s="45"/>
      <c r="AG175" s="45"/>
      <c r="AH175" s="45"/>
      <c r="AI175" s="45"/>
      <c r="AJ175" s="45"/>
      <c r="AK175" s="45"/>
      <c r="AL175" s="45"/>
      <c r="AM175" s="45"/>
      <c r="AN175" s="45"/>
      <c r="AO175" s="45"/>
      <c r="AP175" s="45"/>
      <c r="AQ175" s="45"/>
      <c r="AR175" s="45"/>
      <c r="AS175" s="45"/>
      <c r="AT175" s="45"/>
      <c r="AU175" s="45"/>
      <c r="AV175" s="47"/>
      <c r="AW175" s="48" t="str">
        <f>REV!AW175</f>
        <v>13.08.2026</v>
      </c>
      <c r="AX175" s="149" t="s">
        <v>68</v>
      </c>
    </row>
    <row r="176" spans="1:50" ht="22" customHeight="1">
      <c r="A176" s="55" t="s">
        <v>222</v>
      </c>
      <c r="B176" s="42" t="s">
        <v>64</v>
      </c>
      <c r="C176" s="43">
        <v>4016654</v>
      </c>
      <c r="D176" s="56" t="s">
        <v>295</v>
      </c>
      <c r="E176" s="56" t="s">
        <v>297</v>
      </c>
      <c r="F176" s="45">
        <v>100</v>
      </c>
      <c r="G176" s="45"/>
      <c r="H176" s="45"/>
      <c r="I176" s="45"/>
      <c r="J176" s="46">
        <f>IF(VLOOKUP($C176,REV!$C:$AA,8,0)-'TRADE IN'!$F176=0,"",(VLOOKUP($C176,REV!$C:$AA,8,0)-'TRADE IN'!$F176))</f>
        <v>1599</v>
      </c>
      <c r="K176" s="46">
        <f>IF(VLOOKUP($C176,REV!$C:$AA,9,0)-'TRADE IN'!$F176=0,"",(VLOOKUP($C176,REV!$C:$AA,9,0)-'TRADE IN'!$F176))</f>
        <v>1599</v>
      </c>
      <c r="L176" s="46">
        <f>IF(VLOOKUP($C176,REV!$C:$AA,10,0)-'TRADE IN'!$F176=0,"",(VLOOKUP($C176,REV!$C:$AA,10,0)-'TRADE IN'!$F176))</f>
        <v>1599</v>
      </c>
      <c r="M176" s="46">
        <f>IF(VLOOKUP($C176,REV!$C:$AA,11,0)-'TRADE IN'!$F176=0,"",(VLOOKUP($C176,REV!$C:$AA,11,0)-'TRADE IN'!$F176))</f>
        <v>1599</v>
      </c>
      <c r="N176" s="46">
        <f>IF(VLOOKUP($C176,REV!$C:$AA,12,0)-'TRADE IN'!$F176=0,"",(VLOOKUP($C176,REV!$C:$AA,12,0)-'TRADE IN'!$F176))</f>
        <v>1599</v>
      </c>
      <c r="O176" s="46">
        <f>IF(VLOOKUP($C176,REV!$C:$AA,13,0)-'TRADE IN'!$F176=0,"",(VLOOKUP($C176,REV!$C:$AA,13,0)-'TRADE IN'!$F176))</f>
        <v>1499</v>
      </c>
      <c r="P176" s="46">
        <f>IF(VLOOKUP($C176,REV!$C:$AA,14,0)-'TRADE IN'!$F176=0,"",(VLOOKUP($C176,REV!$C:$AA,14,0)-'TRADE IN'!$F176))</f>
        <v>1399</v>
      </c>
      <c r="Q176" s="46">
        <f>IF(VLOOKUP($C176,REV!$C:$AA,15,0)-'TRADE IN'!$F176=0,"",(VLOOKUP($C176,REV!$C:$AA,15,0)-'TRADE IN'!$F176))</f>
        <v>899</v>
      </c>
      <c r="R176" s="46">
        <f>IF(VLOOKUP($C176,REV!$C:$AA,16,0)-'TRADE IN'!$F176=0,"",(VLOOKUP($C176,REV!$C:$AA,16,0)-'TRADE IN'!$F176))</f>
        <v>1499</v>
      </c>
      <c r="S176" s="46">
        <f>IF(VLOOKUP($C176,REV!$C:$AA,17,0)-'TRADE IN'!$F176=0,"",(VLOOKUP($C176,REV!$C:$AA,17,0)-'TRADE IN'!$F176))</f>
        <v>1399</v>
      </c>
      <c r="T176" s="46">
        <f>IF(VLOOKUP($C176,REV!$C:$AA,18,0)-'TRADE IN'!$F176=0,"",(VLOOKUP($C176,REV!$C:$AA,18,0)-'TRADE IN'!$F176))</f>
        <v>899</v>
      </c>
      <c r="U176" s="46">
        <f>IF(VLOOKUP($C176,REV!$C:$AA,19,0)-'TRADE IN'!$F176=0,"",(VLOOKUP($C176,REV!$C:$AA,19,0)-'TRADE IN'!$F176))</f>
        <v>899</v>
      </c>
      <c r="V176" s="46">
        <f>IF(VLOOKUP($C176,REV!$C:$AA,20,0)-'TRADE IN'!$F176=0,"",(VLOOKUP($C176,REV!$C:$AA,20,0)-'TRADE IN'!$F176))</f>
        <v>899</v>
      </c>
      <c r="W176" s="46">
        <f>IF(VLOOKUP($C176,REV!$C:$AA,21,0)-'TRADE IN'!$F176=0,"",(VLOOKUP($C176,REV!$C:$AA,21,0)-'TRADE IN'!$F176))</f>
        <v>899</v>
      </c>
      <c r="X176" s="46">
        <f>IF(VLOOKUP($C176,REV!$C:$AA,22,0)-'TRADE IN'!$F176=0,"",(VLOOKUP($C176,REV!$C:$AA,22,0)-'TRADE IN'!$F176))</f>
        <v>899</v>
      </c>
      <c r="Y176" s="46">
        <f>IF(VLOOKUP($C176,REV!$C:$AA,23,0)-'TRADE IN'!$F176=0,"",(VLOOKUP($C176,REV!$C:$AA,23,0)-'TRADE IN'!$F176))</f>
        <v>799</v>
      </c>
      <c r="Z176" s="46">
        <f>IF(VLOOKUP($C176,REV!$C:$AA,24,0)-'TRADE IN'!$F176=0,"",(VLOOKUP($C176,REV!$C:$AA,24,0)-'TRADE IN'!$F176))</f>
        <v>799</v>
      </c>
      <c r="AA176" s="46">
        <f>IF(VLOOKUP($C176,REV!$C:$AA,25,0)-'TRADE IN'!$F176=0,"",(VLOOKUP($C176,REV!$C:$AA,25,0)-'TRADE IN'!$F176))</f>
        <v>799</v>
      </c>
      <c r="AB176" s="45"/>
      <c r="AC176" s="45"/>
      <c r="AD176" s="45"/>
      <c r="AE176" s="45"/>
      <c r="AF176" s="45"/>
      <c r="AG176" s="45"/>
      <c r="AH176" s="45"/>
      <c r="AI176" s="45"/>
      <c r="AJ176" s="45"/>
      <c r="AK176" s="45"/>
      <c r="AL176" s="45"/>
      <c r="AM176" s="45"/>
      <c r="AN176" s="45"/>
      <c r="AO176" s="45"/>
      <c r="AP176" s="45"/>
      <c r="AQ176" s="45"/>
      <c r="AR176" s="45"/>
      <c r="AS176" s="45"/>
      <c r="AT176" s="45"/>
      <c r="AU176" s="45"/>
      <c r="AV176" s="47"/>
      <c r="AW176" s="48" t="str">
        <f>REV!AW176</f>
        <v>13.08.2026</v>
      </c>
      <c r="AX176" s="149" t="s">
        <v>68</v>
      </c>
    </row>
    <row r="177" spans="1:50" ht="22" customHeight="1">
      <c r="A177" s="55" t="s">
        <v>222</v>
      </c>
      <c r="B177" s="42" t="s">
        <v>64</v>
      </c>
      <c r="C177" s="43">
        <v>4014955</v>
      </c>
      <c r="D177" s="56" t="s">
        <v>298</v>
      </c>
      <c r="E177" s="56" t="s">
        <v>299</v>
      </c>
      <c r="F177" s="45">
        <v>100</v>
      </c>
      <c r="G177" s="45"/>
      <c r="H177" s="45"/>
      <c r="I177" s="45"/>
      <c r="J177" s="46">
        <f>IF(VLOOKUP($C177,REV!$C:$AA,8,0)-'TRADE IN'!$F177=0,"",(VLOOKUP($C177,REV!$C:$AA,8,0)-'TRADE IN'!$F177))</f>
        <v>599</v>
      </c>
      <c r="K177" s="46">
        <f>IF(VLOOKUP($C177,REV!$C:$AA,9,0)-'TRADE IN'!$F177=0,"",(VLOOKUP($C177,REV!$C:$AA,9,0)-'TRADE IN'!$F177))</f>
        <v>599</v>
      </c>
      <c r="L177" s="46">
        <f>IF(VLOOKUP($C177,REV!$C:$AA,10,0)-'TRADE IN'!$F177=0,"",(VLOOKUP($C177,REV!$C:$AA,10,0)-'TRADE IN'!$F177))</f>
        <v>599</v>
      </c>
      <c r="M177" s="46">
        <f>IF(VLOOKUP($C177,REV!$C:$AA,11,0)-'TRADE IN'!$F177=0,"",(VLOOKUP($C177,REV!$C:$AA,11,0)-'TRADE IN'!$F177))</f>
        <v>599</v>
      </c>
      <c r="N177" s="46">
        <f>IF(VLOOKUP($C177,REV!$C:$AA,12,0)-'TRADE IN'!$F177=0,"",(VLOOKUP($C177,REV!$C:$AA,12,0)-'TRADE IN'!$F177))</f>
        <v>599</v>
      </c>
      <c r="O177" s="46">
        <f>IF(VLOOKUP($C177,REV!$C:$AA,13,0)-'TRADE IN'!$F177=0,"",(VLOOKUP($C177,REV!$C:$AA,13,0)-'TRADE IN'!$F177))</f>
        <v>549</v>
      </c>
      <c r="P177" s="46">
        <f>IF(VLOOKUP($C177,REV!$C:$AA,14,0)-'TRADE IN'!$F177=0,"",(VLOOKUP($C177,REV!$C:$AA,14,0)-'TRADE IN'!$F177))</f>
        <v>499</v>
      </c>
      <c r="Q177" s="46">
        <f>IF(VLOOKUP($C177,REV!$C:$AA,15,0)-'TRADE IN'!$F177=0,"",(VLOOKUP($C177,REV!$C:$AA,15,0)-'TRADE IN'!$F177))</f>
        <v>449</v>
      </c>
      <c r="R177" s="46">
        <f>IF(VLOOKUP($C177,REV!$C:$AA,16,0)-'TRADE IN'!$F177=0,"",(VLOOKUP($C177,REV!$C:$AA,16,0)-'TRADE IN'!$F177))</f>
        <v>549</v>
      </c>
      <c r="S177" s="46">
        <f>IF(VLOOKUP($C177,REV!$C:$AA,17,0)-'TRADE IN'!$F177=0,"",(VLOOKUP($C177,REV!$C:$AA,17,0)-'TRADE IN'!$F177))</f>
        <v>499</v>
      </c>
      <c r="T177" s="46">
        <f>IF(VLOOKUP($C177,REV!$C:$AA,18,0)-'TRADE IN'!$F177=0,"",(VLOOKUP($C177,REV!$C:$AA,18,0)-'TRADE IN'!$F177))</f>
        <v>449</v>
      </c>
      <c r="U177" s="46">
        <f>IF(VLOOKUP($C177,REV!$C:$AA,19,0)-'TRADE IN'!$F177=0,"",(VLOOKUP($C177,REV!$C:$AA,19,0)-'TRADE IN'!$F177))</f>
        <v>449</v>
      </c>
      <c r="V177" s="46">
        <f>IF(VLOOKUP($C177,REV!$C:$AA,20,0)-'TRADE IN'!$F177=0,"",(VLOOKUP($C177,REV!$C:$AA,20,0)-'TRADE IN'!$F177))</f>
        <v>449</v>
      </c>
      <c r="W177" s="46">
        <f>IF(VLOOKUP($C177,REV!$C:$AA,21,0)-'TRADE IN'!$F177=0,"",(VLOOKUP($C177,REV!$C:$AA,21,0)-'TRADE IN'!$F177))</f>
        <v>449</v>
      </c>
      <c r="X177" s="46">
        <f>IF(VLOOKUP($C177,REV!$C:$AA,22,0)-'TRADE IN'!$F177=0,"",(VLOOKUP($C177,REV!$C:$AA,22,0)-'TRADE IN'!$F177))</f>
        <v>449</v>
      </c>
      <c r="Y177" s="46">
        <f>IF(VLOOKUP($C177,REV!$C:$AA,23,0)-'TRADE IN'!$F177=0,"",(VLOOKUP($C177,REV!$C:$AA,23,0)-'TRADE IN'!$F177))</f>
        <v>449</v>
      </c>
      <c r="Z177" s="46">
        <f>IF(VLOOKUP($C177,REV!$C:$AA,24,0)-'TRADE IN'!$F177=0,"",(VLOOKUP($C177,REV!$C:$AA,24,0)-'TRADE IN'!$F177))</f>
        <v>449</v>
      </c>
      <c r="AA177" s="46">
        <f>IF(VLOOKUP($C177,REV!$C:$AA,25,0)-'TRADE IN'!$F177=0,"",(VLOOKUP($C177,REV!$C:$AA,25,0)-'TRADE IN'!$F177))</f>
        <v>449</v>
      </c>
      <c r="AB177" s="45"/>
      <c r="AC177" s="45"/>
      <c r="AD177" s="45"/>
      <c r="AE177" s="45"/>
      <c r="AF177" s="45"/>
      <c r="AG177" s="45"/>
      <c r="AH177" s="45"/>
      <c r="AI177" s="45"/>
      <c r="AJ177" s="45"/>
      <c r="AK177" s="45"/>
      <c r="AL177" s="45"/>
      <c r="AM177" s="45"/>
      <c r="AN177" s="45"/>
      <c r="AO177" s="45"/>
      <c r="AP177" s="45"/>
      <c r="AQ177" s="45"/>
      <c r="AR177" s="45"/>
      <c r="AS177" s="45"/>
      <c r="AT177" s="45"/>
      <c r="AU177" s="45"/>
      <c r="AV177" s="47"/>
      <c r="AW177" s="48" t="str">
        <f>REV!AW177</f>
        <v>13.08.2026</v>
      </c>
      <c r="AX177" s="149" t="s">
        <v>68</v>
      </c>
    </row>
    <row r="178" spans="1:50" ht="22" customHeight="1">
      <c r="A178" s="55" t="s">
        <v>222</v>
      </c>
      <c r="B178" s="42" t="s">
        <v>64</v>
      </c>
      <c r="C178" s="43">
        <v>4017126</v>
      </c>
      <c r="D178" s="56" t="s">
        <v>300</v>
      </c>
      <c r="E178" s="56" t="s">
        <v>301</v>
      </c>
      <c r="F178" s="45">
        <v>100</v>
      </c>
      <c r="G178" s="45"/>
      <c r="H178" s="45"/>
      <c r="I178" s="45"/>
      <c r="J178" s="46">
        <f>IF(VLOOKUP($C178,REV!$C:$AA,8,0)-'TRADE IN'!$F178=0,"",(VLOOKUP($C178,REV!$C:$AA,8,0)-'TRADE IN'!$F178))</f>
        <v>2399</v>
      </c>
      <c r="K178" s="46">
        <f>IF(VLOOKUP($C178,REV!$C:$AA,9,0)-'TRADE IN'!$F178=0,"",(VLOOKUP($C178,REV!$C:$AA,9,0)-'TRADE IN'!$F178))</f>
        <v>2399</v>
      </c>
      <c r="L178" s="46">
        <f>IF(VLOOKUP($C178,REV!$C:$AA,10,0)-'TRADE IN'!$F178=0,"",(VLOOKUP($C178,REV!$C:$AA,10,0)-'TRADE IN'!$F178))</f>
        <v>2399</v>
      </c>
      <c r="M178" s="46">
        <f>IF(VLOOKUP($C178,REV!$C:$AA,11,0)-'TRADE IN'!$F178=0,"",(VLOOKUP($C178,REV!$C:$AA,11,0)-'TRADE IN'!$F178))</f>
        <v>2399</v>
      </c>
      <c r="N178" s="46">
        <f>IF(VLOOKUP($C178,REV!$C:$AA,12,0)-'TRADE IN'!$F178=0,"",(VLOOKUP($C178,REV!$C:$AA,12,0)-'TRADE IN'!$F178))</f>
        <v>2399</v>
      </c>
      <c r="O178" s="46">
        <f>IF(VLOOKUP($C178,REV!$C:$AA,13,0)-'TRADE IN'!$F178=0,"",(VLOOKUP($C178,REV!$C:$AA,13,0)-'TRADE IN'!$F178))</f>
        <v>2299</v>
      </c>
      <c r="P178" s="46">
        <f>IF(VLOOKUP($C178,REV!$C:$AA,14,0)-'TRADE IN'!$F178=0,"",(VLOOKUP($C178,REV!$C:$AA,14,0)-'TRADE IN'!$F178))</f>
        <v>2199</v>
      </c>
      <c r="Q178" s="46">
        <f>IF(VLOOKUP($C178,REV!$C:$AA,15,0)-'TRADE IN'!$F178=0,"",(VLOOKUP($C178,REV!$C:$AA,15,0)-'TRADE IN'!$F178))</f>
        <v>1699</v>
      </c>
      <c r="R178" s="46">
        <f>IF(VLOOKUP($C178,REV!$C:$AA,16,0)-'TRADE IN'!$F178=0,"",(VLOOKUP($C178,REV!$C:$AA,16,0)-'TRADE IN'!$F178))</f>
        <v>2299</v>
      </c>
      <c r="S178" s="46">
        <f>IF(VLOOKUP($C178,REV!$C:$AA,17,0)-'TRADE IN'!$F178=0,"",(VLOOKUP($C178,REV!$C:$AA,17,0)-'TRADE IN'!$F178))</f>
        <v>2199</v>
      </c>
      <c r="T178" s="46">
        <f>IF(VLOOKUP($C178,REV!$C:$AA,18,0)-'TRADE IN'!$F178=0,"",(VLOOKUP($C178,REV!$C:$AA,18,0)-'TRADE IN'!$F178))</f>
        <v>1699</v>
      </c>
      <c r="U178" s="46">
        <f>IF(VLOOKUP($C178,REV!$C:$AA,19,0)-'TRADE IN'!$F178=0,"",(VLOOKUP($C178,REV!$C:$AA,19,0)-'TRADE IN'!$F178))</f>
        <v>1699</v>
      </c>
      <c r="V178" s="46">
        <f>IF(VLOOKUP($C178,REV!$C:$AA,20,0)-'TRADE IN'!$F178=0,"",(VLOOKUP($C178,REV!$C:$AA,20,0)-'TRADE IN'!$F178))</f>
        <v>1699</v>
      </c>
      <c r="W178" s="46">
        <f>IF(VLOOKUP($C178,REV!$C:$AA,21,0)-'TRADE IN'!$F178=0,"",(VLOOKUP($C178,REV!$C:$AA,21,0)-'TRADE IN'!$F178))</f>
        <v>1699</v>
      </c>
      <c r="X178" s="46">
        <f>IF(VLOOKUP($C178,REV!$C:$AA,22,0)-'TRADE IN'!$F178=0,"",(VLOOKUP($C178,REV!$C:$AA,22,0)-'TRADE IN'!$F178))</f>
        <v>1249</v>
      </c>
      <c r="Y178" s="46">
        <f>IF(VLOOKUP($C178,REV!$C:$AA,23,0)-'TRADE IN'!$F178=0,"",(VLOOKUP($C178,REV!$C:$AA,23,0)-'TRADE IN'!$F178))</f>
        <v>999</v>
      </c>
      <c r="Z178" s="46">
        <f>IF(VLOOKUP($C178,REV!$C:$AA,24,0)-'TRADE IN'!$F178=0,"",(VLOOKUP($C178,REV!$C:$AA,24,0)-'TRADE IN'!$F178))</f>
        <v>999</v>
      </c>
      <c r="AA178" s="46">
        <f>IF(VLOOKUP($C178,REV!$C:$AA,25,0)-'TRADE IN'!$F178=0,"",(VLOOKUP($C178,REV!$C:$AA,25,0)-'TRADE IN'!$F178))</f>
        <v>999</v>
      </c>
      <c r="AB178" s="45"/>
      <c r="AC178" s="45"/>
      <c r="AD178" s="45"/>
      <c r="AE178" s="45"/>
      <c r="AF178" s="45"/>
      <c r="AG178" s="45"/>
      <c r="AH178" s="45"/>
      <c r="AI178" s="45"/>
      <c r="AJ178" s="45"/>
      <c r="AK178" s="45"/>
      <c r="AL178" s="45"/>
      <c r="AM178" s="45"/>
      <c r="AN178" s="45"/>
      <c r="AO178" s="45"/>
      <c r="AP178" s="45"/>
      <c r="AQ178" s="45"/>
      <c r="AR178" s="45"/>
      <c r="AS178" s="45"/>
      <c r="AT178" s="45"/>
      <c r="AU178" s="45"/>
      <c r="AV178" s="47"/>
      <c r="AW178" s="48" t="str">
        <f>REV!AW178</f>
        <v>13.08.2026</v>
      </c>
      <c r="AX178" s="149" t="s">
        <v>68</v>
      </c>
    </row>
    <row r="179" spans="1:50" ht="22" customHeight="1">
      <c r="A179" s="55" t="s">
        <v>222</v>
      </c>
      <c r="B179" s="42" t="s">
        <v>64</v>
      </c>
      <c r="C179" s="43">
        <v>4017127</v>
      </c>
      <c r="D179" s="56" t="s">
        <v>300</v>
      </c>
      <c r="E179" s="56" t="s">
        <v>302</v>
      </c>
      <c r="F179" s="45">
        <v>100</v>
      </c>
      <c r="G179" s="45"/>
      <c r="H179" s="45"/>
      <c r="I179" s="45"/>
      <c r="J179" s="46">
        <f>IF(VLOOKUP($C179,REV!$C:$AA,8,0)-'TRADE IN'!$F179=0,"",(VLOOKUP($C179,REV!$C:$AA,8,0)-'TRADE IN'!$F179))</f>
        <v>2399</v>
      </c>
      <c r="K179" s="46">
        <f>IF(VLOOKUP($C179,REV!$C:$AA,9,0)-'TRADE IN'!$F179=0,"",(VLOOKUP($C179,REV!$C:$AA,9,0)-'TRADE IN'!$F179))</f>
        <v>2399</v>
      </c>
      <c r="L179" s="46">
        <f>IF(VLOOKUP($C179,REV!$C:$AA,10,0)-'TRADE IN'!$F179=0,"",(VLOOKUP($C179,REV!$C:$AA,10,0)-'TRADE IN'!$F179))</f>
        <v>2399</v>
      </c>
      <c r="M179" s="46">
        <f>IF(VLOOKUP($C179,REV!$C:$AA,11,0)-'TRADE IN'!$F179=0,"",(VLOOKUP($C179,REV!$C:$AA,11,0)-'TRADE IN'!$F179))</f>
        <v>2399</v>
      </c>
      <c r="N179" s="46">
        <f>IF(VLOOKUP($C179,REV!$C:$AA,12,0)-'TRADE IN'!$F179=0,"",(VLOOKUP($C179,REV!$C:$AA,12,0)-'TRADE IN'!$F179))</f>
        <v>2399</v>
      </c>
      <c r="O179" s="46">
        <f>IF(VLOOKUP($C179,REV!$C:$AA,13,0)-'TRADE IN'!$F179=0,"",(VLOOKUP($C179,REV!$C:$AA,13,0)-'TRADE IN'!$F179))</f>
        <v>2299</v>
      </c>
      <c r="P179" s="46">
        <f>IF(VLOOKUP($C179,REV!$C:$AA,14,0)-'TRADE IN'!$F179=0,"",(VLOOKUP($C179,REV!$C:$AA,14,0)-'TRADE IN'!$F179))</f>
        <v>2199</v>
      </c>
      <c r="Q179" s="46">
        <f>IF(VLOOKUP($C179,REV!$C:$AA,15,0)-'TRADE IN'!$F179=0,"",(VLOOKUP($C179,REV!$C:$AA,15,0)-'TRADE IN'!$F179))</f>
        <v>1699</v>
      </c>
      <c r="R179" s="46">
        <f>IF(VLOOKUP($C179,REV!$C:$AA,16,0)-'TRADE IN'!$F179=0,"",(VLOOKUP($C179,REV!$C:$AA,16,0)-'TRADE IN'!$F179))</f>
        <v>2299</v>
      </c>
      <c r="S179" s="46">
        <f>IF(VLOOKUP($C179,REV!$C:$AA,17,0)-'TRADE IN'!$F179=0,"",(VLOOKUP($C179,REV!$C:$AA,17,0)-'TRADE IN'!$F179))</f>
        <v>2199</v>
      </c>
      <c r="T179" s="46">
        <f>IF(VLOOKUP($C179,REV!$C:$AA,18,0)-'TRADE IN'!$F179=0,"",(VLOOKUP($C179,REV!$C:$AA,18,0)-'TRADE IN'!$F179))</f>
        <v>1699</v>
      </c>
      <c r="U179" s="46">
        <f>IF(VLOOKUP($C179,REV!$C:$AA,19,0)-'TRADE IN'!$F179=0,"",(VLOOKUP($C179,REV!$C:$AA,19,0)-'TRADE IN'!$F179))</f>
        <v>1699</v>
      </c>
      <c r="V179" s="46">
        <f>IF(VLOOKUP($C179,REV!$C:$AA,20,0)-'TRADE IN'!$F179=0,"",(VLOOKUP($C179,REV!$C:$AA,20,0)-'TRADE IN'!$F179))</f>
        <v>1699</v>
      </c>
      <c r="W179" s="46">
        <f>IF(VLOOKUP($C179,REV!$C:$AA,21,0)-'TRADE IN'!$F179=0,"",(VLOOKUP($C179,REV!$C:$AA,21,0)-'TRADE IN'!$F179))</f>
        <v>1699</v>
      </c>
      <c r="X179" s="46">
        <f>IF(VLOOKUP($C179,REV!$C:$AA,22,0)-'TRADE IN'!$F179=0,"",(VLOOKUP($C179,REV!$C:$AA,22,0)-'TRADE IN'!$F179))</f>
        <v>1249</v>
      </c>
      <c r="Y179" s="46">
        <f>IF(VLOOKUP($C179,REV!$C:$AA,23,0)-'TRADE IN'!$F179=0,"",(VLOOKUP($C179,REV!$C:$AA,23,0)-'TRADE IN'!$F179))</f>
        <v>999</v>
      </c>
      <c r="Z179" s="46">
        <f>IF(VLOOKUP($C179,REV!$C:$AA,24,0)-'TRADE IN'!$F179=0,"",(VLOOKUP($C179,REV!$C:$AA,24,0)-'TRADE IN'!$F179))</f>
        <v>999</v>
      </c>
      <c r="AA179" s="46">
        <f>IF(VLOOKUP($C179,REV!$C:$AA,25,0)-'TRADE IN'!$F179=0,"",(VLOOKUP($C179,REV!$C:$AA,25,0)-'TRADE IN'!$F179))</f>
        <v>999</v>
      </c>
      <c r="AB179" s="45"/>
      <c r="AC179" s="45"/>
      <c r="AD179" s="45"/>
      <c r="AE179" s="45"/>
      <c r="AF179" s="45"/>
      <c r="AG179" s="45"/>
      <c r="AH179" s="45"/>
      <c r="AI179" s="45"/>
      <c r="AJ179" s="45"/>
      <c r="AK179" s="45"/>
      <c r="AL179" s="45"/>
      <c r="AM179" s="45"/>
      <c r="AN179" s="45"/>
      <c r="AO179" s="45"/>
      <c r="AP179" s="45"/>
      <c r="AQ179" s="45"/>
      <c r="AR179" s="45"/>
      <c r="AS179" s="45"/>
      <c r="AT179" s="45"/>
      <c r="AU179" s="45"/>
      <c r="AV179" s="47"/>
      <c r="AW179" s="48" t="str">
        <f>REV!AW179</f>
        <v>13.08.2026</v>
      </c>
      <c r="AX179" s="149" t="s">
        <v>68</v>
      </c>
    </row>
    <row r="180" spans="1:50" ht="22" customHeight="1">
      <c r="A180" s="55" t="s">
        <v>222</v>
      </c>
      <c r="B180" s="42" t="s">
        <v>64</v>
      </c>
      <c r="C180" s="43">
        <v>4017672</v>
      </c>
      <c r="D180" s="56" t="s">
        <v>300</v>
      </c>
      <c r="E180" s="56" t="s">
        <v>303</v>
      </c>
      <c r="F180" s="45">
        <v>100</v>
      </c>
      <c r="G180" s="45"/>
      <c r="H180" s="45"/>
      <c r="I180" s="45"/>
      <c r="J180" s="46">
        <f>IF(VLOOKUP($C180,REV!$C:$AA,8,0)-'TRADE IN'!$F180=0,"",(VLOOKUP($C180,REV!$C:$AA,8,0)-'TRADE IN'!$F180))</f>
        <v>2399</v>
      </c>
      <c r="K180" s="46">
        <f>IF(VLOOKUP($C180,REV!$C:$AA,9,0)-'TRADE IN'!$F180=0,"",(VLOOKUP($C180,REV!$C:$AA,9,0)-'TRADE IN'!$F180))</f>
        <v>2399</v>
      </c>
      <c r="L180" s="46">
        <f>IF(VLOOKUP($C180,REV!$C:$AA,10,0)-'TRADE IN'!$F180=0,"",(VLOOKUP($C180,REV!$C:$AA,10,0)-'TRADE IN'!$F180))</f>
        <v>2399</v>
      </c>
      <c r="M180" s="46">
        <f>IF(VLOOKUP($C180,REV!$C:$AA,11,0)-'TRADE IN'!$F180=0,"",(VLOOKUP($C180,REV!$C:$AA,11,0)-'TRADE IN'!$F180))</f>
        <v>2399</v>
      </c>
      <c r="N180" s="46">
        <f>IF(VLOOKUP($C180,REV!$C:$AA,12,0)-'TRADE IN'!$F180=0,"",(VLOOKUP($C180,REV!$C:$AA,12,0)-'TRADE IN'!$F180))</f>
        <v>2399</v>
      </c>
      <c r="O180" s="46">
        <f>IF(VLOOKUP($C180,REV!$C:$AA,13,0)-'TRADE IN'!$F180=0,"",(VLOOKUP($C180,REV!$C:$AA,13,0)-'TRADE IN'!$F180))</f>
        <v>2299</v>
      </c>
      <c r="P180" s="46">
        <f>IF(VLOOKUP($C180,REV!$C:$AA,14,0)-'TRADE IN'!$F180=0,"",(VLOOKUP($C180,REV!$C:$AA,14,0)-'TRADE IN'!$F180))</f>
        <v>2199</v>
      </c>
      <c r="Q180" s="46">
        <f>IF(VLOOKUP($C180,REV!$C:$AA,15,0)-'TRADE IN'!$F180=0,"",(VLOOKUP($C180,REV!$C:$AA,15,0)-'TRADE IN'!$F180))</f>
        <v>1699</v>
      </c>
      <c r="R180" s="46">
        <f>IF(VLOOKUP($C180,REV!$C:$AA,16,0)-'TRADE IN'!$F180=0,"",(VLOOKUP($C180,REV!$C:$AA,16,0)-'TRADE IN'!$F180))</f>
        <v>2299</v>
      </c>
      <c r="S180" s="46">
        <f>IF(VLOOKUP($C180,REV!$C:$AA,17,0)-'TRADE IN'!$F180=0,"",(VLOOKUP($C180,REV!$C:$AA,17,0)-'TRADE IN'!$F180))</f>
        <v>2199</v>
      </c>
      <c r="T180" s="46">
        <f>IF(VLOOKUP($C180,REV!$C:$AA,18,0)-'TRADE IN'!$F180=0,"",(VLOOKUP($C180,REV!$C:$AA,18,0)-'TRADE IN'!$F180))</f>
        <v>1699</v>
      </c>
      <c r="U180" s="46">
        <f>IF(VLOOKUP($C180,REV!$C:$AA,19,0)-'TRADE IN'!$F180=0,"",(VLOOKUP($C180,REV!$C:$AA,19,0)-'TRADE IN'!$F180))</f>
        <v>1699</v>
      </c>
      <c r="V180" s="46">
        <f>IF(VLOOKUP($C180,REV!$C:$AA,20,0)-'TRADE IN'!$F180=0,"",(VLOOKUP($C180,REV!$C:$AA,20,0)-'TRADE IN'!$F180))</f>
        <v>1699</v>
      </c>
      <c r="W180" s="46">
        <f>IF(VLOOKUP($C180,REV!$C:$AA,21,0)-'TRADE IN'!$F180=0,"",(VLOOKUP($C180,REV!$C:$AA,21,0)-'TRADE IN'!$F180))</f>
        <v>1699</v>
      </c>
      <c r="X180" s="46">
        <f>IF(VLOOKUP($C180,REV!$C:$AA,22,0)-'TRADE IN'!$F180=0,"",(VLOOKUP($C180,REV!$C:$AA,22,0)-'TRADE IN'!$F180))</f>
        <v>1249</v>
      </c>
      <c r="Y180" s="46">
        <f>IF(VLOOKUP($C180,REV!$C:$AA,23,0)-'TRADE IN'!$F180=0,"",(VLOOKUP($C180,REV!$C:$AA,23,0)-'TRADE IN'!$F180))</f>
        <v>999</v>
      </c>
      <c r="Z180" s="46">
        <f>IF(VLOOKUP($C180,REV!$C:$AA,24,0)-'TRADE IN'!$F180=0,"",(VLOOKUP($C180,REV!$C:$AA,24,0)-'TRADE IN'!$F180))</f>
        <v>999</v>
      </c>
      <c r="AA180" s="46">
        <f>IF(VLOOKUP($C180,REV!$C:$AA,25,0)-'TRADE IN'!$F180=0,"",(VLOOKUP($C180,REV!$C:$AA,25,0)-'TRADE IN'!$F180))</f>
        <v>999</v>
      </c>
      <c r="AB180" s="45"/>
      <c r="AC180" s="45"/>
      <c r="AD180" s="45"/>
      <c r="AE180" s="45"/>
      <c r="AF180" s="45"/>
      <c r="AG180" s="45"/>
      <c r="AH180" s="45"/>
      <c r="AI180" s="45"/>
      <c r="AJ180" s="45"/>
      <c r="AK180" s="45"/>
      <c r="AL180" s="45"/>
      <c r="AM180" s="45"/>
      <c r="AN180" s="45"/>
      <c r="AO180" s="45"/>
      <c r="AP180" s="45"/>
      <c r="AQ180" s="45"/>
      <c r="AR180" s="45"/>
      <c r="AS180" s="45"/>
      <c r="AT180" s="45"/>
      <c r="AU180" s="45"/>
      <c r="AV180" s="47"/>
      <c r="AW180" s="48" t="str">
        <f>REV!AW180</f>
        <v>13.08.2026</v>
      </c>
      <c r="AX180" s="149" t="s">
        <v>68</v>
      </c>
    </row>
    <row r="181" spans="1:50" ht="22" customHeight="1">
      <c r="A181" s="55" t="s">
        <v>222</v>
      </c>
      <c r="B181" s="42" t="s">
        <v>64</v>
      </c>
      <c r="C181" s="43">
        <v>4017673</v>
      </c>
      <c r="D181" s="56" t="s">
        <v>300</v>
      </c>
      <c r="E181" s="56" t="s">
        <v>304</v>
      </c>
      <c r="F181" s="45">
        <v>100</v>
      </c>
      <c r="G181" s="45"/>
      <c r="H181" s="45"/>
      <c r="I181" s="45"/>
      <c r="J181" s="46">
        <f>IF(VLOOKUP($C181,REV!$C:$AA,8,0)-'TRADE IN'!$F181=0,"",(VLOOKUP($C181,REV!$C:$AA,8,0)-'TRADE IN'!$F181))</f>
        <v>2399</v>
      </c>
      <c r="K181" s="46">
        <f>IF(VLOOKUP($C181,REV!$C:$AA,9,0)-'TRADE IN'!$F181=0,"",(VLOOKUP($C181,REV!$C:$AA,9,0)-'TRADE IN'!$F181))</f>
        <v>2399</v>
      </c>
      <c r="L181" s="46">
        <f>IF(VLOOKUP($C181,REV!$C:$AA,10,0)-'TRADE IN'!$F181=0,"",(VLOOKUP($C181,REV!$C:$AA,10,0)-'TRADE IN'!$F181))</f>
        <v>2399</v>
      </c>
      <c r="M181" s="46">
        <f>IF(VLOOKUP($C181,REV!$C:$AA,11,0)-'TRADE IN'!$F181=0,"",(VLOOKUP($C181,REV!$C:$AA,11,0)-'TRADE IN'!$F181))</f>
        <v>2399</v>
      </c>
      <c r="N181" s="46">
        <f>IF(VLOOKUP($C181,REV!$C:$AA,12,0)-'TRADE IN'!$F181=0,"",(VLOOKUP($C181,REV!$C:$AA,12,0)-'TRADE IN'!$F181))</f>
        <v>2399</v>
      </c>
      <c r="O181" s="46">
        <f>IF(VLOOKUP($C181,REV!$C:$AA,13,0)-'TRADE IN'!$F181=0,"",(VLOOKUP($C181,REV!$C:$AA,13,0)-'TRADE IN'!$F181))</f>
        <v>2299</v>
      </c>
      <c r="P181" s="46">
        <f>IF(VLOOKUP($C181,REV!$C:$AA,14,0)-'TRADE IN'!$F181=0,"",(VLOOKUP($C181,REV!$C:$AA,14,0)-'TRADE IN'!$F181))</f>
        <v>2199</v>
      </c>
      <c r="Q181" s="46">
        <f>IF(VLOOKUP($C181,REV!$C:$AA,15,0)-'TRADE IN'!$F181=0,"",(VLOOKUP($C181,REV!$C:$AA,15,0)-'TRADE IN'!$F181))</f>
        <v>1699</v>
      </c>
      <c r="R181" s="46">
        <f>IF(VLOOKUP($C181,REV!$C:$AA,16,0)-'TRADE IN'!$F181=0,"",(VLOOKUP($C181,REV!$C:$AA,16,0)-'TRADE IN'!$F181))</f>
        <v>2299</v>
      </c>
      <c r="S181" s="46">
        <f>IF(VLOOKUP($C181,REV!$C:$AA,17,0)-'TRADE IN'!$F181=0,"",(VLOOKUP($C181,REV!$C:$AA,17,0)-'TRADE IN'!$F181))</f>
        <v>2199</v>
      </c>
      <c r="T181" s="46">
        <f>IF(VLOOKUP($C181,REV!$C:$AA,18,0)-'TRADE IN'!$F181=0,"",(VLOOKUP($C181,REV!$C:$AA,18,0)-'TRADE IN'!$F181))</f>
        <v>1699</v>
      </c>
      <c r="U181" s="46">
        <f>IF(VLOOKUP($C181,REV!$C:$AA,19,0)-'TRADE IN'!$F181=0,"",(VLOOKUP($C181,REV!$C:$AA,19,0)-'TRADE IN'!$F181))</f>
        <v>1699</v>
      </c>
      <c r="V181" s="46">
        <f>IF(VLOOKUP($C181,REV!$C:$AA,20,0)-'TRADE IN'!$F181=0,"",(VLOOKUP($C181,REV!$C:$AA,20,0)-'TRADE IN'!$F181))</f>
        <v>1699</v>
      </c>
      <c r="W181" s="46">
        <f>IF(VLOOKUP($C181,REV!$C:$AA,21,0)-'TRADE IN'!$F181=0,"",(VLOOKUP($C181,REV!$C:$AA,21,0)-'TRADE IN'!$F181))</f>
        <v>1699</v>
      </c>
      <c r="X181" s="46">
        <f>IF(VLOOKUP($C181,REV!$C:$AA,22,0)-'TRADE IN'!$F181=0,"",(VLOOKUP($C181,REV!$C:$AA,22,0)-'TRADE IN'!$F181))</f>
        <v>1249</v>
      </c>
      <c r="Y181" s="46">
        <f>IF(VLOOKUP($C181,REV!$C:$AA,23,0)-'TRADE IN'!$F181=0,"",(VLOOKUP($C181,REV!$C:$AA,23,0)-'TRADE IN'!$F181))</f>
        <v>999</v>
      </c>
      <c r="Z181" s="46">
        <f>IF(VLOOKUP($C181,REV!$C:$AA,24,0)-'TRADE IN'!$F181=0,"",(VLOOKUP($C181,REV!$C:$AA,24,0)-'TRADE IN'!$F181))</f>
        <v>999</v>
      </c>
      <c r="AA181" s="46">
        <f>IF(VLOOKUP($C181,REV!$C:$AA,25,0)-'TRADE IN'!$F181=0,"",(VLOOKUP($C181,REV!$C:$AA,25,0)-'TRADE IN'!$F181))</f>
        <v>999</v>
      </c>
      <c r="AB181" s="45"/>
      <c r="AC181" s="45"/>
      <c r="AD181" s="45"/>
      <c r="AE181" s="45"/>
      <c r="AF181" s="45"/>
      <c r="AG181" s="45"/>
      <c r="AH181" s="45"/>
      <c r="AI181" s="45"/>
      <c r="AJ181" s="45"/>
      <c r="AK181" s="45"/>
      <c r="AL181" s="45"/>
      <c r="AM181" s="45"/>
      <c r="AN181" s="45"/>
      <c r="AO181" s="45"/>
      <c r="AP181" s="45"/>
      <c r="AQ181" s="45"/>
      <c r="AR181" s="45"/>
      <c r="AS181" s="45"/>
      <c r="AT181" s="45"/>
      <c r="AU181" s="45"/>
      <c r="AV181" s="47"/>
      <c r="AW181" s="48" t="str">
        <f>REV!AW181</f>
        <v>13.08.2026</v>
      </c>
      <c r="AX181" s="149" t="s">
        <v>68</v>
      </c>
    </row>
    <row r="182" spans="1:50" ht="22" customHeight="1">
      <c r="A182" s="55" t="s">
        <v>222</v>
      </c>
      <c r="B182" s="42" t="s">
        <v>64</v>
      </c>
      <c r="C182" s="43">
        <v>4017964</v>
      </c>
      <c r="D182" s="57" t="s">
        <v>305</v>
      </c>
      <c r="E182" s="56" t="s">
        <v>306</v>
      </c>
      <c r="F182" s="54">
        <v>500</v>
      </c>
      <c r="G182" s="45"/>
      <c r="H182" s="45"/>
      <c r="I182" s="45"/>
      <c r="J182" s="46">
        <f>IF(VLOOKUP($C182,REV!$C:$AA,8,0)-'TRADE IN'!$F182=0,"",(VLOOKUP($C182,REV!$C:$AA,8,0)-'TRADE IN'!$F182))</f>
        <v>2199</v>
      </c>
      <c r="K182" s="46">
        <f>IF(VLOOKUP($C182,REV!$C:$AA,9,0)-'TRADE IN'!$F182=0,"",(VLOOKUP($C182,REV!$C:$AA,9,0)-'TRADE IN'!$F182))</f>
        <v>2199</v>
      </c>
      <c r="L182" s="46">
        <f>IF(VLOOKUP($C182,REV!$C:$AA,10,0)-'TRADE IN'!$F182=0,"",(VLOOKUP($C182,REV!$C:$AA,10,0)-'TRADE IN'!$F182))</f>
        <v>2199</v>
      </c>
      <c r="M182" s="46">
        <f>IF(VLOOKUP($C182,REV!$C:$AA,11,0)-'TRADE IN'!$F182=0,"",(VLOOKUP($C182,REV!$C:$AA,11,0)-'TRADE IN'!$F182))</f>
        <v>2199</v>
      </c>
      <c r="N182" s="46">
        <f>IF(VLOOKUP($C182,REV!$C:$AA,12,0)-'TRADE IN'!$F182=0,"",(VLOOKUP($C182,REV!$C:$AA,12,0)-'TRADE IN'!$F182))</f>
        <v>2199</v>
      </c>
      <c r="O182" s="46">
        <f>IF(VLOOKUP($C182,REV!$C:$AA,13,0)-'TRADE IN'!$F182=0,"",(VLOOKUP($C182,REV!$C:$AA,13,0)-'TRADE IN'!$F182))</f>
        <v>2099</v>
      </c>
      <c r="P182" s="46">
        <f>IF(VLOOKUP($C182,REV!$C:$AA,14,0)-'TRADE IN'!$F182=0,"",(VLOOKUP($C182,REV!$C:$AA,14,0)-'TRADE IN'!$F182))</f>
        <v>1999</v>
      </c>
      <c r="Q182" s="46">
        <f>IF(VLOOKUP($C182,REV!$C:$AA,15,0)-'TRADE IN'!$F182=0,"",(VLOOKUP($C182,REV!$C:$AA,15,0)-'TRADE IN'!$F182))</f>
        <v>1499</v>
      </c>
      <c r="R182" s="46">
        <f>IF(VLOOKUP($C182,REV!$C:$AA,16,0)-'TRADE IN'!$F182=0,"",(VLOOKUP($C182,REV!$C:$AA,16,0)-'TRADE IN'!$F182))</f>
        <v>2099</v>
      </c>
      <c r="S182" s="46">
        <f>IF(VLOOKUP($C182,REV!$C:$AA,17,0)-'TRADE IN'!$F182=0,"",(VLOOKUP($C182,REV!$C:$AA,17,0)-'TRADE IN'!$F182))</f>
        <v>1999</v>
      </c>
      <c r="T182" s="46">
        <f>IF(VLOOKUP($C182,REV!$C:$AA,18,0)-'TRADE IN'!$F182=0,"",(VLOOKUP($C182,REV!$C:$AA,18,0)-'TRADE IN'!$F182))</f>
        <v>1499</v>
      </c>
      <c r="U182" s="46">
        <f>IF(VLOOKUP($C182,REV!$C:$AA,19,0)-'TRADE IN'!$F182=0,"",(VLOOKUP($C182,REV!$C:$AA,19,0)-'TRADE IN'!$F182))</f>
        <v>1499</v>
      </c>
      <c r="V182" s="46">
        <f>IF(VLOOKUP($C182,REV!$C:$AA,20,0)-'TRADE IN'!$F182=0,"",(VLOOKUP($C182,REV!$C:$AA,20,0)-'TRADE IN'!$F182))</f>
        <v>1499</v>
      </c>
      <c r="W182" s="46">
        <f>IF(VLOOKUP($C182,REV!$C:$AA,21,0)-'TRADE IN'!$F182=0,"",(VLOOKUP($C182,REV!$C:$AA,21,0)-'TRADE IN'!$F182))</f>
        <v>1499</v>
      </c>
      <c r="X182" s="46">
        <f>IF(VLOOKUP($C182,REV!$C:$AA,22,0)-'TRADE IN'!$F182=0,"",(VLOOKUP($C182,REV!$C:$AA,22,0)-'TRADE IN'!$F182))</f>
        <v>1399</v>
      </c>
      <c r="Y182" s="46">
        <f>IF(VLOOKUP($C182,REV!$C:$AA,23,0)-'TRADE IN'!$F182=0,"",(VLOOKUP($C182,REV!$C:$AA,23,0)-'TRADE IN'!$F182))</f>
        <v>1299</v>
      </c>
      <c r="Z182" s="46">
        <f>IF(VLOOKUP($C182,REV!$C:$AA,24,0)-'TRADE IN'!$F182=0,"",(VLOOKUP($C182,REV!$C:$AA,24,0)-'TRADE IN'!$F182))</f>
        <v>1299</v>
      </c>
      <c r="AA182" s="46">
        <f>IF(VLOOKUP($C182,REV!$C:$AA,25,0)-'TRADE IN'!$F182=0,"",(VLOOKUP($C182,REV!$C:$AA,25,0)-'TRADE IN'!$F182))</f>
        <v>1199</v>
      </c>
      <c r="AB182" s="45"/>
      <c r="AC182" s="45"/>
      <c r="AD182" s="45"/>
      <c r="AE182" s="45"/>
      <c r="AF182" s="45"/>
      <c r="AG182" s="45"/>
      <c r="AH182" s="45"/>
      <c r="AI182" s="45"/>
      <c r="AJ182" s="45"/>
      <c r="AK182" s="45"/>
      <c r="AL182" s="45"/>
      <c r="AM182" s="45"/>
      <c r="AN182" s="45"/>
      <c r="AO182" s="45"/>
      <c r="AP182" s="45"/>
      <c r="AQ182" s="45"/>
      <c r="AR182" s="45"/>
      <c r="AS182" s="45"/>
      <c r="AT182" s="45"/>
      <c r="AU182" s="45"/>
      <c r="AV182" s="47"/>
      <c r="AW182" s="48" t="str">
        <f>REV!AW182</f>
        <v>13.08.2026</v>
      </c>
      <c r="AX182" s="149" t="s">
        <v>68</v>
      </c>
    </row>
    <row r="183" spans="1:50" ht="22" customHeight="1">
      <c r="A183" s="55" t="s">
        <v>222</v>
      </c>
      <c r="B183" s="42" t="s">
        <v>64</v>
      </c>
      <c r="C183" s="43">
        <v>4017966</v>
      </c>
      <c r="D183" s="57" t="s">
        <v>305</v>
      </c>
      <c r="E183" s="56" t="s">
        <v>307</v>
      </c>
      <c r="F183" s="54">
        <v>500</v>
      </c>
      <c r="G183" s="45"/>
      <c r="H183" s="45"/>
      <c r="I183" s="45"/>
      <c r="J183" s="46">
        <f>IF(VLOOKUP($C183,REV!$C:$AA,8,0)-'TRADE IN'!$F183=0,"",(VLOOKUP($C183,REV!$C:$AA,8,0)-'TRADE IN'!$F183))</f>
        <v>2199</v>
      </c>
      <c r="K183" s="46">
        <f>IF(VLOOKUP($C183,REV!$C:$AA,9,0)-'TRADE IN'!$F183=0,"",(VLOOKUP($C183,REV!$C:$AA,9,0)-'TRADE IN'!$F183))</f>
        <v>2199</v>
      </c>
      <c r="L183" s="46">
        <f>IF(VLOOKUP($C183,REV!$C:$AA,10,0)-'TRADE IN'!$F183=0,"",(VLOOKUP($C183,REV!$C:$AA,10,0)-'TRADE IN'!$F183))</f>
        <v>2199</v>
      </c>
      <c r="M183" s="46">
        <f>IF(VLOOKUP($C183,REV!$C:$AA,11,0)-'TRADE IN'!$F183=0,"",(VLOOKUP($C183,REV!$C:$AA,11,0)-'TRADE IN'!$F183))</f>
        <v>2199</v>
      </c>
      <c r="N183" s="46">
        <f>IF(VLOOKUP($C183,REV!$C:$AA,12,0)-'TRADE IN'!$F183=0,"",(VLOOKUP($C183,REV!$C:$AA,12,0)-'TRADE IN'!$F183))</f>
        <v>2199</v>
      </c>
      <c r="O183" s="46">
        <f>IF(VLOOKUP($C183,REV!$C:$AA,13,0)-'TRADE IN'!$F183=0,"",(VLOOKUP($C183,REV!$C:$AA,13,0)-'TRADE IN'!$F183))</f>
        <v>2099</v>
      </c>
      <c r="P183" s="46">
        <f>IF(VLOOKUP($C183,REV!$C:$AA,14,0)-'TRADE IN'!$F183=0,"",(VLOOKUP($C183,REV!$C:$AA,14,0)-'TRADE IN'!$F183))</f>
        <v>1999</v>
      </c>
      <c r="Q183" s="46">
        <f>IF(VLOOKUP($C183,REV!$C:$AA,15,0)-'TRADE IN'!$F183=0,"",(VLOOKUP($C183,REV!$C:$AA,15,0)-'TRADE IN'!$F183))</f>
        <v>1499</v>
      </c>
      <c r="R183" s="46">
        <f>IF(VLOOKUP($C183,REV!$C:$AA,16,0)-'TRADE IN'!$F183=0,"",(VLOOKUP($C183,REV!$C:$AA,16,0)-'TRADE IN'!$F183))</f>
        <v>2099</v>
      </c>
      <c r="S183" s="46">
        <f>IF(VLOOKUP($C183,REV!$C:$AA,17,0)-'TRADE IN'!$F183=0,"",(VLOOKUP($C183,REV!$C:$AA,17,0)-'TRADE IN'!$F183))</f>
        <v>1999</v>
      </c>
      <c r="T183" s="46">
        <f>IF(VLOOKUP($C183,REV!$C:$AA,18,0)-'TRADE IN'!$F183=0,"",(VLOOKUP($C183,REV!$C:$AA,18,0)-'TRADE IN'!$F183))</f>
        <v>1499</v>
      </c>
      <c r="U183" s="46">
        <f>IF(VLOOKUP($C183,REV!$C:$AA,19,0)-'TRADE IN'!$F183=0,"",(VLOOKUP($C183,REV!$C:$AA,19,0)-'TRADE IN'!$F183))</f>
        <v>1499</v>
      </c>
      <c r="V183" s="46">
        <f>IF(VLOOKUP($C183,REV!$C:$AA,20,0)-'TRADE IN'!$F183=0,"",(VLOOKUP($C183,REV!$C:$AA,20,0)-'TRADE IN'!$F183))</f>
        <v>1499</v>
      </c>
      <c r="W183" s="46">
        <f>IF(VLOOKUP($C183,REV!$C:$AA,21,0)-'TRADE IN'!$F183=0,"",(VLOOKUP($C183,REV!$C:$AA,21,0)-'TRADE IN'!$F183))</f>
        <v>1499</v>
      </c>
      <c r="X183" s="46">
        <f>IF(VLOOKUP($C183,REV!$C:$AA,22,0)-'TRADE IN'!$F183=0,"",(VLOOKUP($C183,REV!$C:$AA,22,0)-'TRADE IN'!$F183))</f>
        <v>1399</v>
      </c>
      <c r="Y183" s="46">
        <f>IF(VLOOKUP($C183,REV!$C:$AA,23,0)-'TRADE IN'!$F183=0,"",(VLOOKUP($C183,REV!$C:$AA,23,0)-'TRADE IN'!$F183))</f>
        <v>1299</v>
      </c>
      <c r="Z183" s="46">
        <f>IF(VLOOKUP($C183,REV!$C:$AA,24,0)-'TRADE IN'!$F183=0,"",(VLOOKUP($C183,REV!$C:$AA,24,0)-'TRADE IN'!$F183))</f>
        <v>1299</v>
      </c>
      <c r="AA183" s="46">
        <f>IF(VLOOKUP($C183,REV!$C:$AA,25,0)-'TRADE IN'!$F183=0,"",(VLOOKUP($C183,REV!$C:$AA,25,0)-'TRADE IN'!$F183))</f>
        <v>1199</v>
      </c>
      <c r="AB183" s="45"/>
      <c r="AC183" s="45"/>
      <c r="AD183" s="45"/>
      <c r="AE183" s="45"/>
      <c r="AF183" s="45"/>
      <c r="AG183" s="45"/>
      <c r="AH183" s="45"/>
      <c r="AI183" s="45"/>
      <c r="AJ183" s="45"/>
      <c r="AK183" s="45"/>
      <c r="AL183" s="45"/>
      <c r="AM183" s="45"/>
      <c r="AN183" s="45"/>
      <c r="AO183" s="45"/>
      <c r="AP183" s="45"/>
      <c r="AQ183" s="45"/>
      <c r="AR183" s="45"/>
      <c r="AS183" s="45"/>
      <c r="AT183" s="45"/>
      <c r="AU183" s="45"/>
      <c r="AV183" s="47"/>
      <c r="AW183" s="48" t="str">
        <f>REV!AW183</f>
        <v>13.08.2026</v>
      </c>
      <c r="AX183" s="149" t="s">
        <v>68</v>
      </c>
    </row>
    <row r="184" spans="1:50" ht="22.5" customHeight="1">
      <c r="A184" s="41" t="s">
        <v>63</v>
      </c>
      <c r="B184" s="42" t="s">
        <v>64</v>
      </c>
      <c r="C184" s="43">
        <v>4015582</v>
      </c>
      <c r="D184" s="56" t="s">
        <v>308</v>
      </c>
      <c r="E184" s="56" t="s">
        <v>309</v>
      </c>
      <c r="F184" s="45">
        <v>100</v>
      </c>
      <c r="G184" s="45"/>
      <c r="H184" s="45"/>
      <c r="I184" s="45"/>
      <c r="J184" s="46">
        <f>IF(VLOOKUP($C184,REV!$C:$AA,8,0)-'TRADE IN'!$F184=0,"",(VLOOKUP($C184,REV!$C:$AA,8,0)-'TRADE IN'!$F184))</f>
        <v>2399</v>
      </c>
      <c r="K184" s="46">
        <f>IF(VLOOKUP($C184,REV!$C:$AA,9,0)-'TRADE IN'!$F184=0,"",(VLOOKUP($C184,REV!$C:$AA,9,0)-'TRADE IN'!$F184))</f>
        <v>2299</v>
      </c>
      <c r="L184" s="46">
        <f>IF(VLOOKUP($C184,REV!$C:$AA,10,0)-'TRADE IN'!$F184=0,"",(VLOOKUP($C184,REV!$C:$AA,10,0)-'TRADE IN'!$F184))</f>
        <v>2299</v>
      </c>
      <c r="M184" s="46">
        <f>IF(VLOOKUP($C184,REV!$C:$AA,11,0)-'TRADE IN'!$F184=0,"",(VLOOKUP($C184,REV!$C:$AA,11,0)-'TRADE IN'!$F184))</f>
        <v>2399</v>
      </c>
      <c r="N184" s="46">
        <f>IF(VLOOKUP($C184,REV!$C:$AA,12,0)-'TRADE IN'!$F184=0,"",(VLOOKUP($C184,REV!$C:$AA,12,0)-'TRADE IN'!$F184))</f>
        <v>2399</v>
      </c>
      <c r="O184" s="46">
        <f>IF(VLOOKUP($C184,REV!$C:$AA,13,0)-'TRADE IN'!$F184=0,"",(VLOOKUP($C184,REV!$C:$AA,13,0)-'TRADE IN'!$F184))</f>
        <v>2199</v>
      </c>
      <c r="P184" s="46">
        <f>IF(VLOOKUP($C184,REV!$C:$AA,14,0)-'TRADE IN'!$F184=0,"",(VLOOKUP($C184,REV!$C:$AA,14,0)-'TRADE IN'!$F184))</f>
        <v>2099</v>
      </c>
      <c r="Q184" s="46">
        <f>IF(VLOOKUP($C184,REV!$C:$AA,15,0)-'TRADE IN'!$F184=0,"",(VLOOKUP($C184,REV!$C:$AA,15,0)-'TRADE IN'!$F184))</f>
        <v>1599</v>
      </c>
      <c r="R184" s="46">
        <f>IF(VLOOKUP($C184,REV!$C:$AA,16,0)-'TRADE IN'!$F184=0,"",(VLOOKUP($C184,REV!$C:$AA,16,0)-'TRADE IN'!$F184))</f>
        <v>2199</v>
      </c>
      <c r="S184" s="46">
        <f>IF(VLOOKUP($C184,REV!$C:$AA,17,0)-'TRADE IN'!$F184=0,"",(VLOOKUP($C184,REV!$C:$AA,17,0)-'TRADE IN'!$F184))</f>
        <v>2099</v>
      </c>
      <c r="T184" s="46">
        <f>IF(VLOOKUP($C184,REV!$C:$AA,18,0)-'TRADE IN'!$F184=0,"",(VLOOKUP($C184,REV!$C:$AA,18,0)-'TRADE IN'!$F184))</f>
        <v>1599</v>
      </c>
      <c r="U184" s="46">
        <f>IF(VLOOKUP($C184,REV!$C:$AA,19,0)-'TRADE IN'!$F184=0,"",(VLOOKUP($C184,REV!$C:$AA,19,0)-'TRADE IN'!$F184))</f>
        <v>1599</v>
      </c>
      <c r="V184" s="46">
        <f>IF(VLOOKUP($C184,REV!$C:$AA,20,0)-'TRADE IN'!$F184=0,"",(VLOOKUP($C184,REV!$C:$AA,20,0)-'TRADE IN'!$F184))</f>
        <v>1599</v>
      </c>
      <c r="W184" s="46">
        <f>IF(VLOOKUP($C184,REV!$C:$AA,21,0)-'TRADE IN'!$F184=0,"",(VLOOKUP($C184,REV!$C:$AA,21,0)-'TRADE IN'!$F184))</f>
        <v>1599</v>
      </c>
      <c r="X184" s="46">
        <f>IF(VLOOKUP($C184,REV!$C:$AA,22,0)-'TRADE IN'!$F184=0,"",(VLOOKUP($C184,REV!$C:$AA,22,0)-'TRADE IN'!$F184))</f>
        <v>1499</v>
      </c>
      <c r="Y184" s="46">
        <f>IF(VLOOKUP($C184,REV!$C:$AA,23,0)-'TRADE IN'!$F184=0,"",(VLOOKUP($C184,REV!$C:$AA,23,0)-'TRADE IN'!$F184))</f>
        <v>1299</v>
      </c>
      <c r="Z184" s="46">
        <f>IF(VLOOKUP($C184,REV!$C:$AA,24,0)-'TRADE IN'!$F184=0,"",(VLOOKUP($C184,REV!$C:$AA,24,0)-'TRADE IN'!$F184))</f>
        <v>1299</v>
      </c>
      <c r="AA184" s="46">
        <f>IF(VLOOKUP($C184,REV!$C:$AA,25,0)-'TRADE IN'!$F184=0,"",(VLOOKUP($C184,REV!$C:$AA,25,0)-'TRADE IN'!$F184))</f>
        <v>1299</v>
      </c>
      <c r="AB184" s="45"/>
      <c r="AC184" s="45"/>
      <c r="AD184" s="45"/>
      <c r="AE184" s="45"/>
      <c r="AF184" s="45"/>
      <c r="AG184" s="45"/>
      <c r="AH184" s="45"/>
      <c r="AI184" s="45"/>
      <c r="AJ184" s="45"/>
      <c r="AK184" s="45"/>
      <c r="AL184" s="45"/>
      <c r="AM184" s="45"/>
      <c r="AN184" s="45"/>
      <c r="AO184" s="45"/>
      <c r="AP184" s="45"/>
      <c r="AQ184" s="45"/>
      <c r="AR184" s="45"/>
      <c r="AS184" s="45"/>
      <c r="AT184" s="45"/>
      <c r="AU184" s="45"/>
      <c r="AV184" s="47"/>
      <c r="AW184" s="48" t="str">
        <f>REV!AW184</f>
        <v>13.08.2026</v>
      </c>
      <c r="AX184" s="149" t="s">
        <v>68</v>
      </c>
    </row>
    <row r="185" spans="1:50" ht="22.5" customHeight="1">
      <c r="A185" s="41" t="s">
        <v>63</v>
      </c>
      <c r="B185" s="42" t="s">
        <v>64</v>
      </c>
      <c r="C185" s="43">
        <v>4015584</v>
      </c>
      <c r="D185" s="56" t="s">
        <v>308</v>
      </c>
      <c r="E185" s="56" t="s">
        <v>310</v>
      </c>
      <c r="F185" s="45">
        <v>100</v>
      </c>
      <c r="G185" s="45"/>
      <c r="H185" s="45"/>
      <c r="I185" s="45"/>
      <c r="J185" s="46">
        <f>IF(VLOOKUP($C185,REV!$C:$AA,8,0)-'TRADE IN'!$F185=0,"",(VLOOKUP($C185,REV!$C:$AA,8,0)-'TRADE IN'!$F185))</f>
        <v>2399</v>
      </c>
      <c r="K185" s="46">
        <f>IF(VLOOKUP($C185,REV!$C:$AA,9,0)-'TRADE IN'!$F185=0,"",(VLOOKUP($C185,REV!$C:$AA,9,0)-'TRADE IN'!$F185))</f>
        <v>2299</v>
      </c>
      <c r="L185" s="46">
        <f>IF(VLOOKUP($C185,REV!$C:$AA,10,0)-'TRADE IN'!$F185=0,"",(VLOOKUP($C185,REV!$C:$AA,10,0)-'TRADE IN'!$F185))</f>
        <v>2299</v>
      </c>
      <c r="M185" s="46">
        <f>IF(VLOOKUP($C185,REV!$C:$AA,11,0)-'TRADE IN'!$F185=0,"",(VLOOKUP($C185,REV!$C:$AA,11,0)-'TRADE IN'!$F185))</f>
        <v>2399</v>
      </c>
      <c r="N185" s="46">
        <f>IF(VLOOKUP($C185,REV!$C:$AA,12,0)-'TRADE IN'!$F185=0,"",(VLOOKUP($C185,REV!$C:$AA,12,0)-'TRADE IN'!$F185))</f>
        <v>2399</v>
      </c>
      <c r="O185" s="46">
        <f>IF(VLOOKUP($C185,REV!$C:$AA,13,0)-'TRADE IN'!$F185=0,"",(VLOOKUP($C185,REV!$C:$AA,13,0)-'TRADE IN'!$F185))</f>
        <v>2199</v>
      </c>
      <c r="P185" s="46">
        <f>IF(VLOOKUP($C185,REV!$C:$AA,14,0)-'TRADE IN'!$F185=0,"",(VLOOKUP($C185,REV!$C:$AA,14,0)-'TRADE IN'!$F185))</f>
        <v>2099</v>
      </c>
      <c r="Q185" s="46">
        <f>IF(VLOOKUP($C185,REV!$C:$AA,15,0)-'TRADE IN'!$F185=0,"",(VLOOKUP($C185,REV!$C:$AA,15,0)-'TRADE IN'!$F185))</f>
        <v>1599</v>
      </c>
      <c r="R185" s="46">
        <f>IF(VLOOKUP($C185,REV!$C:$AA,16,0)-'TRADE IN'!$F185=0,"",(VLOOKUP($C185,REV!$C:$AA,16,0)-'TRADE IN'!$F185))</f>
        <v>2199</v>
      </c>
      <c r="S185" s="46">
        <f>IF(VLOOKUP($C185,REV!$C:$AA,17,0)-'TRADE IN'!$F185=0,"",(VLOOKUP($C185,REV!$C:$AA,17,0)-'TRADE IN'!$F185))</f>
        <v>2099</v>
      </c>
      <c r="T185" s="46">
        <f>IF(VLOOKUP($C185,REV!$C:$AA,18,0)-'TRADE IN'!$F185=0,"",(VLOOKUP($C185,REV!$C:$AA,18,0)-'TRADE IN'!$F185))</f>
        <v>1599</v>
      </c>
      <c r="U185" s="46">
        <f>IF(VLOOKUP($C185,REV!$C:$AA,19,0)-'TRADE IN'!$F185=0,"",(VLOOKUP($C185,REV!$C:$AA,19,0)-'TRADE IN'!$F185))</f>
        <v>1599</v>
      </c>
      <c r="V185" s="46">
        <f>IF(VLOOKUP($C185,REV!$C:$AA,20,0)-'TRADE IN'!$F185=0,"",(VLOOKUP($C185,REV!$C:$AA,20,0)-'TRADE IN'!$F185))</f>
        <v>1599</v>
      </c>
      <c r="W185" s="46">
        <f>IF(VLOOKUP($C185,REV!$C:$AA,21,0)-'TRADE IN'!$F185=0,"",(VLOOKUP($C185,REV!$C:$AA,21,0)-'TRADE IN'!$F185))</f>
        <v>1599</v>
      </c>
      <c r="X185" s="46">
        <f>IF(VLOOKUP($C185,REV!$C:$AA,22,0)-'TRADE IN'!$F185=0,"",(VLOOKUP($C185,REV!$C:$AA,22,0)-'TRADE IN'!$F185))</f>
        <v>1499</v>
      </c>
      <c r="Y185" s="46">
        <f>IF(VLOOKUP($C185,REV!$C:$AA,23,0)-'TRADE IN'!$F185=0,"",(VLOOKUP($C185,REV!$C:$AA,23,0)-'TRADE IN'!$F185))</f>
        <v>1299</v>
      </c>
      <c r="Z185" s="46">
        <f>IF(VLOOKUP($C185,REV!$C:$AA,24,0)-'TRADE IN'!$F185=0,"",(VLOOKUP($C185,REV!$C:$AA,24,0)-'TRADE IN'!$F185))</f>
        <v>1299</v>
      </c>
      <c r="AA185" s="46">
        <f>IF(VLOOKUP($C185,REV!$C:$AA,25,0)-'TRADE IN'!$F185=0,"",(VLOOKUP($C185,REV!$C:$AA,25,0)-'TRADE IN'!$F185))</f>
        <v>1299</v>
      </c>
      <c r="AB185" s="45"/>
      <c r="AC185" s="45"/>
      <c r="AD185" s="45"/>
      <c r="AE185" s="45"/>
      <c r="AF185" s="45"/>
      <c r="AG185" s="45"/>
      <c r="AH185" s="45"/>
      <c r="AI185" s="45"/>
      <c r="AJ185" s="45"/>
      <c r="AK185" s="45"/>
      <c r="AL185" s="45"/>
      <c r="AM185" s="45"/>
      <c r="AN185" s="45"/>
      <c r="AO185" s="45"/>
      <c r="AP185" s="45"/>
      <c r="AQ185" s="45"/>
      <c r="AR185" s="45"/>
      <c r="AS185" s="45"/>
      <c r="AT185" s="45"/>
      <c r="AU185" s="45"/>
      <c r="AV185" s="47"/>
      <c r="AW185" s="48" t="str">
        <f>REV!AW185</f>
        <v>13.08.2026</v>
      </c>
      <c r="AX185" s="149" t="s">
        <v>68</v>
      </c>
    </row>
    <row r="186" spans="1:50" ht="22.5" customHeight="1">
      <c r="A186" s="41" t="s">
        <v>63</v>
      </c>
      <c r="B186" s="42" t="s">
        <v>64</v>
      </c>
      <c r="C186" s="43">
        <v>4015556</v>
      </c>
      <c r="D186" s="56" t="s">
        <v>311</v>
      </c>
      <c r="E186" s="56" t="s">
        <v>312</v>
      </c>
      <c r="F186" s="45">
        <v>100</v>
      </c>
      <c r="G186" s="45"/>
      <c r="H186" s="45"/>
      <c r="I186" s="45"/>
      <c r="J186" s="46">
        <f>IF(VLOOKUP($C186,REV!$C:$AA,8,0)-'TRADE IN'!$F186=0,"",(VLOOKUP($C186,REV!$C:$AA,8,0)-'TRADE IN'!$F186))</f>
        <v>2999</v>
      </c>
      <c r="K186" s="46">
        <f>IF(VLOOKUP($C186,REV!$C:$AA,9,0)-'TRADE IN'!$F186=0,"",(VLOOKUP($C186,REV!$C:$AA,9,0)-'TRADE IN'!$F186))</f>
        <v>2899</v>
      </c>
      <c r="L186" s="46">
        <f>IF(VLOOKUP($C186,REV!$C:$AA,10,0)-'TRADE IN'!$F186=0,"",(VLOOKUP($C186,REV!$C:$AA,10,0)-'TRADE IN'!$F186))</f>
        <v>2899</v>
      </c>
      <c r="M186" s="46">
        <f>IF(VLOOKUP($C186,REV!$C:$AA,11,0)-'TRADE IN'!$F186=0,"",(VLOOKUP($C186,REV!$C:$AA,11,0)-'TRADE IN'!$F186))</f>
        <v>2999</v>
      </c>
      <c r="N186" s="46">
        <f>IF(VLOOKUP($C186,REV!$C:$AA,12,0)-'TRADE IN'!$F186=0,"",(VLOOKUP($C186,REV!$C:$AA,12,0)-'TRADE IN'!$F186))</f>
        <v>2999</v>
      </c>
      <c r="O186" s="46">
        <f>IF(VLOOKUP($C186,REV!$C:$AA,13,0)-'TRADE IN'!$F186=0,"",(VLOOKUP($C186,REV!$C:$AA,13,0)-'TRADE IN'!$F186))</f>
        <v>2799</v>
      </c>
      <c r="P186" s="46">
        <f>IF(VLOOKUP($C186,REV!$C:$AA,14,0)-'TRADE IN'!$F186=0,"",(VLOOKUP($C186,REV!$C:$AA,14,0)-'TRADE IN'!$F186))</f>
        <v>2699</v>
      </c>
      <c r="Q186" s="46">
        <f>IF(VLOOKUP($C186,REV!$C:$AA,15,0)-'TRADE IN'!$F186=0,"",(VLOOKUP($C186,REV!$C:$AA,15,0)-'TRADE IN'!$F186))</f>
        <v>2499</v>
      </c>
      <c r="R186" s="46">
        <f>IF(VLOOKUP($C186,REV!$C:$AA,16,0)-'TRADE IN'!$F186=0,"",(VLOOKUP($C186,REV!$C:$AA,16,0)-'TRADE IN'!$F186))</f>
        <v>2799</v>
      </c>
      <c r="S186" s="46">
        <f>IF(VLOOKUP($C186,REV!$C:$AA,17,0)-'TRADE IN'!$F186=0,"",(VLOOKUP($C186,REV!$C:$AA,17,0)-'TRADE IN'!$F186))</f>
        <v>2699</v>
      </c>
      <c r="T186" s="46">
        <f>IF(VLOOKUP($C186,REV!$C:$AA,18,0)-'TRADE IN'!$F186=0,"",(VLOOKUP($C186,REV!$C:$AA,18,0)-'TRADE IN'!$F186))</f>
        <v>2499</v>
      </c>
      <c r="U186" s="46">
        <f>IF(VLOOKUP($C186,REV!$C:$AA,19,0)-'TRADE IN'!$F186=0,"",(VLOOKUP($C186,REV!$C:$AA,19,0)-'TRADE IN'!$F186))</f>
        <v>2499</v>
      </c>
      <c r="V186" s="46">
        <f>IF(VLOOKUP($C186,REV!$C:$AA,20,0)-'TRADE IN'!$F186=0,"",(VLOOKUP($C186,REV!$C:$AA,20,0)-'TRADE IN'!$F186))</f>
        <v>2499</v>
      </c>
      <c r="W186" s="46">
        <f>IF(VLOOKUP($C186,REV!$C:$AA,21,0)-'TRADE IN'!$F186=0,"",(VLOOKUP($C186,REV!$C:$AA,21,0)-'TRADE IN'!$F186))</f>
        <v>2499</v>
      </c>
      <c r="X186" s="46">
        <f>IF(VLOOKUP($C186,REV!$C:$AA,22,0)-'TRADE IN'!$F186=0,"",(VLOOKUP($C186,REV!$C:$AA,22,0)-'TRADE IN'!$F186))</f>
        <v>2399</v>
      </c>
      <c r="Y186" s="46">
        <f>IF(VLOOKUP($C186,REV!$C:$AA,23,0)-'TRADE IN'!$F186=0,"",(VLOOKUP($C186,REV!$C:$AA,23,0)-'TRADE IN'!$F186))</f>
        <v>2299</v>
      </c>
      <c r="Z186" s="46">
        <f>IF(VLOOKUP($C186,REV!$C:$AA,24,0)-'TRADE IN'!$F186=0,"",(VLOOKUP($C186,REV!$C:$AA,24,0)-'TRADE IN'!$F186))</f>
        <v>2299</v>
      </c>
      <c r="AA186" s="46">
        <f>IF(VLOOKUP($C186,REV!$C:$AA,25,0)-'TRADE IN'!$F186=0,"",(VLOOKUP($C186,REV!$C:$AA,25,0)-'TRADE IN'!$F186))</f>
        <v>2299</v>
      </c>
      <c r="AB186" s="45"/>
      <c r="AC186" s="45"/>
      <c r="AD186" s="45"/>
      <c r="AE186" s="45"/>
      <c r="AF186" s="45"/>
      <c r="AG186" s="45"/>
      <c r="AH186" s="45"/>
      <c r="AI186" s="45"/>
      <c r="AJ186" s="45"/>
      <c r="AK186" s="45"/>
      <c r="AL186" s="45"/>
      <c r="AM186" s="45"/>
      <c r="AN186" s="45"/>
      <c r="AO186" s="45"/>
      <c r="AP186" s="45"/>
      <c r="AQ186" s="45"/>
      <c r="AR186" s="45"/>
      <c r="AS186" s="45"/>
      <c r="AT186" s="45"/>
      <c r="AU186" s="45"/>
      <c r="AV186" s="47"/>
      <c r="AW186" s="48" t="str">
        <f>REV!AW186</f>
        <v>13.08.2026</v>
      </c>
      <c r="AX186" s="149" t="s">
        <v>68</v>
      </c>
    </row>
    <row r="187" spans="1:50" ht="22.5" customHeight="1">
      <c r="A187" s="41" t="s">
        <v>63</v>
      </c>
      <c r="B187" s="42" t="s">
        <v>64</v>
      </c>
      <c r="C187" s="43">
        <v>4016294</v>
      </c>
      <c r="D187" s="56" t="s">
        <v>313</v>
      </c>
      <c r="E187" s="56" t="s">
        <v>314</v>
      </c>
      <c r="F187" s="45">
        <v>100</v>
      </c>
      <c r="G187" s="45"/>
      <c r="H187" s="45"/>
      <c r="I187" s="45"/>
      <c r="J187" s="46">
        <f>IF(VLOOKUP($C187,REV!$C:$AA,8,0)-'TRADE IN'!$F187=0,"",(VLOOKUP($C187,REV!$C:$AA,8,0)-'TRADE IN'!$F187))</f>
        <v>4899</v>
      </c>
      <c r="K187" s="46">
        <f>IF(VLOOKUP($C187,REV!$C:$AA,9,0)-'TRADE IN'!$F187=0,"",(VLOOKUP($C187,REV!$C:$AA,9,0)-'TRADE IN'!$F187))</f>
        <v>4899</v>
      </c>
      <c r="L187" s="46">
        <f>IF(VLOOKUP($C187,REV!$C:$AA,10,0)-'TRADE IN'!$F187=0,"",(VLOOKUP($C187,REV!$C:$AA,10,0)-'TRADE IN'!$F187))</f>
        <v>4899</v>
      </c>
      <c r="M187" s="46">
        <f>IF(VLOOKUP($C187,REV!$C:$AA,11,0)-'TRADE IN'!$F187=0,"",(VLOOKUP($C187,REV!$C:$AA,11,0)-'TRADE IN'!$F187))</f>
        <v>4899</v>
      </c>
      <c r="N187" s="46">
        <f>IF(VLOOKUP($C187,REV!$C:$AA,12,0)-'TRADE IN'!$F187=0,"",(VLOOKUP($C187,REV!$C:$AA,12,0)-'TRADE IN'!$F187))</f>
        <v>4899</v>
      </c>
      <c r="O187" s="46">
        <f>IF(VLOOKUP($C187,REV!$C:$AA,13,0)-'TRADE IN'!$F187=0,"",(VLOOKUP($C187,REV!$C:$AA,13,0)-'TRADE IN'!$F187))</f>
        <v>4799</v>
      </c>
      <c r="P187" s="46">
        <f>IF(VLOOKUP($C187,REV!$C:$AA,14,0)-'TRADE IN'!$F187=0,"",(VLOOKUP($C187,REV!$C:$AA,14,0)-'TRADE IN'!$F187))</f>
        <v>4699</v>
      </c>
      <c r="Q187" s="46">
        <f>IF(VLOOKUP($C187,REV!$C:$AA,15,0)-'TRADE IN'!$F187=0,"",(VLOOKUP($C187,REV!$C:$AA,15,0)-'TRADE IN'!$F187))</f>
        <v>3499</v>
      </c>
      <c r="R187" s="46">
        <f>IF(VLOOKUP($C187,REV!$C:$AA,16,0)-'TRADE IN'!$F187=0,"",(VLOOKUP($C187,REV!$C:$AA,16,0)-'TRADE IN'!$F187))</f>
        <v>4799</v>
      </c>
      <c r="S187" s="46">
        <f>IF(VLOOKUP($C187,REV!$C:$AA,17,0)-'TRADE IN'!$F187=0,"",(VLOOKUP($C187,REV!$C:$AA,17,0)-'TRADE IN'!$F187))</f>
        <v>4699</v>
      </c>
      <c r="T187" s="46">
        <f>IF(VLOOKUP($C187,REV!$C:$AA,18,0)-'TRADE IN'!$F187=0,"",(VLOOKUP($C187,REV!$C:$AA,18,0)-'TRADE IN'!$F187))</f>
        <v>3499</v>
      </c>
      <c r="U187" s="46">
        <f>IF(VLOOKUP($C187,REV!$C:$AA,19,0)-'TRADE IN'!$F187=0,"",(VLOOKUP($C187,REV!$C:$AA,19,0)-'TRADE IN'!$F187))</f>
        <v>3499</v>
      </c>
      <c r="V187" s="46">
        <f>IF(VLOOKUP($C187,REV!$C:$AA,20,0)-'TRADE IN'!$F187=0,"",(VLOOKUP($C187,REV!$C:$AA,20,0)-'TRADE IN'!$F187))</f>
        <v>3499</v>
      </c>
      <c r="W187" s="46">
        <f>IF(VLOOKUP($C187,REV!$C:$AA,21,0)-'TRADE IN'!$F187=0,"",(VLOOKUP($C187,REV!$C:$AA,21,0)-'TRADE IN'!$F187))</f>
        <v>3499</v>
      </c>
      <c r="X187" s="46">
        <f>IF(VLOOKUP($C187,REV!$C:$AA,22,0)-'TRADE IN'!$F187=0,"",(VLOOKUP($C187,REV!$C:$AA,22,0)-'TRADE IN'!$F187))</f>
        <v>3199</v>
      </c>
      <c r="Y187" s="46">
        <f>IF(VLOOKUP($C187,REV!$C:$AA,23,0)-'TRADE IN'!$F187=0,"",(VLOOKUP($C187,REV!$C:$AA,23,0)-'TRADE IN'!$F187))</f>
        <v>1899</v>
      </c>
      <c r="Z187" s="46">
        <f>IF(VLOOKUP($C187,REV!$C:$AA,24,0)-'TRADE IN'!$F187=0,"",(VLOOKUP($C187,REV!$C:$AA,24,0)-'TRADE IN'!$F187))</f>
        <v>1899</v>
      </c>
      <c r="AA187" s="46">
        <f>IF(VLOOKUP($C187,REV!$C:$AA,25,0)-'TRADE IN'!$F187=0,"",(VLOOKUP($C187,REV!$C:$AA,25,0)-'TRADE IN'!$F187))</f>
        <v>1899</v>
      </c>
      <c r="AB187" s="45"/>
      <c r="AC187" s="45"/>
      <c r="AD187" s="45"/>
      <c r="AE187" s="45"/>
      <c r="AF187" s="45"/>
      <c r="AG187" s="45"/>
      <c r="AH187" s="45"/>
      <c r="AI187" s="45"/>
      <c r="AJ187" s="45"/>
      <c r="AK187" s="45"/>
      <c r="AL187" s="45"/>
      <c r="AM187" s="45"/>
      <c r="AN187" s="45"/>
      <c r="AO187" s="45"/>
      <c r="AP187" s="45"/>
      <c r="AQ187" s="45"/>
      <c r="AR187" s="45"/>
      <c r="AS187" s="45"/>
      <c r="AT187" s="45"/>
      <c r="AU187" s="45"/>
      <c r="AV187" s="47"/>
      <c r="AW187" s="48" t="str">
        <f>REV!AW187</f>
        <v>13.08.2026</v>
      </c>
      <c r="AX187" s="149" t="s">
        <v>68</v>
      </c>
    </row>
    <row r="188" spans="1:50" ht="22.5" customHeight="1">
      <c r="A188" s="41" t="s">
        <v>63</v>
      </c>
      <c r="B188" s="42" t="s">
        <v>64</v>
      </c>
      <c r="C188" s="43">
        <v>4016925</v>
      </c>
      <c r="D188" s="56" t="s">
        <v>315</v>
      </c>
      <c r="E188" s="56" t="s">
        <v>316</v>
      </c>
      <c r="F188" s="45">
        <v>100</v>
      </c>
      <c r="G188" s="45"/>
      <c r="H188" s="45"/>
      <c r="I188" s="45"/>
      <c r="J188" s="46">
        <f>IF(VLOOKUP($C188,REV!$C:$AA,8,0)-'TRADE IN'!$F188=0,"",(VLOOKUP($C188,REV!$C:$AA,8,0)-'TRADE IN'!$F188))</f>
        <v>6599</v>
      </c>
      <c r="K188" s="46">
        <f>IF(VLOOKUP($C188,REV!$C:$AA,9,0)-'TRADE IN'!$F188=0,"",(VLOOKUP($C188,REV!$C:$AA,9,0)-'TRADE IN'!$F188))</f>
        <v>6599</v>
      </c>
      <c r="L188" s="46">
        <f>IF(VLOOKUP($C188,REV!$C:$AA,10,0)-'TRADE IN'!$F188=0,"",(VLOOKUP($C188,REV!$C:$AA,10,0)-'TRADE IN'!$F188))</f>
        <v>6599</v>
      </c>
      <c r="M188" s="46">
        <f>IF(VLOOKUP($C188,REV!$C:$AA,11,0)-'TRADE IN'!$F188=0,"",(VLOOKUP($C188,REV!$C:$AA,11,0)-'TRADE IN'!$F188))</f>
        <v>6599</v>
      </c>
      <c r="N188" s="46">
        <f>IF(VLOOKUP($C188,REV!$C:$AA,12,0)-'TRADE IN'!$F188=0,"",(VLOOKUP($C188,REV!$C:$AA,12,0)-'TRADE IN'!$F188))</f>
        <v>6599</v>
      </c>
      <c r="O188" s="46">
        <f>IF(VLOOKUP($C188,REV!$C:$AA,13,0)-'TRADE IN'!$F188=0,"",(VLOOKUP($C188,REV!$C:$AA,13,0)-'TRADE IN'!$F188))</f>
        <v>6499</v>
      </c>
      <c r="P188" s="46">
        <f>IF(VLOOKUP($C188,REV!$C:$AA,14,0)-'TRADE IN'!$F188=0,"",(VLOOKUP($C188,REV!$C:$AA,14,0)-'TRADE IN'!$F188))</f>
        <v>6399</v>
      </c>
      <c r="Q188" s="46">
        <f>IF(VLOOKUP($C188,REV!$C:$AA,15,0)-'TRADE IN'!$F188=0,"",(VLOOKUP($C188,REV!$C:$AA,15,0)-'TRADE IN'!$F188))</f>
        <v>6299</v>
      </c>
      <c r="R188" s="46">
        <f>IF(VLOOKUP($C188,REV!$C:$AA,16,0)-'TRADE IN'!$F188=0,"",(VLOOKUP($C188,REV!$C:$AA,16,0)-'TRADE IN'!$F188))</f>
        <v>6499</v>
      </c>
      <c r="S188" s="46">
        <f>IF(VLOOKUP($C188,REV!$C:$AA,17,0)-'TRADE IN'!$F188=0,"",(VLOOKUP($C188,REV!$C:$AA,17,0)-'TRADE IN'!$F188))</f>
        <v>6399</v>
      </c>
      <c r="T188" s="46">
        <f>IF(VLOOKUP($C188,REV!$C:$AA,18,0)-'TRADE IN'!$F188=0,"",(VLOOKUP($C188,REV!$C:$AA,18,0)-'TRADE IN'!$F188))</f>
        <v>6299</v>
      </c>
      <c r="U188" s="46">
        <f>IF(VLOOKUP($C188,REV!$C:$AA,19,0)-'TRADE IN'!$F188=0,"",(VLOOKUP($C188,REV!$C:$AA,19,0)-'TRADE IN'!$F188))</f>
        <v>6299</v>
      </c>
      <c r="V188" s="46">
        <f>IF(VLOOKUP($C188,REV!$C:$AA,20,0)-'TRADE IN'!$F188=0,"",(VLOOKUP($C188,REV!$C:$AA,20,0)-'TRADE IN'!$F188))</f>
        <v>6299</v>
      </c>
      <c r="W188" s="46">
        <f>IF(VLOOKUP($C188,REV!$C:$AA,21,0)-'TRADE IN'!$F188=0,"",(VLOOKUP($C188,REV!$C:$AA,21,0)-'TRADE IN'!$F188))</f>
        <v>6299</v>
      </c>
      <c r="X188" s="46">
        <f>IF(VLOOKUP($C188,REV!$C:$AA,22,0)-'TRADE IN'!$F188=0,"",(VLOOKUP($C188,REV!$C:$AA,22,0)-'TRADE IN'!$F188))</f>
        <v>6199</v>
      </c>
      <c r="Y188" s="46">
        <f>IF(VLOOKUP($C188,REV!$C:$AA,23,0)-'TRADE IN'!$F188=0,"",(VLOOKUP($C188,REV!$C:$AA,23,0)-'TRADE IN'!$F188))</f>
        <v>4899</v>
      </c>
      <c r="Z188" s="46">
        <f>IF(VLOOKUP($C188,REV!$C:$AA,24,0)-'TRADE IN'!$F188=0,"",(VLOOKUP($C188,REV!$C:$AA,24,0)-'TRADE IN'!$F188))</f>
        <v>4899</v>
      </c>
      <c r="AA188" s="46">
        <f>IF(VLOOKUP($C188,REV!$C:$AA,25,0)-'TRADE IN'!$F188=0,"",(VLOOKUP($C188,REV!$C:$AA,25,0)-'TRADE IN'!$F188))</f>
        <v>4899</v>
      </c>
      <c r="AB188" s="45"/>
      <c r="AC188" s="45"/>
      <c r="AD188" s="45"/>
      <c r="AE188" s="45"/>
      <c r="AF188" s="45"/>
      <c r="AG188" s="45"/>
      <c r="AH188" s="45"/>
      <c r="AI188" s="45"/>
      <c r="AJ188" s="45"/>
      <c r="AK188" s="45"/>
      <c r="AL188" s="45"/>
      <c r="AM188" s="45"/>
      <c r="AN188" s="45"/>
      <c r="AO188" s="45"/>
      <c r="AP188" s="45"/>
      <c r="AQ188" s="45"/>
      <c r="AR188" s="45"/>
      <c r="AS188" s="45"/>
      <c r="AT188" s="45"/>
      <c r="AU188" s="45"/>
      <c r="AV188" s="47"/>
      <c r="AW188" s="48" t="str">
        <f>REV!AW188</f>
        <v>13.08.2026</v>
      </c>
      <c r="AX188" s="149" t="s">
        <v>68</v>
      </c>
    </row>
    <row r="189" spans="1:50" ht="22.5" customHeight="1">
      <c r="A189" s="41" t="s">
        <v>63</v>
      </c>
      <c r="B189" s="42" t="s">
        <v>64</v>
      </c>
      <c r="C189" s="43">
        <v>4017990</v>
      </c>
      <c r="D189" s="57" t="s">
        <v>317</v>
      </c>
      <c r="E189" s="56" t="s">
        <v>318</v>
      </c>
      <c r="F189" s="54">
        <v>2000</v>
      </c>
      <c r="G189" s="45"/>
      <c r="H189" s="45"/>
      <c r="I189" s="45"/>
      <c r="J189" s="46">
        <f>IF(VLOOKUP($C189,REV!$C:$AA,8,0)-'TRADE IN'!$F189=0,"",(VLOOKUP($C189,REV!$C:$AA,8,0)-'TRADE IN'!$F189))</f>
        <v>8799</v>
      </c>
      <c r="K189" s="46">
        <f>IF(VLOOKUP($C189,REV!$C:$AA,9,0)-'TRADE IN'!$F189=0,"",(VLOOKUP($C189,REV!$C:$AA,9,0)-'TRADE IN'!$F189))</f>
        <v>8799</v>
      </c>
      <c r="L189" s="46">
        <f>IF(VLOOKUP($C189,REV!$C:$AA,10,0)-'TRADE IN'!$F189=0,"",(VLOOKUP($C189,REV!$C:$AA,10,0)-'TRADE IN'!$F189))</f>
        <v>8799</v>
      </c>
      <c r="M189" s="46">
        <f>IF(VLOOKUP($C189,REV!$C:$AA,11,0)-'TRADE IN'!$F189=0,"",(VLOOKUP($C189,REV!$C:$AA,11,0)-'TRADE IN'!$F189))</f>
        <v>8799</v>
      </c>
      <c r="N189" s="46">
        <f>IF(VLOOKUP($C189,REV!$C:$AA,12,0)-'TRADE IN'!$F189=0,"",(VLOOKUP($C189,REV!$C:$AA,12,0)-'TRADE IN'!$F189))</f>
        <v>8799</v>
      </c>
      <c r="O189" s="46">
        <f>IF(VLOOKUP($C189,REV!$C:$AA,13,0)-'TRADE IN'!$F189=0,"",(VLOOKUP($C189,REV!$C:$AA,13,0)-'TRADE IN'!$F189))</f>
        <v>8699</v>
      </c>
      <c r="P189" s="46">
        <f>IF(VLOOKUP($C189,REV!$C:$AA,14,0)-'TRADE IN'!$F189=0,"",(VLOOKUP($C189,REV!$C:$AA,14,0)-'TRADE IN'!$F189))</f>
        <v>8599</v>
      </c>
      <c r="Q189" s="46">
        <f>IF(VLOOKUP($C189,REV!$C:$AA,15,0)-'TRADE IN'!$F189=0,"",(VLOOKUP($C189,REV!$C:$AA,15,0)-'TRADE IN'!$F189))</f>
        <v>8499</v>
      </c>
      <c r="R189" s="46">
        <f>IF(VLOOKUP($C189,REV!$C:$AA,16,0)-'TRADE IN'!$F189=0,"",(VLOOKUP($C189,REV!$C:$AA,16,0)-'TRADE IN'!$F189))</f>
        <v>8699</v>
      </c>
      <c r="S189" s="46">
        <f>IF(VLOOKUP($C189,REV!$C:$AA,17,0)-'TRADE IN'!$F189=0,"",(VLOOKUP($C189,REV!$C:$AA,17,0)-'TRADE IN'!$F189))</f>
        <v>8599</v>
      </c>
      <c r="T189" s="46">
        <f>IF(VLOOKUP($C189,REV!$C:$AA,18,0)-'TRADE IN'!$F189=0,"",(VLOOKUP($C189,REV!$C:$AA,18,0)-'TRADE IN'!$F189))</f>
        <v>8499</v>
      </c>
      <c r="U189" s="46">
        <f>IF(VLOOKUP($C189,REV!$C:$AA,19,0)-'TRADE IN'!$F189=0,"",(VLOOKUP($C189,REV!$C:$AA,19,0)-'TRADE IN'!$F189))</f>
        <v>8499</v>
      </c>
      <c r="V189" s="46">
        <f>IF(VLOOKUP($C189,REV!$C:$AA,20,0)-'TRADE IN'!$F189=0,"",(VLOOKUP($C189,REV!$C:$AA,20,0)-'TRADE IN'!$F189))</f>
        <v>8499</v>
      </c>
      <c r="W189" s="46">
        <f>IF(VLOOKUP($C189,REV!$C:$AA,21,0)-'TRADE IN'!$F189=0,"",(VLOOKUP($C189,REV!$C:$AA,21,0)-'TRADE IN'!$F189))</f>
        <v>8499</v>
      </c>
      <c r="X189" s="46">
        <f>IF(VLOOKUP($C189,REV!$C:$AA,22,0)-'TRADE IN'!$F189=0,"",(VLOOKUP($C189,REV!$C:$AA,22,0)-'TRADE IN'!$F189))</f>
        <v>8399</v>
      </c>
      <c r="Y189" s="46">
        <f>IF(VLOOKUP($C189,REV!$C:$AA,23,0)-'TRADE IN'!$F189=0,"",(VLOOKUP($C189,REV!$C:$AA,23,0)-'TRADE IN'!$F189))</f>
        <v>7999</v>
      </c>
      <c r="Z189" s="46">
        <f>IF(VLOOKUP($C189,REV!$C:$AA,24,0)-'TRADE IN'!$F189=0,"",(VLOOKUP($C189,REV!$C:$AA,24,0)-'TRADE IN'!$F189))</f>
        <v>7999</v>
      </c>
      <c r="AA189" s="46">
        <f>IF(VLOOKUP($C189,REV!$C:$AA,25,0)-'TRADE IN'!$F189=0,"",(VLOOKUP($C189,REV!$C:$AA,25,0)-'TRADE IN'!$F189))</f>
        <v>6999</v>
      </c>
      <c r="AB189" s="45"/>
      <c r="AC189" s="45"/>
      <c r="AD189" s="45"/>
      <c r="AE189" s="45"/>
      <c r="AF189" s="45"/>
      <c r="AG189" s="45"/>
      <c r="AH189" s="45"/>
      <c r="AI189" s="45"/>
      <c r="AJ189" s="45"/>
      <c r="AK189" s="45"/>
      <c r="AL189" s="45"/>
      <c r="AM189" s="45"/>
      <c r="AN189" s="45"/>
      <c r="AO189" s="45"/>
      <c r="AP189" s="45"/>
      <c r="AQ189" s="45"/>
      <c r="AR189" s="45"/>
      <c r="AS189" s="45"/>
      <c r="AT189" s="45"/>
      <c r="AU189" s="45"/>
      <c r="AV189" s="47"/>
      <c r="AW189" s="48" t="str">
        <f>REV!AW189</f>
        <v>13.08.2026</v>
      </c>
      <c r="AX189" s="149" t="s">
        <v>68</v>
      </c>
    </row>
    <row r="190" spans="1:50" ht="22.5" customHeight="1">
      <c r="A190" s="41" t="s">
        <v>63</v>
      </c>
      <c r="B190" s="42" t="s">
        <v>64</v>
      </c>
      <c r="C190" s="43">
        <v>4017991</v>
      </c>
      <c r="D190" s="57" t="s">
        <v>317</v>
      </c>
      <c r="E190" s="56" t="s">
        <v>319</v>
      </c>
      <c r="F190" s="54">
        <v>2000</v>
      </c>
      <c r="G190" s="45"/>
      <c r="H190" s="45"/>
      <c r="I190" s="45"/>
      <c r="J190" s="46">
        <f>IF(VLOOKUP($C190,REV!$C:$AA,8,0)-'TRADE IN'!$F190=0,"",(VLOOKUP($C190,REV!$C:$AA,8,0)-'TRADE IN'!$F190))</f>
        <v>8799</v>
      </c>
      <c r="K190" s="46">
        <f>IF(VLOOKUP($C190,REV!$C:$AA,9,0)-'TRADE IN'!$F190=0,"",(VLOOKUP($C190,REV!$C:$AA,9,0)-'TRADE IN'!$F190))</f>
        <v>8799</v>
      </c>
      <c r="L190" s="46">
        <f>IF(VLOOKUP($C190,REV!$C:$AA,10,0)-'TRADE IN'!$F190=0,"",(VLOOKUP($C190,REV!$C:$AA,10,0)-'TRADE IN'!$F190))</f>
        <v>8799</v>
      </c>
      <c r="M190" s="46">
        <f>IF(VLOOKUP($C190,REV!$C:$AA,11,0)-'TRADE IN'!$F190=0,"",(VLOOKUP($C190,REV!$C:$AA,11,0)-'TRADE IN'!$F190))</f>
        <v>8799</v>
      </c>
      <c r="N190" s="46">
        <f>IF(VLOOKUP($C190,REV!$C:$AA,12,0)-'TRADE IN'!$F190=0,"",(VLOOKUP($C190,REV!$C:$AA,12,0)-'TRADE IN'!$F190))</f>
        <v>8799</v>
      </c>
      <c r="O190" s="46">
        <f>IF(VLOOKUP($C190,REV!$C:$AA,13,0)-'TRADE IN'!$F190=0,"",(VLOOKUP($C190,REV!$C:$AA,13,0)-'TRADE IN'!$F190))</f>
        <v>8699</v>
      </c>
      <c r="P190" s="46">
        <f>IF(VLOOKUP($C190,REV!$C:$AA,14,0)-'TRADE IN'!$F190=0,"",(VLOOKUP($C190,REV!$C:$AA,14,0)-'TRADE IN'!$F190))</f>
        <v>8599</v>
      </c>
      <c r="Q190" s="46">
        <f>IF(VLOOKUP($C190,REV!$C:$AA,15,0)-'TRADE IN'!$F190=0,"",(VLOOKUP($C190,REV!$C:$AA,15,0)-'TRADE IN'!$F190))</f>
        <v>8499</v>
      </c>
      <c r="R190" s="46">
        <f>IF(VLOOKUP($C190,REV!$C:$AA,16,0)-'TRADE IN'!$F190=0,"",(VLOOKUP($C190,REV!$C:$AA,16,0)-'TRADE IN'!$F190))</f>
        <v>8699</v>
      </c>
      <c r="S190" s="46">
        <f>IF(VLOOKUP($C190,REV!$C:$AA,17,0)-'TRADE IN'!$F190=0,"",(VLOOKUP($C190,REV!$C:$AA,17,0)-'TRADE IN'!$F190))</f>
        <v>8599</v>
      </c>
      <c r="T190" s="46">
        <f>IF(VLOOKUP($C190,REV!$C:$AA,18,0)-'TRADE IN'!$F190=0,"",(VLOOKUP($C190,REV!$C:$AA,18,0)-'TRADE IN'!$F190))</f>
        <v>8499</v>
      </c>
      <c r="U190" s="46">
        <f>IF(VLOOKUP($C190,REV!$C:$AA,19,0)-'TRADE IN'!$F190=0,"",(VLOOKUP($C190,REV!$C:$AA,19,0)-'TRADE IN'!$F190))</f>
        <v>8499</v>
      </c>
      <c r="V190" s="46">
        <f>IF(VLOOKUP($C190,REV!$C:$AA,20,0)-'TRADE IN'!$F190=0,"",(VLOOKUP($C190,REV!$C:$AA,20,0)-'TRADE IN'!$F190))</f>
        <v>8499</v>
      </c>
      <c r="W190" s="46">
        <f>IF(VLOOKUP($C190,REV!$C:$AA,21,0)-'TRADE IN'!$F190=0,"",(VLOOKUP($C190,REV!$C:$AA,21,0)-'TRADE IN'!$F190))</f>
        <v>8499</v>
      </c>
      <c r="X190" s="46">
        <f>IF(VLOOKUP($C190,REV!$C:$AA,22,0)-'TRADE IN'!$F190=0,"",(VLOOKUP($C190,REV!$C:$AA,22,0)-'TRADE IN'!$F190))</f>
        <v>8399</v>
      </c>
      <c r="Y190" s="46">
        <f>IF(VLOOKUP($C190,REV!$C:$AA,23,0)-'TRADE IN'!$F190=0,"",(VLOOKUP($C190,REV!$C:$AA,23,0)-'TRADE IN'!$F190))</f>
        <v>7999</v>
      </c>
      <c r="Z190" s="46">
        <f>IF(VLOOKUP($C190,REV!$C:$AA,24,0)-'TRADE IN'!$F190=0,"",(VLOOKUP($C190,REV!$C:$AA,24,0)-'TRADE IN'!$F190))</f>
        <v>7999</v>
      </c>
      <c r="AA190" s="46">
        <f>IF(VLOOKUP($C190,REV!$C:$AA,25,0)-'TRADE IN'!$F190=0,"",(VLOOKUP($C190,REV!$C:$AA,25,0)-'TRADE IN'!$F190))</f>
        <v>6999</v>
      </c>
      <c r="AB190" s="45"/>
      <c r="AC190" s="45"/>
      <c r="AD190" s="45"/>
      <c r="AE190" s="45"/>
      <c r="AF190" s="45"/>
      <c r="AG190" s="45"/>
      <c r="AH190" s="45"/>
      <c r="AI190" s="45"/>
      <c r="AJ190" s="45"/>
      <c r="AK190" s="45"/>
      <c r="AL190" s="45"/>
      <c r="AM190" s="45"/>
      <c r="AN190" s="45"/>
      <c r="AO190" s="45"/>
      <c r="AP190" s="45"/>
      <c r="AQ190" s="45"/>
      <c r="AR190" s="45"/>
      <c r="AS190" s="45"/>
      <c r="AT190" s="45"/>
      <c r="AU190" s="45"/>
      <c r="AV190" s="47"/>
      <c r="AW190" s="48" t="str">
        <f>REV!AW190</f>
        <v>13.08.2026</v>
      </c>
      <c r="AX190" s="149" t="s">
        <v>68</v>
      </c>
    </row>
    <row r="191" spans="1:50" ht="22.5" customHeight="1">
      <c r="A191" s="41" t="s">
        <v>63</v>
      </c>
      <c r="B191" s="42" t="s">
        <v>64</v>
      </c>
      <c r="C191" s="43">
        <v>4017960</v>
      </c>
      <c r="D191" s="57" t="s">
        <v>320</v>
      </c>
      <c r="E191" s="56" t="s">
        <v>321</v>
      </c>
      <c r="F191" s="54">
        <v>2000</v>
      </c>
      <c r="G191" s="45"/>
      <c r="H191" s="45"/>
      <c r="I191" s="45"/>
      <c r="J191" s="46">
        <f>IF(VLOOKUP($C191,REV!$C:$AA,8,0)-'TRADE IN'!$F191=0,"",(VLOOKUP($C191,REV!$C:$AA,8,0)-'TRADE IN'!$F191))</f>
        <v>11799</v>
      </c>
      <c r="K191" s="46">
        <f>IF(VLOOKUP($C191,REV!$C:$AA,9,0)-'TRADE IN'!$F191=0,"",(VLOOKUP($C191,REV!$C:$AA,9,0)-'TRADE IN'!$F191))</f>
        <v>11799</v>
      </c>
      <c r="L191" s="46">
        <f>IF(VLOOKUP($C191,REV!$C:$AA,10,0)-'TRADE IN'!$F191=0,"",(VLOOKUP($C191,REV!$C:$AA,10,0)-'TRADE IN'!$F191))</f>
        <v>11799</v>
      </c>
      <c r="M191" s="46">
        <f>IF(VLOOKUP($C191,REV!$C:$AA,11,0)-'TRADE IN'!$F191=0,"",(VLOOKUP($C191,REV!$C:$AA,11,0)-'TRADE IN'!$F191))</f>
        <v>11799</v>
      </c>
      <c r="N191" s="46">
        <f>IF(VLOOKUP($C191,REV!$C:$AA,12,0)-'TRADE IN'!$F191=0,"",(VLOOKUP($C191,REV!$C:$AA,12,0)-'TRADE IN'!$F191))</f>
        <v>11799</v>
      </c>
      <c r="O191" s="46">
        <f>IF(VLOOKUP($C191,REV!$C:$AA,13,0)-'TRADE IN'!$F191=0,"",(VLOOKUP($C191,REV!$C:$AA,13,0)-'TRADE IN'!$F191))</f>
        <v>11699</v>
      </c>
      <c r="P191" s="46">
        <f>IF(VLOOKUP($C191,REV!$C:$AA,14,0)-'TRADE IN'!$F191=0,"",(VLOOKUP($C191,REV!$C:$AA,14,0)-'TRADE IN'!$F191))</f>
        <v>11599</v>
      </c>
      <c r="Q191" s="46">
        <f>IF(VLOOKUP($C191,REV!$C:$AA,15,0)-'TRADE IN'!$F191=0,"",(VLOOKUP($C191,REV!$C:$AA,15,0)-'TRADE IN'!$F191))</f>
        <v>11499</v>
      </c>
      <c r="R191" s="46">
        <f>IF(VLOOKUP($C191,REV!$C:$AA,16,0)-'TRADE IN'!$F191=0,"",(VLOOKUP($C191,REV!$C:$AA,16,0)-'TRADE IN'!$F191))</f>
        <v>11699</v>
      </c>
      <c r="S191" s="46">
        <f>IF(VLOOKUP($C191,REV!$C:$AA,17,0)-'TRADE IN'!$F191=0,"",(VLOOKUP($C191,REV!$C:$AA,17,0)-'TRADE IN'!$F191))</f>
        <v>11599</v>
      </c>
      <c r="T191" s="46">
        <f>IF(VLOOKUP($C191,REV!$C:$AA,18,0)-'TRADE IN'!$F191=0,"",(VLOOKUP($C191,REV!$C:$AA,18,0)-'TRADE IN'!$F191))</f>
        <v>11499</v>
      </c>
      <c r="U191" s="46">
        <f>IF(VLOOKUP($C191,REV!$C:$AA,19,0)-'TRADE IN'!$F191=0,"",(VLOOKUP($C191,REV!$C:$AA,19,0)-'TRADE IN'!$F191))</f>
        <v>11499</v>
      </c>
      <c r="V191" s="46">
        <f>IF(VLOOKUP($C191,REV!$C:$AA,20,0)-'TRADE IN'!$F191=0,"",(VLOOKUP($C191,REV!$C:$AA,20,0)-'TRADE IN'!$F191))</f>
        <v>11499</v>
      </c>
      <c r="W191" s="46">
        <f>IF(VLOOKUP($C191,REV!$C:$AA,21,0)-'TRADE IN'!$F191=0,"",(VLOOKUP($C191,REV!$C:$AA,21,0)-'TRADE IN'!$F191))</f>
        <v>11499</v>
      </c>
      <c r="X191" s="46">
        <f>IF(VLOOKUP($C191,REV!$C:$AA,22,0)-'TRADE IN'!$F191=0,"",(VLOOKUP($C191,REV!$C:$AA,22,0)-'TRADE IN'!$F191))</f>
        <v>11399</v>
      </c>
      <c r="Y191" s="46">
        <f>IF(VLOOKUP($C191,REV!$C:$AA,23,0)-'TRADE IN'!$F191=0,"",(VLOOKUP($C191,REV!$C:$AA,23,0)-'TRADE IN'!$F191))</f>
        <v>10999</v>
      </c>
      <c r="Z191" s="46">
        <f>IF(VLOOKUP($C191,REV!$C:$AA,24,0)-'TRADE IN'!$F191=0,"",(VLOOKUP($C191,REV!$C:$AA,24,0)-'TRADE IN'!$F191))</f>
        <v>10999</v>
      </c>
      <c r="AA191" s="46">
        <f>IF(VLOOKUP($C191,REV!$C:$AA,25,0)-'TRADE IN'!$F191=0,"",(VLOOKUP($C191,REV!$C:$AA,25,0)-'TRADE IN'!$F191))</f>
        <v>9999</v>
      </c>
      <c r="AB191" s="45"/>
      <c r="AC191" s="45"/>
      <c r="AD191" s="45"/>
      <c r="AE191" s="45"/>
      <c r="AF191" s="45"/>
      <c r="AG191" s="45"/>
      <c r="AH191" s="45"/>
      <c r="AI191" s="45"/>
      <c r="AJ191" s="45"/>
      <c r="AK191" s="45"/>
      <c r="AL191" s="45"/>
      <c r="AM191" s="45"/>
      <c r="AN191" s="45"/>
      <c r="AO191" s="45"/>
      <c r="AP191" s="45"/>
      <c r="AQ191" s="45"/>
      <c r="AR191" s="45"/>
      <c r="AS191" s="45"/>
      <c r="AT191" s="45"/>
      <c r="AU191" s="45"/>
      <c r="AV191" s="47"/>
      <c r="AW191" s="48" t="str">
        <f>REV!AW191</f>
        <v>13.08.2026</v>
      </c>
      <c r="AX191" s="149" t="s">
        <v>68</v>
      </c>
    </row>
    <row r="192" spans="1:50" ht="22.5" customHeight="1">
      <c r="A192" s="41" t="s">
        <v>63</v>
      </c>
      <c r="B192" s="42" t="s">
        <v>64</v>
      </c>
      <c r="C192" s="43">
        <v>4017738</v>
      </c>
      <c r="D192" s="56" t="s">
        <v>322</v>
      </c>
      <c r="E192" s="56" t="s">
        <v>323</v>
      </c>
      <c r="F192" s="45">
        <v>1800</v>
      </c>
      <c r="G192" s="45"/>
      <c r="H192" s="45"/>
      <c r="I192" s="45"/>
      <c r="J192" s="46">
        <f>IF(VLOOKUP($C192,REV!$C:$AA,8,0)-'TRADE IN'!$F192=0,"",(VLOOKUP($C192,REV!$C:$AA,8,0)-'TRADE IN'!$F192))</f>
        <v>4699</v>
      </c>
      <c r="K192" s="46">
        <f>IF(VLOOKUP($C192,REV!$C:$AA,9,0)-'TRADE IN'!$F192=0,"",(VLOOKUP($C192,REV!$C:$AA,9,0)-'TRADE IN'!$F192))</f>
        <v>4699</v>
      </c>
      <c r="L192" s="46">
        <f>IF(VLOOKUP($C192,REV!$C:$AA,10,0)-'TRADE IN'!$F192=0,"",(VLOOKUP($C192,REV!$C:$AA,10,0)-'TRADE IN'!$F192))</f>
        <v>4699</v>
      </c>
      <c r="M192" s="46">
        <f>IF(VLOOKUP($C192,REV!$C:$AA,11,0)-'TRADE IN'!$F192=0,"",(VLOOKUP($C192,REV!$C:$AA,11,0)-'TRADE IN'!$F192))</f>
        <v>4699</v>
      </c>
      <c r="N192" s="46">
        <f>IF(VLOOKUP($C192,REV!$C:$AA,12,0)-'TRADE IN'!$F192=0,"",(VLOOKUP($C192,REV!$C:$AA,12,0)-'TRADE IN'!$F192))</f>
        <v>4699</v>
      </c>
      <c r="O192" s="46">
        <f>IF(VLOOKUP($C192,REV!$C:$AA,13,0)-'TRADE IN'!$F192=0,"",(VLOOKUP($C192,REV!$C:$AA,13,0)-'TRADE IN'!$F192))</f>
        <v>4599</v>
      </c>
      <c r="P192" s="46">
        <f>IF(VLOOKUP($C192,REV!$C:$AA,14,0)-'TRADE IN'!$F192=0,"",(VLOOKUP($C192,REV!$C:$AA,14,0)-'TRADE IN'!$F192))</f>
        <v>4499</v>
      </c>
      <c r="Q192" s="46">
        <f>IF(VLOOKUP($C192,REV!$C:$AA,15,0)-'TRADE IN'!$F192=0,"",(VLOOKUP($C192,REV!$C:$AA,15,0)-'TRADE IN'!$F192))</f>
        <v>4199</v>
      </c>
      <c r="R192" s="46">
        <f>IF(VLOOKUP($C192,REV!$C:$AA,16,0)-'TRADE IN'!$F192=0,"",(VLOOKUP($C192,REV!$C:$AA,16,0)-'TRADE IN'!$F192))</f>
        <v>4599</v>
      </c>
      <c r="S192" s="46">
        <f>IF(VLOOKUP($C192,REV!$C:$AA,17,0)-'TRADE IN'!$F192=0,"",(VLOOKUP($C192,REV!$C:$AA,17,0)-'TRADE IN'!$F192))</f>
        <v>4499</v>
      </c>
      <c r="T192" s="46">
        <f>IF(VLOOKUP($C192,REV!$C:$AA,18,0)-'TRADE IN'!$F192=0,"",(VLOOKUP($C192,REV!$C:$AA,18,0)-'TRADE IN'!$F192))</f>
        <v>4199</v>
      </c>
      <c r="U192" s="46">
        <f>IF(VLOOKUP($C192,REV!$C:$AA,19,0)-'TRADE IN'!$F192=0,"",(VLOOKUP($C192,REV!$C:$AA,19,0)-'TRADE IN'!$F192))</f>
        <v>4199</v>
      </c>
      <c r="V192" s="46">
        <f>IF(VLOOKUP($C192,REV!$C:$AA,20,0)-'TRADE IN'!$F192=0,"",(VLOOKUP($C192,REV!$C:$AA,20,0)-'TRADE IN'!$F192))</f>
        <v>4199</v>
      </c>
      <c r="W192" s="46">
        <f>IF(VLOOKUP($C192,REV!$C:$AA,21,0)-'TRADE IN'!$F192=0,"",(VLOOKUP($C192,REV!$C:$AA,21,0)-'TRADE IN'!$F192))</f>
        <v>4199</v>
      </c>
      <c r="X192" s="46">
        <f>IF(VLOOKUP($C192,REV!$C:$AA,22,0)-'TRADE IN'!$F192=0,"",(VLOOKUP($C192,REV!$C:$AA,22,0)-'TRADE IN'!$F192))</f>
        <v>4099</v>
      </c>
      <c r="Y192" s="46">
        <f>IF(VLOOKUP($C192,REV!$C:$AA,23,0)-'TRADE IN'!$F192=0,"",(VLOOKUP($C192,REV!$C:$AA,23,0)-'TRADE IN'!$F192))</f>
        <v>3699</v>
      </c>
      <c r="Z192" s="46">
        <f>IF(VLOOKUP($C192,REV!$C:$AA,24,0)-'TRADE IN'!$F192=0,"",(VLOOKUP($C192,REV!$C:$AA,24,0)-'TRADE IN'!$F192))</f>
        <v>3699</v>
      </c>
      <c r="AA192" s="46">
        <f>IF(VLOOKUP($C192,REV!$C:$AA,25,0)-'TRADE IN'!$F192=0,"",(VLOOKUP($C192,REV!$C:$AA,25,0)-'TRADE IN'!$F192))</f>
        <v>3599</v>
      </c>
      <c r="AB192" s="45"/>
      <c r="AC192" s="45"/>
      <c r="AD192" s="45"/>
      <c r="AE192" s="45"/>
      <c r="AF192" s="45"/>
      <c r="AG192" s="45"/>
      <c r="AH192" s="45"/>
      <c r="AI192" s="45"/>
      <c r="AJ192" s="45"/>
      <c r="AK192" s="45"/>
      <c r="AL192" s="45"/>
      <c r="AM192" s="45"/>
      <c r="AN192" s="45"/>
      <c r="AO192" s="45"/>
      <c r="AP192" s="45"/>
      <c r="AQ192" s="45"/>
      <c r="AR192" s="45"/>
      <c r="AS192" s="45"/>
      <c r="AT192" s="45"/>
      <c r="AU192" s="45"/>
      <c r="AV192" s="47"/>
      <c r="AW192" s="48" t="str">
        <f>REV!AW192</f>
        <v>13.08.2026</v>
      </c>
      <c r="AX192" s="149" t="s">
        <v>68</v>
      </c>
    </row>
    <row r="193" spans="1:50" ht="22.5" customHeight="1">
      <c r="A193" s="55" t="s">
        <v>222</v>
      </c>
      <c r="B193" s="42" t="s">
        <v>64</v>
      </c>
      <c r="C193" s="43">
        <v>4014215</v>
      </c>
      <c r="D193" s="56" t="s">
        <v>324</v>
      </c>
      <c r="E193" s="56" t="s">
        <v>325</v>
      </c>
      <c r="F193" s="45">
        <v>100</v>
      </c>
      <c r="G193" s="45"/>
      <c r="H193" s="45"/>
      <c r="I193" s="45"/>
      <c r="J193" s="46">
        <f>IF(VLOOKUP($C193,REV!$C:$AA,8,0)-'TRADE IN'!$F193=0,"",(VLOOKUP($C193,REV!$C:$AA,8,0)-'TRADE IN'!$F193))</f>
        <v>199</v>
      </c>
      <c r="K193" s="46">
        <f>IF(VLOOKUP($C193,REV!$C:$AA,9,0)-'TRADE IN'!$F193=0,"",(VLOOKUP($C193,REV!$C:$AA,9,0)-'TRADE IN'!$F193))</f>
        <v>199</v>
      </c>
      <c r="L193" s="46">
        <f>IF(VLOOKUP($C193,REV!$C:$AA,10,0)-'TRADE IN'!$F193=0,"",(VLOOKUP($C193,REV!$C:$AA,10,0)-'TRADE IN'!$F193))</f>
        <v>199</v>
      </c>
      <c r="M193" s="46">
        <f>IF(VLOOKUP($C193,REV!$C:$AA,11,0)-'TRADE IN'!$F193=0,"",(VLOOKUP($C193,REV!$C:$AA,11,0)-'TRADE IN'!$F193))</f>
        <v>199</v>
      </c>
      <c r="N193" s="46">
        <f>IF(VLOOKUP($C193,REV!$C:$AA,12,0)-'TRADE IN'!$F193=0,"",(VLOOKUP($C193,REV!$C:$AA,12,0)-'TRADE IN'!$F193))</f>
        <v>199</v>
      </c>
      <c r="O193" s="46">
        <f>IF(VLOOKUP($C193,REV!$C:$AA,13,0)-'TRADE IN'!$F193=0,"",(VLOOKUP($C193,REV!$C:$AA,13,0)-'TRADE IN'!$F193))</f>
        <v>199</v>
      </c>
      <c r="P193" s="46">
        <f>IF(VLOOKUP($C193,REV!$C:$AA,14,0)-'TRADE IN'!$F193=0,"",(VLOOKUP($C193,REV!$C:$AA,14,0)-'TRADE IN'!$F193))</f>
        <v>199</v>
      </c>
      <c r="Q193" s="46">
        <f>IF(VLOOKUP($C193,REV!$C:$AA,15,0)-'TRADE IN'!$F193=0,"",(VLOOKUP($C193,REV!$C:$AA,15,0)-'TRADE IN'!$F193))</f>
        <v>199</v>
      </c>
      <c r="R193" s="46">
        <f>IF(VLOOKUP($C193,REV!$C:$AA,16,0)-'TRADE IN'!$F193=0,"",(VLOOKUP($C193,REV!$C:$AA,16,0)-'TRADE IN'!$F193))</f>
        <v>199</v>
      </c>
      <c r="S193" s="46">
        <f>IF(VLOOKUP($C193,REV!$C:$AA,17,0)-'TRADE IN'!$F193=0,"",(VLOOKUP($C193,REV!$C:$AA,17,0)-'TRADE IN'!$F193))</f>
        <v>199</v>
      </c>
      <c r="T193" s="46">
        <f>IF(VLOOKUP($C193,REV!$C:$AA,18,0)-'TRADE IN'!$F193=0,"",(VLOOKUP($C193,REV!$C:$AA,18,0)-'TRADE IN'!$F193))</f>
        <v>199</v>
      </c>
      <c r="U193" s="46">
        <f>IF(VLOOKUP($C193,REV!$C:$AA,19,0)-'TRADE IN'!$F193=0,"",(VLOOKUP($C193,REV!$C:$AA,19,0)-'TRADE IN'!$F193))</f>
        <v>199</v>
      </c>
      <c r="V193" s="46">
        <f>IF(VLOOKUP($C193,REV!$C:$AA,20,0)-'TRADE IN'!$F193=0,"",(VLOOKUP($C193,REV!$C:$AA,20,0)-'TRADE IN'!$F193))</f>
        <v>199</v>
      </c>
      <c r="W193" s="46">
        <f>IF(VLOOKUP($C193,REV!$C:$AA,21,0)-'TRADE IN'!$F193=0,"",(VLOOKUP($C193,REV!$C:$AA,21,0)-'TRADE IN'!$F193))</f>
        <v>199</v>
      </c>
      <c r="X193" s="46">
        <f>IF(VLOOKUP($C193,REV!$C:$AA,22,0)-'TRADE IN'!$F193=0,"",(VLOOKUP($C193,REV!$C:$AA,22,0)-'TRADE IN'!$F193))</f>
        <v>199</v>
      </c>
      <c r="Y193" s="46">
        <f>IF(VLOOKUP($C193,REV!$C:$AA,23,0)-'TRADE IN'!$F193=0,"",(VLOOKUP($C193,REV!$C:$AA,23,0)-'TRADE IN'!$F193))</f>
        <v>199</v>
      </c>
      <c r="Z193" s="46">
        <f>IF(VLOOKUP($C193,REV!$C:$AA,24,0)-'TRADE IN'!$F193=0,"",(VLOOKUP($C193,REV!$C:$AA,24,0)-'TRADE IN'!$F193))</f>
        <v>199</v>
      </c>
      <c r="AA193" s="46">
        <f>IF(VLOOKUP($C193,REV!$C:$AA,25,0)-'TRADE IN'!$F193=0,"",(VLOOKUP($C193,REV!$C:$AA,25,0)-'TRADE IN'!$F193))</f>
        <v>199</v>
      </c>
      <c r="AB193" s="45"/>
      <c r="AC193" s="45"/>
      <c r="AD193" s="45"/>
      <c r="AE193" s="45"/>
      <c r="AF193" s="45"/>
      <c r="AG193" s="45"/>
      <c r="AH193" s="45"/>
      <c r="AI193" s="45"/>
      <c r="AJ193" s="45"/>
      <c r="AK193" s="45"/>
      <c r="AL193" s="45"/>
      <c r="AM193" s="45"/>
      <c r="AN193" s="45"/>
      <c r="AO193" s="45"/>
      <c r="AP193" s="45"/>
      <c r="AQ193" s="45"/>
      <c r="AR193" s="45"/>
      <c r="AS193" s="45"/>
      <c r="AT193" s="45"/>
      <c r="AU193" s="45"/>
      <c r="AV193" s="47"/>
      <c r="AW193" s="48" t="str">
        <f>REV!AW193</f>
        <v>13.08.2026</v>
      </c>
      <c r="AX193" s="149" t="s">
        <v>230</v>
      </c>
    </row>
    <row r="194" spans="1:50" ht="22.5" customHeight="1">
      <c r="A194" s="55" t="s">
        <v>222</v>
      </c>
      <c r="B194" s="42" t="s">
        <v>64</v>
      </c>
      <c r="C194" s="43">
        <v>4014569</v>
      </c>
      <c r="D194" s="56" t="s">
        <v>326</v>
      </c>
      <c r="E194" s="56" t="s">
        <v>327</v>
      </c>
      <c r="F194" s="45">
        <v>100</v>
      </c>
      <c r="G194" s="45"/>
      <c r="H194" s="45"/>
      <c r="I194" s="45"/>
      <c r="J194" s="46">
        <f>IF(VLOOKUP($C194,REV!$C:$AA,8,0)-'TRADE IN'!$F194=0,"",(VLOOKUP($C194,REV!$C:$AA,8,0)-'TRADE IN'!$F194))</f>
        <v>99</v>
      </c>
      <c r="K194" s="46">
        <f>IF(VLOOKUP($C194,REV!$C:$AA,9,0)-'TRADE IN'!$F194=0,"",(VLOOKUP($C194,REV!$C:$AA,9,0)-'TRADE IN'!$F194))</f>
        <v>99</v>
      </c>
      <c r="L194" s="46">
        <f>IF(VLOOKUP($C194,REV!$C:$AA,10,0)-'TRADE IN'!$F194=0,"",(VLOOKUP($C194,REV!$C:$AA,10,0)-'TRADE IN'!$F194))</f>
        <v>99</v>
      </c>
      <c r="M194" s="46">
        <f>IF(VLOOKUP($C194,REV!$C:$AA,11,0)-'TRADE IN'!$F194=0,"",(VLOOKUP($C194,REV!$C:$AA,11,0)-'TRADE IN'!$F194))</f>
        <v>99</v>
      </c>
      <c r="N194" s="46">
        <f>IF(VLOOKUP($C194,REV!$C:$AA,12,0)-'TRADE IN'!$F194=0,"",(VLOOKUP($C194,REV!$C:$AA,12,0)-'TRADE IN'!$F194))</f>
        <v>99</v>
      </c>
      <c r="O194" s="46">
        <f>IF(VLOOKUP($C194,REV!$C:$AA,13,0)-'TRADE IN'!$F194=0,"",(VLOOKUP($C194,REV!$C:$AA,13,0)-'TRADE IN'!$F194))</f>
        <v>99</v>
      </c>
      <c r="P194" s="46">
        <f>IF(VLOOKUP($C194,REV!$C:$AA,14,0)-'TRADE IN'!$F194=0,"",(VLOOKUP($C194,REV!$C:$AA,14,0)-'TRADE IN'!$F194))</f>
        <v>99</v>
      </c>
      <c r="Q194" s="46">
        <f>IF(VLOOKUP($C194,REV!$C:$AA,15,0)-'TRADE IN'!$F194=0,"",(VLOOKUP($C194,REV!$C:$AA,15,0)-'TRADE IN'!$F194))</f>
        <v>99</v>
      </c>
      <c r="R194" s="46">
        <f>IF(VLOOKUP($C194,REV!$C:$AA,16,0)-'TRADE IN'!$F194=0,"",(VLOOKUP($C194,REV!$C:$AA,16,0)-'TRADE IN'!$F194))</f>
        <v>99</v>
      </c>
      <c r="S194" s="46">
        <f>IF(VLOOKUP($C194,REV!$C:$AA,17,0)-'TRADE IN'!$F194=0,"",(VLOOKUP($C194,REV!$C:$AA,17,0)-'TRADE IN'!$F194))</f>
        <v>99</v>
      </c>
      <c r="T194" s="46">
        <f>IF(VLOOKUP($C194,REV!$C:$AA,18,0)-'TRADE IN'!$F194=0,"",(VLOOKUP($C194,REV!$C:$AA,18,0)-'TRADE IN'!$F194))</f>
        <v>99</v>
      </c>
      <c r="U194" s="46">
        <f>IF(VLOOKUP($C194,REV!$C:$AA,19,0)-'TRADE IN'!$F194=0,"",(VLOOKUP($C194,REV!$C:$AA,19,0)-'TRADE IN'!$F194))</f>
        <v>99</v>
      </c>
      <c r="V194" s="46">
        <f>IF(VLOOKUP($C194,REV!$C:$AA,20,0)-'TRADE IN'!$F194=0,"",(VLOOKUP($C194,REV!$C:$AA,20,0)-'TRADE IN'!$F194))</f>
        <v>99</v>
      </c>
      <c r="W194" s="46">
        <f>IF(VLOOKUP($C194,REV!$C:$AA,21,0)-'TRADE IN'!$F194=0,"",(VLOOKUP($C194,REV!$C:$AA,21,0)-'TRADE IN'!$F194))</f>
        <v>99</v>
      </c>
      <c r="X194" s="46">
        <f>IF(VLOOKUP($C194,REV!$C:$AA,22,0)-'TRADE IN'!$F194=0,"",(VLOOKUP($C194,REV!$C:$AA,22,0)-'TRADE IN'!$F194))</f>
        <v>99</v>
      </c>
      <c r="Y194" s="46">
        <f>IF(VLOOKUP($C194,REV!$C:$AA,23,0)-'TRADE IN'!$F194=0,"",(VLOOKUP($C194,REV!$C:$AA,23,0)-'TRADE IN'!$F194))</f>
        <v>99</v>
      </c>
      <c r="Z194" s="46">
        <f>IF(VLOOKUP($C194,REV!$C:$AA,24,0)-'TRADE IN'!$F194=0,"",(VLOOKUP($C194,REV!$C:$AA,24,0)-'TRADE IN'!$F194))</f>
        <v>99</v>
      </c>
      <c r="AA194" s="46">
        <f>IF(VLOOKUP($C194,REV!$C:$AA,25,0)-'TRADE IN'!$F194=0,"",(VLOOKUP($C194,REV!$C:$AA,25,0)-'TRADE IN'!$F194))</f>
        <v>99</v>
      </c>
      <c r="AB194" s="45"/>
      <c r="AC194" s="45"/>
      <c r="AD194" s="45"/>
      <c r="AE194" s="45"/>
      <c r="AF194" s="45"/>
      <c r="AG194" s="45"/>
      <c r="AH194" s="45"/>
      <c r="AI194" s="45"/>
      <c r="AJ194" s="45"/>
      <c r="AK194" s="45"/>
      <c r="AL194" s="45"/>
      <c r="AM194" s="45"/>
      <c r="AN194" s="45"/>
      <c r="AO194" s="45"/>
      <c r="AP194" s="45"/>
      <c r="AQ194" s="45"/>
      <c r="AR194" s="45"/>
      <c r="AS194" s="45"/>
      <c r="AT194" s="45"/>
      <c r="AU194" s="45"/>
      <c r="AV194" s="47"/>
      <c r="AW194" s="48" t="str">
        <f>REV!AW194</f>
        <v>13.08.2026</v>
      </c>
      <c r="AX194" s="149" t="s">
        <v>230</v>
      </c>
    </row>
    <row r="195" spans="1:50" ht="22.5" customHeight="1">
      <c r="A195" s="55" t="s">
        <v>222</v>
      </c>
      <c r="B195" s="42" t="s">
        <v>64</v>
      </c>
      <c r="C195" s="43">
        <v>4017883</v>
      </c>
      <c r="D195" s="59" t="s">
        <v>328</v>
      </c>
      <c r="E195" s="56" t="s">
        <v>329</v>
      </c>
      <c r="F195" s="45">
        <v>100</v>
      </c>
      <c r="G195" s="45"/>
      <c r="H195" s="45"/>
      <c r="I195" s="45"/>
      <c r="J195" s="46">
        <f>IF(VLOOKUP($C195,REV!$C:$AA,8,0)-'TRADE IN'!$F195=0,"",(VLOOKUP($C195,REV!$C:$AA,8,0)-'TRADE IN'!$F195))</f>
        <v>1299</v>
      </c>
      <c r="K195" s="46">
        <f>IF(VLOOKUP($C195,REV!$C:$AA,9,0)-'TRADE IN'!$F195=0,"",(VLOOKUP($C195,REV!$C:$AA,9,0)-'TRADE IN'!$F195))</f>
        <v>1199</v>
      </c>
      <c r="L195" s="46">
        <f>IF(VLOOKUP($C195,REV!$C:$AA,10,0)-'TRADE IN'!$F195=0,"",(VLOOKUP($C195,REV!$C:$AA,10,0)-'TRADE IN'!$F195))</f>
        <v>1199</v>
      </c>
      <c r="M195" s="46">
        <f>IF(VLOOKUP($C195,REV!$C:$AA,11,0)-'TRADE IN'!$F195=0,"",(VLOOKUP($C195,REV!$C:$AA,11,0)-'TRADE IN'!$F195))</f>
        <v>1299</v>
      </c>
      <c r="N195" s="46">
        <f>IF(VLOOKUP($C195,REV!$C:$AA,12,0)-'TRADE IN'!$F195=0,"",(VLOOKUP($C195,REV!$C:$AA,12,0)-'TRADE IN'!$F195))</f>
        <v>1199</v>
      </c>
      <c r="O195" s="46">
        <f>IF(VLOOKUP($C195,REV!$C:$AA,13,0)-'TRADE IN'!$F195=0,"",(VLOOKUP($C195,REV!$C:$AA,13,0)-'TRADE IN'!$F195))</f>
        <v>1099</v>
      </c>
      <c r="P195" s="46">
        <f>IF(VLOOKUP($C195,REV!$C:$AA,14,0)-'TRADE IN'!$F195=0,"",(VLOOKUP($C195,REV!$C:$AA,14,0)-'TRADE IN'!$F195))</f>
        <v>999</v>
      </c>
      <c r="Q195" s="46">
        <f>IF(VLOOKUP($C195,REV!$C:$AA,15,0)-'TRADE IN'!$F195=0,"",(VLOOKUP($C195,REV!$C:$AA,15,0)-'TRADE IN'!$F195))</f>
        <v>799</v>
      </c>
      <c r="R195" s="46">
        <f>IF(VLOOKUP($C195,REV!$C:$AA,16,0)-'TRADE IN'!$F195=0,"",(VLOOKUP($C195,REV!$C:$AA,16,0)-'TRADE IN'!$F195))</f>
        <v>1099</v>
      </c>
      <c r="S195" s="46">
        <f>IF(VLOOKUP($C195,REV!$C:$AA,17,0)-'TRADE IN'!$F195=0,"",(VLOOKUP($C195,REV!$C:$AA,17,0)-'TRADE IN'!$F195))</f>
        <v>999</v>
      </c>
      <c r="T195" s="46">
        <f>IF(VLOOKUP($C195,REV!$C:$AA,18,0)-'TRADE IN'!$F195=0,"",(VLOOKUP($C195,REV!$C:$AA,18,0)-'TRADE IN'!$F195))</f>
        <v>799</v>
      </c>
      <c r="U195" s="46">
        <f>IF(VLOOKUP($C195,REV!$C:$AA,19,0)-'TRADE IN'!$F195=0,"",(VLOOKUP($C195,REV!$C:$AA,19,0)-'TRADE IN'!$F195))</f>
        <v>799</v>
      </c>
      <c r="V195" s="46">
        <f>IF(VLOOKUP($C195,REV!$C:$AA,20,0)-'TRADE IN'!$F195=0,"",(VLOOKUP($C195,REV!$C:$AA,20,0)-'TRADE IN'!$F195))</f>
        <v>799</v>
      </c>
      <c r="W195" s="46">
        <f>IF(VLOOKUP($C195,REV!$C:$AA,21,0)-'TRADE IN'!$F195=0,"",(VLOOKUP($C195,REV!$C:$AA,21,0)-'TRADE IN'!$F195))</f>
        <v>799</v>
      </c>
      <c r="X195" s="46">
        <f>IF(VLOOKUP($C195,REV!$C:$AA,22,0)-'TRADE IN'!$F195=0,"",(VLOOKUP($C195,REV!$C:$AA,22,0)-'TRADE IN'!$F195))</f>
        <v>699</v>
      </c>
      <c r="Y195" s="46">
        <f>IF(VLOOKUP($C195,REV!$C:$AA,23,0)-'TRADE IN'!$F195=0,"",(VLOOKUP($C195,REV!$C:$AA,23,0)-'TRADE IN'!$F195))</f>
        <v>599</v>
      </c>
      <c r="Z195" s="46">
        <f>IF(VLOOKUP($C195,REV!$C:$AA,24,0)-'TRADE IN'!$F195=0,"",(VLOOKUP($C195,REV!$C:$AA,24,0)-'TRADE IN'!$F195))</f>
        <v>599</v>
      </c>
      <c r="AA195" s="46">
        <f>IF(VLOOKUP($C195,REV!$C:$AA,25,0)-'TRADE IN'!$F195=0,"",(VLOOKUP($C195,REV!$C:$AA,25,0)-'TRADE IN'!$F195))</f>
        <v>599</v>
      </c>
      <c r="AB195" s="45"/>
      <c r="AC195" s="45"/>
      <c r="AD195" s="45"/>
      <c r="AE195" s="45"/>
      <c r="AF195" s="45"/>
      <c r="AG195" s="45"/>
      <c r="AH195" s="45"/>
      <c r="AI195" s="45"/>
      <c r="AJ195" s="45"/>
      <c r="AK195" s="45"/>
      <c r="AL195" s="45"/>
      <c r="AM195" s="45"/>
      <c r="AN195" s="45"/>
      <c r="AO195" s="45"/>
      <c r="AP195" s="45"/>
      <c r="AQ195" s="45"/>
      <c r="AR195" s="45"/>
      <c r="AS195" s="45"/>
      <c r="AT195" s="45"/>
      <c r="AU195" s="45"/>
      <c r="AV195" s="47"/>
      <c r="AW195" s="48" t="str">
        <f>REV!AW195</f>
        <v>13.08.2026</v>
      </c>
      <c r="AX195" s="149" t="s">
        <v>68</v>
      </c>
    </row>
    <row r="196" spans="1:50" ht="22.5" customHeight="1">
      <c r="A196" s="55" t="s">
        <v>222</v>
      </c>
      <c r="B196" s="42" t="s">
        <v>64</v>
      </c>
      <c r="C196" s="43">
        <v>4014160</v>
      </c>
      <c r="D196" s="59" t="s">
        <v>330</v>
      </c>
      <c r="E196" s="56" t="s">
        <v>331</v>
      </c>
      <c r="F196" s="45">
        <v>100</v>
      </c>
      <c r="G196" s="45"/>
      <c r="H196" s="45"/>
      <c r="I196" s="45"/>
      <c r="J196" s="46">
        <f>IF(VLOOKUP($C196,REV!$C:$AA,8,0)-'TRADE IN'!$F196=0,"",(VLOOKUP($C196,REV!$C:$AA,8,0)-'TRADE IN'!$F196))</f>
        <v>49</v>
      </c>
      <c r="K196" s="46">
        <f>IF(VLOOKUP($C196,REV!$C:$AA,9,0)-'TRADE IN'!$F196=0,"",(VLOOKUP($C196,REV!$C:$AA,9,0)-'TRADE IN'!$F196))</f>
        <v>49</v>
      </c>
      <c r="L196" s="46">
        <f>IF(VLOOKUP($C196,REV!$C:$AA,10,0)-'TRADE IN'!$F196=0,"",(VLOOKUP($C196,REV!$C:$AA,10,0)-'TRADE IN'!$F196))</f>
        <v>49</v>
      </c>
      <c r="M196" s="46">
        <f>IF(VLOOKUP($C196,REV!$C:$AA,11,0)-'TRADE IN'!$F196=0,"",(VLOOKUP($C196,REV!$C:$AA,11,0)-'TRADE IN'!$F196))</f>
        <v>49</v>
      </c>
      <c r="N196" s="46">
        <f>IF(VLOOKUP($C196,REV!$C:$AA,12,0)-'TRADE IN'!$F196=0,"",(VLOOKUP($C196,REV!$C:$AA,12,0)-'TRADE IN'!$F196))</f>
        <v>49</v>
      </c>
      <c r="O196" s="46">
        <f>IF(VLOOKUP($C196,REV!$C:$AA,13,0)-'TRADE IN'!$F196=0,"",(VLOOKUP($C196,REV!$C:$AA,13,0)-'TRADE IN'!$F196))</f>
        <v>49</v>
      </c>
      <c r="P196" s="46">
        <f>IF(VLOOKUP($C196,REV!$C:$AA,14,0)-'TRADE IN'!$F196=0,"",(VLOOKUP($C196,REV!$C:$AA,14,0)-'TRADE IN'!$F196))</f>
        <v>49</v>
      </c>
      <c r="Q196" s="46">
        <f>IF(VLOOKUP($C196,REV!$C:$AA,15,0)-'TRADE IN'!$F196=0,"",(VLOOKUP($C196,REV!$C:$AA,15,0)-'TRADE IN'!$F196))</f>
        <v>49</v>
      </c>
      <c r="R196" s="46">
        <f>IF(VLOOKUP($C196,REV!$C:$AA,16,0)-'TRADE IN'!$F196=0,"",(VLOOKUP($C196,REV!$C:$AA,16,0)-'TRADE IN'!$F196))</f>
        <v>49</v>
      </c>
      <c r="S196" s="46">
        <f>IF(VLOOKUP($C196,REV!$C:$AA,17,0)-'TRADE IN'!$F196=0,"",(VLOOKUP($C196,REV!$C:$AA,17,0)-'TRADE IN'!$F196))</f>
        <v>49</v>
      </c>
      <c r="T196" s="46">
        <f>IF(VLOOKUP($C196,REV!$C:$AA,18,0)-'TRADE IN'!$F196=0,"",(VLOOKUP($C196,REV!$C:$AA,18,0)-'TRADE IN'!$F196))</f>
        <v>49</v>
      </c>
      <c r="U196" s="46">
        <f>IF(VLOOKUP($C196,REV!$C:$AA,19,0)-'TRADE IN'!$F196=0,"",(VLOOKUP($C196,REV!$C:$AA,19,0)-'TRADE IN'!$F196))</f>
        <v>49</v>
      </c>
      <c r="V196" s="46">
        <f>IF(VLOOKUP($C196,REV!$C:$AA,20,0)-'TRADE IN'!$F196=0,"",(VLOOKUP($C196,REV!$C:$AA,20,0)-'TRADE IN'!$F196))</f>
        <v>49</v>
      </c>
      <c r="W196" s="46">
        <f>IF(VLOOKUP($C196,REV!$C:$AA,21,0)-'TRADE IN'!$F196=0,"",(VLOOKUP($C196,REV!$C:$AA,21,0)-'TRADE IN'!$F196))</f>
        <v>49</v>
      </c>
      <c r="X196" s="46">
        <f>IF(VLOOKUP($C196,REV!$C:$AA,22,0)-'TRADE IN'!$F196=0,"",(VLOOKUP($C196,REV!$C:$AA,22,0)-'TRADE IN'!$F196))</f>
        <v>49</v>
      </c>
      <c r="Y196" s="46">
        <f>IF(VLOOKUP($C196,REV!$C:$AA,23,0)-'TRADE IN'!$F196=0,"",(VLOOKUP($C196,REV!$C:$AA,23,0)-'TRADE IN'!$F196))</f>
        <v>49</v>
      </c>
      <c r="Z196" s="46">
        <f>IF(VLOOKUP($C196,REV!$C:$AA,24,0)-'TRADE IN'!$F196=0,"",(VLOOKUP($C196,REV!$C:$AA,24,0)-'TRADE IN'!$F196))</f>
        <v>49</v>
      </c>
      <c r="AA196" s="46">
        <f>IF(VLOOKUP($C196,REV!$C:$AA,25,0)-'TRADE IN'!$F196=0,"",(VLOOKUP($C196,REV!$C:$AA,25,0)-'TRADE IN'!$F196))</f>
        <v>49</v>
      </c>
      <c r="AB196" s="45"/>
      <c r="AC196" s="45"/>
      <c r="AD196" s="45"/>
      <c r="AE196" s="45"/>
      <c r="AF196" s="45"/>
      <c r="AG196" s="45"/>
      <c r="AH196" s="45"/>
      <c r="AI196" s="45"/>
      <c r="AJ196" s="45"/>
      <c r="AK196" s="45"/>
      <c r="AL196" s="45"/>
      <c r="AM196" s="45"/>
      <c r="AN196" s="45"/>
      <c r="AO196" s="45"/>
      <c r="AP196" s="45"/>
      <c r="AQ196" s="45"/>
      <c r="AR196" s="45"/>
      <c r="AS196" s="45"/>
      <c r="AT196" s="45"/>
      <c r="AU196" s="45"/>
      <c r="AV196" s="47"/>
      <c r="AW196" s="48" t="str">
        <f>REV!AW196</f>
        <v>13.08.2026</v>
      </c>
      <c r="AX196" s="149" t="s">
        <v>230</v>
      </c>
    </row>
    <row r="197" spans="1:50" ht="22.5" customHeight="1">
      <c r="A197" s="55" t="s">
        <v>222</v>
      </c>
      <c r="B197" s="42" t="s">
        <v>64</v>
      </c>
      <c r="C197" s="43">
        <v>4015002</v>
      </c>
      <c r="D197" s="56" t="s">
        <v>332</v>
      </c>
      <c r="E197" s="56" t="s">
        <v>333</v>
      </c>
      <c r="F197" s="45">
        <v>100</v>
      </c>
      <c r="G197" s="45"/>
      <c r="H197" s="45"/>
      <c r="I197" s="45"/>
      <c r="J197" s="46">
        <f>IF(VLOOKUP($C197,REV!$C:$AA,8,0)-'TRADE IN'!$F197=0,"",(VLOOKUP($C197,REV!$C:$AA,8,0)-'TRADE IN'!$F197))</f>
        <v>249</v>
      </c>
      <c r="K197" s="46">
        <f>IF(VLOOKUP($C197,REV!$C:$AA,9,0)-'TRADE IN'!$F197=0,"",(VLOOKUP($C197,REV!$C:$AA,9,0)-'TRADE IN'!$F197))</f>
        <v>249</v>
      </c>
      <c r="L197" s="46">
        <f>IF(VLOOKUP($C197,REV!$C:$AA,10,0)-'TRADE IN'!$F197=0,"",(VLOOKUP($C197,REV!$C:$AA,10,0)-'TRADE IN'!$F197))</f>
        <v>249</v>
      </c>
      <c r="M197" s="46">
        <f>IF(VLOOKUP($C197,REV!$C:$AA,11,0)-'TRADE IN'!$F197=0,"",(VLOOKUP($C197,REV!$C:$AA,11,0)-'TRADE IN'!$F197))</f>
        <v>249</v>
      </c>
      <c r="N197" s="46">
        <f>IF(VLOOKUP($C197,REV!$C:$AA,12,0)-'TRADE IN'!$F197=0,"",(VLOOKUP($C197,REV!$C:$AA,12,0)-'TRADE IN'!$F197))</f>
        <v>249</v>
      </c>
      <c r="O197" s="46">
        <f>IF(VLOOKUP($C197,REV!$C:$AA,13,0)-'TRADE IN'!$F197=0,"",(VLOOKUP($C197,REV!$C:$AA,13,0)-'TRADE IN'!$F197))</f>
        <v>249</v>
      </c>
      <c r="P197" s="46">
        <f>IF(VLOOKUP($C197,REV!$C:$AA,14,0)-'TRADE IN'!$F197=0,"",(VLOOKUP($C197,REV!$C:$AA,14,0)-'TRADE IN'!$F197))</f>
        <v>249</v>
      </c>
      <c r="Q197" s="46">
        <f>IF(VLOOKUP($C197,REV!$C:$AA,15,0)-'TRADE IN'!$F197=0,"",(VLOOKUP($C197,REV!$C:$AA,15,0)-'TRADE IN'!$F197))</f>
        <v>249</v>
      </c>
      <c r="R197" s="46">
        <f>IF(VLOOKUP($C197,REV!$C:$AA,16,0)-'TRADE IN'!$F197=0,"",(VLOOKUP($C197,REV!$C:$AA,16,0)-'TRADE IN'!$F197))</f>
        <v>249</v>
      </c>
      <c r="S197" s="46">
        <f>IF(VLOOKUP($C197,REV!$C:$AA,17,0)-'TRADE IN'!$F197=0,"",(VLOOKUP($C197,REV!$C:$AA,17,0)-'TRADE IN'!$F197))</f>
        <v>249</v>
      </c>
      <c r="T197" s="46">
        <f>IF(VLOOKUP($C197,REV!$C:$AA,18,0)-'TRADE IN'!$F197=0,"",(VLOOKUP($C197,REV!$C:$AA,18,0)-'TRADE IN'!$F197))</f>
        <v>249</v>
      </c>
      <c r="U197" s="46">
        <f>IF(VLOOKUP($C197,REV!$C:$AA,19,0)-'TRADE IN'!$F197=0,"",(VLOOKUP($C197,REV!$C:$AA,19,0)-'TRADE IN'!$F197))</f>
        <v>249</v>
      </c>
      <c r="V197" s="46">
        <f>IF(VLOOKUP($C197,REV!$C:$AA,20,0)-'TRADE IN'!$F197=0,"",(VLOOKUP($C197,REV!$C:$AA,20,0)-'TRADE IN'!$F197))</f>
        <v>249</v>
      </c>
      <c r="W197" s="46">
        <f>IF(VLOOKUP($C197,REV!$C:$AA,21,0)-'TRADE IN'!$F197=0,"",(VLOOKUP($C197,REV!$C:$AA,21,0)-'TRADE IN'!$F197))</f>
        <v>249</v>
      </c>
      <c r="X197" s="46">
        <f>IF(VLOOKUP($C197,REV!$C:$AA,22,0)-'TRADE IN'!$F197=0,"",(VLOOKUP($C197,REV!$C:$AA,22,0)-'TRADE IN'!$F197))</f>
        <v>249</v>
      </c>
      <c r="Y197" s="46">
        <f>IF(VLOOKUP($C197,REV!$C:$AA,23,0)-'TRADE IN'!$F197=0,"",(VLOOKUP($C197,REV!$C:$AA,23,0)-'TRADE IN'!$F197))</f>
        <v>249</v>
      </c>
      <c r="Z197" s="46">
        <f>IF(VLOOKUP($C197,REV!$C:$AA,24,0)-'TRADE IN'!$F197=0,"",(VLOOKUP($C197,REV!$C:$AA,24,0)-'TRADE IN'!$F197))</f>
        <v>249</v>
      </c>
      <c r="AA197" s="46">
        <f>IF(VLOOKUP($C197,REV!$C:$AA,25,0)-'TRADE IN'!$F197=0,"",(VLOOKUP($C197,REV!$C:$AA,25,0)-'TRADE IN'!$F197))</f>
        <v>249</v>
      </c>
      <c r="AB197" s="45"/>
      <c r="AC197" s="45"/>
      <c r="AD197" s="45"/>
      <c r="AE197" s="45"/>
      <c r="AF197" s="45"/>
      <c r="AG197" s="45"/>
      <c r="AH197" s="45"/>
      <c r="AI197" s="45"/>
      <c r="AJ197" s="45"/>
      <c r="AK197" s="45"/>
      <c r="AL197" s="45"/>
      <c r="AM197" s="45"/>
      <c r="AN197" s="45"/>
      <c r="AO197" s="45"/>
      <c r="AP197" s="45"/>
      <c r="AQ197" s="45"/>
      <c r="AR197" s="45"/>
      <c r="AS197" s="45"/>
      <c r="AT197" s="45"/>
      <c r="AU197" s="45"/>
      <c r="AV197" s="47"/>
      <c r="AW197" s="48" t="str">
        <f>REV!AW197</f>
        <v>13.08.2026</v>
      </c>
      <c r="AX197" s="149" t="s">
        <v>230</v>
      </c>
    </row>
    <row r="198" spans="1:50" ht="22.5" customHeight="1">
      <c r="A198" s="55" t="s">
        <v>222</v>
      </c>
      <c r="B198" s="42" t="s">
        <v>64</v>
      </c>
      <c r="C198" s="43">
        <v>4015007</v>
      </c>
      <c r="D198" s="56" t="s">
        <v>332</v>
      </c>
      <c r="E198" s="56" t="s">
        <v>334</v>
      </c>
      <c r="F198" s="45">
        <v>100</v>
      </c>
      <c r="G198" s="45"/>
      <c r="H198" s="45"/>
      <c r="I198" s="45"/>
      <c r="J198" s="46">
        <f>IF(VLOOKUP($C198,REV!$C:$AA,8,0)-'TRADE IN'!$F198=0,"",(VLOOKUP($C198,REV!$C:$AA,8,0)-'TRADE IN'!$F198))</f>
        <v>249</v>
      </c>
      <c r="K198" s="46">
        <f>IF(VLOOKUP($C198,REV!$C:$AA,9,0)-'TRADE IN'!$F198=0,"",(VLOOKUP($C198,REV!$C:$AA,9,0)-'TRADE IN'!$F198))</f>
        <v>249</v>
      </c>
      <c r="L198" s="46">
        <f>IF(VLOOKUP($C198,REV!$C:$AA,10,0)-'TRADE IN'!$F198=0,"",(VLOOKUP($C198,REV!$C:$AA,10,0)-'TRADE IN'!$F198))</f>
        <v>249</v>
      </c>
      <c r="M198" s="46">
        <f>IF(VLOOKUP($C198,REV!$C:$AA,11,0)-'TRADE IN'!$F198=0,"",(VLOOKUP($C198,REV!$C:$AA,11,0)-'TRADE IN'!$F198))</f>
        <v>249</v>
      </c>
      <c r="N198" s="46">
        <f>IF(VLOOKUP($C198,REV!$C:$AA,12,0)-'TRADE IN'!$F198=0,"",(VLOOKUP($C198,REV!$C:$AA,12,0)-'TRADE IN'!$F198))</f>
        <v>249</v>
      </c>
      <c r="O198" s="46">
        <f>IF(VLOOKUP($C198,REV!$C:$AA,13,0)-'TRADE IN'!$F198=0,"",(VLOOKUP($C198,REV!$C:$AA,13,0)-'TRADE IN'!$F198))</f>
        <v>249</v>
      </c>
      <c r="P198" s="46">
        <f>IF(VLOOKUP($C198,REV!$C:$AA,14,0)-'TRADE IN'!$F198=0,"",(VLOOKUP($C198,REV!$C:$AA,14,0)-'TRADE IN'!$F198))</f>
        <v>249</v>
      </c>
      <c r="Q198" s="46">
        <f>IF(VLOOKUP($C198,REV!$C:$AA,15,0)-'TRADE IN'!$F198=0,"",(VLOOKUP($C198,REV!$C:$AA,15,0)-'TRADE IN'!$F198))</f>
        <v>249</v>
      </c>
      <c r="R198" s="46">
        <f>IF(VLOOKUP($C198,REV!$C:$AA,16,0)-'TRADE IN'!$F198=0,"",(VLOOKUP($C198,REV!$C:$AA,16,0)-'TRADE IN'!$F198))</f>
        <v>249</v>
      </c>
      <c r="S198" s="46">
        <f>IF(VLOOKUP($C198,REV!$C:$AA,17,0)-'TRADE IN'!$F198=0,"",(VLOOKUP($C198,REV!$C:$AA,17,0)-'TRADE IN'!$F198))</f>
        <v>249</v>
      </c>
      <c r="T198" s="46">
        <f>IF(VLOOKUP($C198,REV!$C:$AA,18,0)-'TRADE IN'!$F198=0,"",(VLOOKUP($C198,REV!$C:$AA,18,0)-'TRADE IN'!$F198))</f>
        <v>249</v>
      </c>
      <c r="U198" s="46">
        <f>IF(VLOOKUP($C198,REV!$C:$AA,19,0)-'TRADE IN'!$F198=0,"",(VLOOKUP($C198,REV!$C:$AA,19,0)-'TRADE IN'!$F198))</f>
        <v>249</v>
      </c>
      <c r="V198" s="46">
        <f>IF(VLOOKUP($C198,REV!$C:$AA,20,0)-'TRADE IN'!$F198=0,"",(VLOOKUP($C198,REV!$C:$AA,20,0)-'TRADE IN'!$F198))</f>
        <v>249</v>
      </c>
      <c r="W198" s="46">
        <f>IF(VLOOKUP($C198,REV!$C:$AA,21,0)-'TRADE IN'!$F198=0,"",(VLOOKUP($C198,REV!$C:$AA,21,0)-'TRADE IN'!$F198))</f>
        <v>249</v>
      </c>
      <c r="X198" s="46">
        <f>IF(VLOOKUP($C198,REV!$C:$AA,22,0)-'TRADE IN'!$F198=0,"",(VLOOKUP($C198,REV!$C:$AA,22,0)-'TRADE IN'!$F198))</f>
        <v>249</v>
      </c>
      <c r="Y198" s="46">
        <f>IF(VLOOKUP($C198,REV!$C:$AA,23,0)-'TRADE IN'!$F198=0,"",(VLOOKUP($C198,REV!$C:$AA,23,0)-'TRADE IN'!$F198))</f>
        <v>249</v>
      </c>
      <c r="Z198" s="46">
        <f>IF(VLOOKUP($C198,REV!$C:$AA,24,0)-'TRADE IN'!$F198=0,"",(VLOOKUP($C198,REV!$C:$AA,24,0)-'TRADE IN'!$F198))</f>
        <v>249</v>
      </c>
      <c r="AA198" s="46">
        <f>IF(VLOOKUP($C198,REV!$C:$AA,25,0)-'TRADE IN'!$F198=0,"",(VLOOKUP($C198,REV!$C:$AA,25,0)-'TRADE IN'!$F198))</f>
        <v>249</v>
      </c>
      <c r="AB198" s="45"/>
      <c r="AC198" s="45"/>
      <c r="AD198" s="45"/>
      <c r="AE198" s="45"/>
      <c r="AF198" s="45"/>
      <c r="AG198" s="45"/>
      <c r="AH198" s="45"/>
      <c r="AI198" s="45"/>
      <c r="AJ198" s="45"/>
      <c r="AK198" s="45"/>
      <c r="AL198" s="45"/>
      <c r="AM198" s="45"/>
      <c r="AN198" s="45"/>
      <c r="AO198" s="45"/>
      <c r="AP198" s="45"/>
      <c r="AQ198" s="45"/>
      <c r="AR198" s="45"/>
      <c r="AS198" s="45"/>
      <c r="AT198" s="45"/>
      <c r="AU198" s="45"/>
      <c r="AV198" s="47"/>
      <c r="AW198" s="48" t="str">
        <f>REV!AW198</f>
        <v>13.08.2026</v>
      </c>
      <c r="AX198" s="149" t="s">
        <v>230</v>
      </c>
    </row>
    <row r="199" spans="1:50" ht="22.5" customHeight="1">
      <c r="A199" s="55" t="s">
        <v>222</v>
      </c>
      <c r="B199" s="42" t="s">
        <v>64</v>
      </c>
      <c r="C199" s="43">
        <v>4015000</v>
      </c>
      <c r="D199" s="56" t="s">
        <v>332</v>
      </c>
      <c r="E199" s="56" t="s">
        <v>335</v>
      </c>
      <c r="F199" s="45">
        <v>100</v>
      </c>
      <c r="G199" s="45"/>
      <c r="H199" s="45"/>
      <c r="I199" s="45"/>
      <c r="J199" s="46">
        <f>IF(VLOOKUP($C199,REV!$C:$AA,8,0)-'TRADE IN'!$F199=0,"",(VLOOKUP($C199,REV!$C:$AA,8,0)-'TRADE IN'!$F199))</f>
        <v>249</v>
      </c>
      <c r="K199" s="46">
        <f>IF(VLOOKUP($C199,REV!$C:$AA,9,0)-'TRADE IN'!$F199=0,"",(VLOOKUP($C199,REV!$C:$AA,9,0)-'TRADE IN'!$F199))</f>
        <v>249</v>
      </c>
      <c r="L199" s="46">
        <f>IF(VLOOKUP($C199,REV!$C:$AA,10,0)-'TRADE IN'!$F199=0,"",(VLOOKUP($C199,REV!$C:$AA,10,0)-'TRADE IN'!$F199))</f>
        <v>249</v>
      </c>
      <c r="M199" s="46">
        <f>IF(VLOOKUP($C199,REV!$C:$AA,11,0)-'TRADE IN'!$F199=0,"",(VLOOKUP($C199,REV!$C:$AA,11,0)-'TRADE IN'!$F199))</f>
        <v>249</v>
      </c>
      <c r="N199" s="46">
        <f>IF(VLOOKUP($C199,REV!$C:$AA,12,0)-'TRADE IN'!$F199=0,"",(VLOOKUP($C199,REV!$C:$AA,12,0)-'TRADE IN'!$F199))</f>
        <v>249</v>
      </c>
      <c r="O199" s="46">
        <f>IF(VLOOKUP($C199,REV!$C:$AA,13,0)-'TRADE IN'!$F199=0,"",(VLOOKUP($C199,REV!$C:$AA,13,0)-'TRADE IN'!$F199))</f>
        <v>249</v>
      </c>
      <c r="P199" s="46">
        <f>IF(VLOOKUP($C199,REV!$C:$AA,14,0)-'TRADE IN'!$F199=0,"",(VLOOKUP($C199,REV!$C:$AA,14,0)-'TRADE IN'!$F199))</f>
        <v>249</v>
      </c>
      <c r="Q199" s="46">
        <f>IF(VLOOKUP($C199,REV!$C:$AA,15,0)-'TRADE IN'!$F199=0,"",(VLOOKUP($C199,REV!$C:$AA,15,0)-'TRADE IN'!$F199))</f>
        <v>249</v>
      </c>
      <c r="R199" s="46">
        <f>IF(VLOOKUP($C199,REV!$C:$AA,16,0)-'TRADE IN'!$F199=0,"",(VLOOKUP($C199,REV!$C:$AA,16,0)-'TRADE IN'!$F199))</f>
        <v>249</v>
      </c>
      <c r="S199" s="46">
        <f>IF(VLOOKUP($C199,REV!$C:$AA,17,0)-'TRADE IN'!$F199=0,"",(VLOOKUP($C199,REV!$C:$AA,17,0)-'TRADE IN'!$F199))</f>
        <v>249</v>
      </c>
      <c r="T199" s="46">
        <f>IF(VLOOKUP($C199,REV!$C:$AA,18,0)-'TRADE IN'!$F199=0,"",(VLOOKUP($C199,REV!$C:$AA,18,0)-'TRADE IN'!$F199))</f>
        <v>249</v>
      </c>
      <c r="U199" s="46">
        <f>IF(VLOOKUP($C199,REV!$C:$AA,19,0)-'TRADE IN'!$F199=0,"",(VLOOKUP($C199,REV!$C:$AA,19,0)-'TRADE IN'!$F199))</f>
        <v>249</v>
      </c>
      <c r="V199" s="46">
        <f>IF(VLOOKUP($C199,REV!$C:$AA,20,0)-'TRADE IN'!$F199=0,"",(VLOOKUP($C199,REV!$C:$AA,20,0)-'TRADE IN'!$F199))</f>
        <v>249</v>
      </c>
      <c r="W199" s="46">
        <f>IF(VLOOKUP($C199,REV!$C:$AA,21,0)-'TRADE IN'!$F199=0,"",(VLOOKUP($C199,REV!$C:$AA,21,0)-'TRADE IN'!$F199))</f>
        <v>249</v>
      </c>
      <c r="X199" s="46">
        <f>IF(VLOOKUP($C199,REV!$C:$AA,22,0)-'TRADE IN'!$F199=0,"",(VLOOKUP($C199,REV!$C:$AA,22,0)-'TRADE IN'!$F199))</f>
        <v>249</v>
      </c>
      <c r="Y199" s="46">
        <f>IF(VLOOKUP($C199,REV!$C:$AA,23,0)-'TRADE IN'!$F199=0,"",(VLOOKUP($C199,REV!$C:$AA,23,0)-'TRADE IN'!$F199))</f>
        <v>249</v>
      </c>
      <c r="Z199" s="46">
        <f>IF(VLOOKUP($C199,REV!$C:$AA,24,0)-'TRADE IN'!$F199=0,"",(VLOOKUP($C199,REV!$C:$AA,24,0)-'TRADE IN'!$F199))</f>
        <v>249</v>
      </c>
      <c r="AA199" s="46">
        <f>IF(VLOOKUP($C199,REV!$C:$AA,25,0)-'TRADE IN'!$F199=0,"",(VLOOKUP($C199,REV!$C:$AA,25,0)-'TRADE IN'!$F199))</f>
        <v>249</v>
      </c>
      <c r="AB199" s="45"/>
      <c r="AC199" s="45"/>
      <c r="AD199" s="45"/>
      <c r="AE199" s="45"/>
      <c r="AF199" s="45"/>
      <c r="AG199" s="45"/>
      <c r="AH199" s="45"/>
      <c r="AI199" s="45"/>
      <c r="AJ199" s="45"/>
      <c r="AK199" s="45"/>
      <c r="AL199" s="45"/>
      <c r="AM199" s="45"/>
      <c r="AN199" s="45"/>
      <c r="AO199" s="45"/>
      <c r="AP199" s="45"/>
      <c r="AQ199" s="45"/>
      <c r="AR199" s="45"/>
      <c r="AS199" s="45"/>
      <c r="AT199" s="45"/>
      <c r="AU199" s="45"/>
      <c r="AV199" s="47"/>
      <c r="AW199" s="48" t="str">
        <f>REV!AW199</f>
        <v>13.08.2026</v>
      </c>
      <c r="AX199" s="149" t="s">
        <v>230</v>
      </c>
    </row>
    <row r="200" spans="1:50" ht="22.5" customHeight="1">
      <c r="A200" s="55" t="s">
        <v>222</v>
      </c>
      <c r="B200" s="42" t="s">
        <v>64</v>
      </c>
      <c r="C200" s="43">
        <v>4014434</v>
      </c>
      <c r="D200" s="56" t="s">
        <v>336</v>
      </c>
      <c r="E200" s="56" t="s">
        <v>337</v>
      </c>
      <c r="F200" s="45">
        <v>100</v>
      </c>
      <c r="G200" s="45"/>
      <c r="H200" s="45"/>
      <c r="I200" s="45"/>
      <c r="J200" s="46">
        <f>IF(VLOOKUP($C200,REV!$C:$AA,8,0)-'TRADE IN'!$F200=0,"",(VLOOKUP($C200,REV!$C:$AA,8,0)-'TRADE IN'!$F200))</f>
        <v>299</v>
      </c>
      <c r="K200" s="46">
        <f>IF(VLOOKUP($C200,REV!$C:$AA,9,0)-'TRADE IN'!$F200=0,"",(VLOOKUP($C200,REV!$C:$AA,9,0)-'TRADE IN'!$F200))</f>
        <v>299</v>
      </c>
      <c r="L200" s="46">
        <f>IF(VLOOKUP($C200,REV!$C:$AA,10,0)-'TRADE IN'!$F200=0,"",(VLOOKUP($C200,REV!$C:$AA,10,0)-'TRADE IN'!$F200))</f>
        <v>299</v>
      </c>
      <c r="M200" s="46">
        <f>IF(VLOOKUP($C200,REV!$C:$AA,11,0)-'TRADE IN'!$F200=0,"",(VLOOKUP($C200,REV!$C:$AA,11,0)-'TRADE IN'!$F200))</f>
        <v>299</v>
      </c>
      <c r="N200" s="46">
        <f>IF(VLOOKUP($C200,REV!$C:$AA,12,0)-'TRADE IN'!$F200=0,"",(VLOOKUP($C200,REV!$C:$AA,12,0)-'TRADE IN'!$F200))</f>
        <v>299</v>
      </c>
      <c r="O200" s="46">
        <f>IF(VLOOKUP($C200,REV!$C:$AA,13,0)-'TRADE IN'!$F200=0,"",(VLOOKUP($C200,REV!$C:$AA,13,0)-'TRADE IN'!$F200))</f>
        <v>249</v>
      </c>
      <c r="P200" s="46">
        <f>IF(VLOOKUP($C200,REV!$C:$AA,14,0)-'TRADE IN'!$F200=0,"",(VLOOKUP($C200,REV!$C:$AA,14,0)-'TRADE IN'!$F200))</f>
        <v>249</v>
      </c>
      <c r="Q200" s="46">
        <f>IF(VLOOKUP($C200,REV!$C:$AA,15,0)-'TRADE IN'!$F200=0,"",(VLOOKUP($C200,REV!$C:$AA,15,0)-'TRADE IN'!$F200))</f>
        <v>249</v>
      </c>
      <c r="R200" s="46">
        <f>IF(VLOOKUP($C200,REV!$C:$AA,16,0)-'TRADE IN'!$F200=0,"",(VLOOKUP($C200,REV!$C:$AA,16,0)-'TRADE IN'!$F200))</f>
        <v>249</v>
      </c>
      <c r="S200" s="46">
        <f>IF(VLOOKUP($C200,REV!$C:$AA,17,0)-'TRADE IN'!$F200=0,"",(VLOOKUP($C200,REV!$C:$AA,17,0)-'TRADE IN'!$F200))</f>
        <v>249</v>
      </c>
      <c r="T200" s="46">
        <f>IF(VLOOKUP($C200,REV!$C:$AA,18,0)-'TRADE IN'!$F200=0,"",(VLOOKUP($C200,REV!$C:$AA,18,0)-'TRADE IN'!$F200))</f>
        <v>249</v>
      </c>
      <c r="U200" s="46">
        <f>IF(VLOOKUP($C200,REV!$C:$AA,19,0)-'TRADE IN'!$F200=0,"",(VLOOKUP($C200,REV!$C:$AA,19,0)-'TRADE IN'!$F200))</f>
        <v>249</v>
      </c>
      <c r="V200" s="46">
        <f>IF(VLOOKUP($C200,REV!$C:$AA,20,0)-'TRADE IN'!$F200=0,"",(VLOOKUP($C200,REV!$C:$AA,20,0)-'TRADE IN'!$F200))</f>
        <v>249</v>
      </c>
      <c r="W200" s="46">
        <f>IF(VLOOKUP($C200,REV!$C:$AA,21,0)-'TRADE IN'!$F200=0,"",(VLOOKUP($C200,REV!$C:$AA,21,0)-'TRADE IN'!$F200))</f>
        <v>249</v>
      </c>
      <c r="X200" s="46">
        <f>IF(VLOOKUP($C200,REV!$C:$AA,22,0)-'TRADE IN'!$F200=0,"",(VLOOKUP($C200,REV!$C:$AA,22,0)-'TRADE IN'!$F200))</f>
        <v>249</v>
      </c>
      <c r="Y200" s="46">
        <f>IF(VLOOKUP($C200,REV!$C:$AA,23,0)-'TRADE IN'!$F200=0,"",(VLOOKUP($C200,REV!$C:$AA,23,0)-'TRADE IN'!$F200))</f>
        <v>249</v>
      </c>
      <c r="Z200" s="46">
        <f>IF(VLOOKUP($C200,REV!$C:$AA,24,0)-'TRADE IN'!$F200=0,"",(VLOOKUP($C200,REV!$C:$AA,24,0)-'TRADE IN'!$F200))</f>
        <v>249</v>
      </c>
      <c r="AA200" s="46">
        <f>IF(VLOOKUP($C200,REV!$C:$AA,25,0)-'TRADE IN'!$F200=0,"",(VLOOKUP($C200,REV!$C:$AA,25,0)-'TRADE IN'!$F200))</f>
        <v>249</v>
      </c>
      <c r="AB200" s="45"/>
      <c r="AC200" s="45"/>
      <c r="AD200" s="45"/>
      <c r="AE200" s="45"/>
      <c r="AF200" s="45"/>
      <c r="AG200" s="45"/>
      <c r="AH200" s="45"/>
      <c r="AI200" s="45"/>
      <c r="AJ200" s="45"/>
      <c r="AK200" s="45"/>
      <c r="AL200" s="45"/>
      <c r="AM200" s="45"/>
      <c r="AN200" s="45"/>
      <c r="AO200" s="45"/>
      <c r="AP200" s="45"/>
      <c r="AQ200" s="45"/>
      <c r="AR200" s="45"/>
      <c r="AS200" s="45"/>
      <c r="AT200" s="45"/>
      <c r="AU200" s="45"/>
      <c r="AV200" s="47"/>
      <c r="AW200" s="48" t="str">
        <f>REV!AW200</f>
        <v>13.08.2026</v>
      </c>
      <c r="AX200" s="149" t="s">
        <v>230</v>
      </c>
    </row>
    <row r="201" spans="1:50" ht="22.5" customHeight="1">
      <c r="A201" s="55" t="s">
        <v>222</v>
      </c>
      <c r="B201" s="42" t="s">
        <v>64</v>
      </c>
      <c r="C201" s="43">
        <v>4014440</v>
      </c>
      <c r="D201" s="56" t="s">
        <v>336</v>
      </c>
      <c r="E201" s="56" t="s">
        <v>338</v>
      </c>
      <c r="F201" s="45">
        <v>100</v>
      </c>
      <c r="G201" s="45"/>
      <c r="H201" s="45"/>
      <c r="I201" s="45"/>
      <c r="J201" s="46">
        <f>IF(VLOOKUP($C201,REV!$C:$AA,8,0)-'TRADE IN'!$F201=0,"",(VLOOKUP($C201,REV!$C:$AA,8,0)-'TRADE IN'!$F201))</f>
        <v>299</v>
      </c>
      <c r="K201" s="46">
        <f>IF(VLOOKUP($C201,REV!$C:$AA,9,0)-'TRADE IN'!$F201=0,"",(VLOOKUP($C201,REV!$C:$AA,9,0)-'TRADE IN'!$F201))</f>
        <v>299</v>
      </c>
      <c r="L201" s="46">
        <f>IF(VLOOKUP($C201,REV!$C:$AA,10,0)-'TRADE IN'!$F201=0,"",(VLOOKUP($C201,REV!$C:$AA,10,0)-'TRADE IN'!$F201))</f>
        <v>299</v>
      </c>
      <c r="M201" s="46">
        <f>IF(VLOOKUP($C201,REV!$C:$AA,11,0)-'TRADE IN'!$F201=0,"",(VLOOKUP($C201,REV!$C:$AA,11,0)-'TRADE IN'!$F201))</f>
        <v>299</v>
      </c>
      <c r="N201" s="46">
        <f>IF(VLOOKUP($C201,REV!$C:$AA,12,0)-'TRADE IN'!$F201=0,"",(VLOOKUP($C201,REV!$C:$AA,12,0)-'TRADE IN'!$F201))</f>
        <v>299</v>
      </c>
      <c r="O201" s="46">
        <f>IF(VLOOKUP($C201,REV!$C:$AA,13,0)-'TRADE IN'!$F201=0,"",(VLOOKUP($C201,REV!$C:$AA,13,0)-'TRADE IN'!$F201))</f>
        <v>249</v>
      </c>
      <c r="P201" s="46">
        <f>IF(VLOOKUP($C201,REV!$C:$AA,14,0)-'TRADE IN'!$F201=0,"",(VLOOKUP($C201,REV!$C:$AA,14,0)-'TRADE IN'!$F201))</f>
        <v>249</v>
      </c>
      <c r="Q201" s="46">
        <f>IF(VLOOKUP($C201,REV!$C:$AA,15,0)-'TRADE IN'!$F201=0,"",(VLOOKUP($C201,REV!$C:$AA,15,0)-'TRADE IN'!$F201))</f>
        <v>249</v>
      </c>
      <c r="R201" s="46">
        <f>IF(VLOOKUP($C201,REV!$C:$AA,16,0)-'TRADE IN'!$F201=0,"",(VLOOKUP($C201,REV!$C:$AA,16,0)-'TRADE IN'!$F201))</f>
        <v>249</v>
      </c>
      <c r="S201" s="46">
        <f>IF(VLOOKUP($C201,REV!$C:$AA,17,0)-'TRADE IN'!$F201=0,"",(VLOOKUP($C201,REV!$C:$AA,17,0)-'TRADE IN'!$F201))</f>
        <v>249</v>
      </c>
      <c r="T201" s="46">
        <f>IF(VLOOKUP($C201,REV!$C:$AA,18,0)-'TRADE IN'!$F201=0,"",(VLOOKUP($C201,REV!$C:$AA,18,0)-'TRADE IN'!$F201))</f>
        <v>249</v>
      </c>
      <c r="U201" s="46">
        <f>IF(VLOOKUP($C201,REV!$C:$AA,19,0)-'TRADE IN'!$F201=0,"",(VLOOKUP($C201,REV!$C:$AA,19,0)-'TRADE IN'!$F201))</f>
        <v>249</v>
      </c>
      <c r="V201" s="46">
        <f>IF(VLOOKUP($C201,REV!$C:$AA,20,0)-'TRADE IN'!$F201=0,"",(VLOOKUP($C201,REV!$C:$AA,20,0)-'TRADE IN'!$F201))</f>
        <v>249</v>
      </c>
      <c r="W201" s="46">
        <f>IF(VLOOKUP($C201,REV!$C:$AA,21,0)-'TRADE IN'!$F201=0,"",(VLOOKUP($C201,REV!$C:$AA,21,0)-'TRADE IN'!$F201))</f>
        <v>249</v>
      </c>
      <c r="X201" s="46">
        <f>IF(VLOOKUP($C201,REV!$C:$AA,22,0)-'TRADE IN'!$F201=0,"",(VLOOKUP($C201,REV!$C:$AA,22,0)-'TRADE IN'!$F201))</f>
        <v>249</v>
      </c>
      <c r="Y201" s="46">
        <f>IF(VLOOKUP($C201,REV!$C:$AA,23,0)-'TRADE IN'!$F201=0,"",(VLOOKUP($C201,REV!$C:$AA,23,0)-'TRADE IN'!$F201))</f>
        <v>249</v>
      </c>
      <c r="Z201" s="46">
        <f>IF(VLOOKUP($C201,REV!$C:$AA,24,0)-'TRADE IN'!$F201=0,"",(VLOOKUP($C201,REV!$C:$AA,24,0)-'TRADE IN'!$F201))</f>
        <v>249</v>
      </c>
      <c r="AA201" s="46">
        <f>IF(VLOOKUP($C201,REV!$C:$AA,25,0)-'TRADE IN'!$F201=0,"",(VLOOKUP($C201,REV!$C:$AA,25,0)-'TRADE IN'!$F201))</f>
        <v>249</v>
      </c>
      <c r="AB201" s="45"/>
      <c r="AC201" s="45"/>
      <c r="AD201" s="45"/>
      <c r="AE201" s="45"/>
      <c r="AF201" s="45"/>
      <c r="AG201" s="45"/>
      <c r="AH201" s="45"/>
      <c r="AI201" s="45"/>
      <c r="AJ201" s="45"/>
      <c r="AK201" s="45"/>
      <c r="AL201" s="45"/>
      <c r="AM201" s="45"/>
      <c r="AN201" s="45"/>
      <c r="AO201" s="45"/>
      <c r="AP201" s="45"/>
      <c r="AQ201" s="45"/>
      <c r="AR201" s="45"/>
      <c r="AS201" s="45"/>
      <c r="AT201" s="45"/>
      <c r="AU201" s="45"/>
      <c r="AV201" s="47"/>
      <c r="AW201" s="48" t="str">
        <f>REV!AW201</f>
        <v>13.08.2026</v>
      </c>
      <c r="AX201" s="149" t="s">
        <v>230</v>
      </c>
    </row>
    <row r="202" spans="1:50" ht="22.5" customHeight="1">
      <c r="A202" s="55" t="s">
        <v>222</v>
      </c>
      <c r="B202" s="42" t="s">
        <v>64</v>
      </c>
      <c r="C202" s="43">
        <v>4015992</v>
      </c>
      <c r="D202" s="59" t="s">
        <v>339</v>
      </c>
      <c r="E202" s="56" t="s">
        <v>340</v>
      </c>
      <c r="F202" s="45">
        <v>100</v>
      </c>
      <c r="G202" s="45"/>
      <c r="H202" s="45"/>
      <c r="I202" s="45"/>
      <c r="J202" s="46">
        <f>IF(VLOOKUP($C202,REV!$C:$AA,8,0)-'TRADE IN'!$F202=0,"",(VLOOKUP($C202,REV!$C:$AA,8,0)-'TRADE IN'!$F202))</f>
        <v>209</v>
      </c>
      <c r="K202" s="46">
        <f>IF(VLOOKUP($C202,REV!$C:$AA,9,0)-'TRADE IN'!$F202=0,"",(VLOOKUP($C202,REV!$C:$AA,9,0)-'TRADE IN'!$F202))</f>
        <v>209</v>
      </c>
      <c r="L202" s="46">
        <f>IF(VLOOKUP($C202,REV!$C:$AA,10,0)-'TRADE IN'!$F202=0,"",(VLOOKUP($C202,REV!$C:$AA,10,0)-'TRADE IN'!$F202))</f>
        <v>209</v>
      </c>
      <c r="M202" s="46">
        <f>IF(VLOOKUP($C202,REV!$C:$AA,11,0)-'TRADE IN'!$F202=0,"",(VLOOKUP($C202,REV!$C:$AA,11,0)-'TRADE IN'!$F202))</f>
        <v>209</v>
      </c>
      <c r="N202" s="46">
        <f>IF(VLOOKUP($C202,REV!$C:$AA,12,0)-'TRADE IN'!$F202=0,"",(VLOOKUP($C202,REV!$C:$AA,12,0)-'TRADE IN'!$F202))</f>
        <v>209</v>
      </c>
      <c r="O202" s="46">
        <f>IF(VLOOKUP($C202,REV!$C:$AA,13,0)-'TRADE IN'!$F202=0,"",(VLOOKUP($C202,REV!$C:$AA,13,0)-'TRADE IN'!$F202))</f>
        <v>209</v>
      </c>
      <c r="P202" s="46">
        <f>IF(VLOOKUP($C202,REV!$C:$AA,14,0)-'TRADE IN'!$F202=0,"",(VLOOKUP($C202,REV!$C:$AA,14,0)-'TRADE IN'!$F202))</f>
        <v>209</v>
      </c>
      <c r="Q202" s="46">
        <f>IF(VLOOKUP($C202,REV!$C:$AA,15,0)-'TRADE IN'!$F202=0,"",(VLOOKUP($C202,REV!$C:$AA,15,0)-'TRADE IN'!$F202))</f>
        <v>209</v>
      </c>
      <c r="R202" s="46">
        <f>IF(VLOOKUP($C202,REV!$C:$AA,16,0)-'TRADE IN'!$F202=0,"",(VLOOKUP($C202,REV!$C:$AA,16,0)-'TRADE IN'!$F202))</f>
        <v>209</v>
      </c>
      <c r="S202" s="46">
        <f>IF(VLOOKUP($C202,REV!$C:$AA,17,0)-'TRADE IN'!$F202=0,"",(VLOOKUP($C202,REV!$C:$AA,17,0)-'TRADE IN'!$F202))</f>
        <v>209</v>
      </c>
      <c r="T202" s="46">
        <f>IF(VLOOKUP($C202,REV!$C:$AA,18,0)-'TRADE IN'!$F202=0,"",(VLOOKUP($C202,REV!$C:$AA,18,0)-'TRADE IN'!$F202))</f>
        <v>209</v>
      </c>
      <c r="U202" s="46">
        <f>IF(VLOOKUP($C202,REV!$C:$AA,19,0)-'TRADE IN'!$F202=0,"",(VLOOKUP($C202,REV!$C:$AA,19,0)-'TRADE IN'!$F202))</f>
        <v>209</v>
      </c>
      <c r="V202" s="46">
        <f>IF(VLOOKUP($C202,REV!$C:$AA,20,0)-'TRADE IN'!$F202=0,"",(VLOOKUP($C202,REV!$C:$AA,20,0)-'TRADE IN'!$F202))</f>
        <v>209</v>
      </c>
      <c r="W202" s="46">
        <f>IF(VLOOKUP($C202,REV!$C:$AA,21,0)-'TRADE IN'!$F202=0,"",(VLOOKUP($C202,REV!$C:$AA,21,0)-'TRADE IN'!$F202))</f>
        <v>209</v>
      </c>
      <c r="X202" s="46">
        <f>IF(VLOOKUP($C202,REV!$C:$AA,22,0)-'TRADE IN'!$F202=0,"",(VLOOKUP($C202,REV!$C:$AA,22,0)-'TRADE IN'!$F202))</f>
        <v>209</v>
      </c>
      <c r="Y202" s="46">
        <f>IF(VLOOKUP($C202,REV!$C:$AA,23,0)-'TRADE IN'!$F202=0,"",(VLOOKUP($C202,REV!$C:$AA,23,0)-'TRADE IN'!$F202))</f>
        <v>209</v>
      </c>
      <c r="Z202" s="46">
        <f>IF(VLOOKUP($C202,REV!$C:$AA,24,0)-'TRADE IN'!$F202=0,"",(VLOOKUP($C202,REV!$C:$AA,24,0)-'TRADE IN'!$F202))</f>
        <v>209</v>
      </c>
      <c r="AA202" s="46">
        <f>IF(VLOOKUP($C202,REV!$C:$AA,25,0)-'TRADE IN'!$F202=0,"",(VLOOKUP($C202,REV!$C:$AA,25,0)-'TRADE IN'!$F202))</f>
        <v>209</v>
      </c>
      <c r="AB202" s="45"/>
      <c r="AC202" s="45"/>
      <c r="AD202" s="45"/>
      <c r="AE202" s="45"/>
      <c r="AF202" s="45"/>
      <c r="AG202" s="45"/>
      <c r="AH202" s="45"/>
      <c r="AI202" s="45"/>
      <c r="AJ202" s="45"/>
      <c r="AK202" s="45"/>
      <c r="AL202" s="45"/>
      <c r="AM202" s="45"/>
      <c r="AN202" s="45"/>
      <c r="AO202" s="45"/>
      <c r="AP202" s="45"/>
      <c r="AQ202" s="45"/>
      <c r="AR202" s="45"/>
      <c r="AS202" s="45"/>
      <c r="AT202" s="45"/>
      <c r="AU202" s="45"/>
      <c r="AV202" s="47"/>
      <c r="AW202" s="48" t="str">
        <f>REV!AW202</f>
        <v>13.08.2026</v>
      </c>
      <c r="AX202" s="149" t="s">
        <v>230</v>
      </c>
    </row>
    <row r="203" spans="1:50" ht="22.5" customHeight="1">
      <c r="A203" s="55" t="s">
        <v>222</v>
      </c>
      <c r="B203" s="42" t="s">
        <v>64</v>
      </c>
      <c r="C203" s="43">
        <v>4015995</v>
      </c>
      <c r="D203" s="59" t="s">
        <v>339</v>
      </c>
      <c r="E203" s="56" t="s">
        <v>341</v>
      </c>
      <c r="F203" s="45">
        <v>100</v>
      </c>
      <c r="G203" s="45"/>
      <c r="H203" s="45"/>
      <c r="I203" s="45"/>
      <c r="J203" s="46">
        <f>IF(VLOOKUP($C203,REV!$C:$AA,8,0)-'TRADE IN'!$F203=0,"",(VLOOKUP($C203,REV!$C:$AA,8,0)-'TRADE IN'!$F203))</f>
        <v>209</v>
      </c>
      <c r="K203" s="46">
        <f>IF(VLOOKUP($C203,REV!$C:$AA,9,0)-'TRADE IN'!$F203=0,"",(VLOOKUP($C203,REV!$C:$AA,9,0)-'TRADE IN'!$F203))</f>
        <v>209</v>
      </c>
      <c r="L203" s="46">
        <f>IF(VLOOKUP($C203,REV!$C:$AA,10,0)-'TRADE IN'!$F203=0,"",(VLOOKUP($C203,REV!$C:$AA,10,0)-'TRADE IN'!$F203))</f>
        <v>209</v>
      </c>
      <c r="M203" s="46">
        <f>IF(VLOOKUP($C203,REV!$C:$AA,11,0)-'TRADE IN'!$F203=0,"",(VLOOKUP($C203,REV!$C:$AA,11,0)-'TRADE IN'!$F203))</f>
        <v>209</v>
      </c>
      <c r="N203" s="46">
        <f>IF(VLOOKUP($C203,REV!$C:$AA,12,0)-'TRADE IN'!$F203=0,"",(VLOOKUP($C203,REV!$C:$AA,12,0)-'TRADE IN'!$F203))</f>
        <v>209</v>
      </c>
      <c r="O203" s="46">
        <f>IF(VLOOKUP($C203,REV!$C:$AA,13,0)-'TRADE IN'!$F203=0,"",(VLOOKUP($C203,REV!$C:$AA,13,0)-'TRADE IN'!$F203))</f>
        <v>209</v>
      </c>
      <c r="P203" s="46">
        <f>IF(VLOOKUP($C203,REV!$C:$AA,14,0)-'TRADE IN'!$F203=0,"",(VLOOKUP($C203,REV!$C:$AA,14,0)-'TRADE IN'!$F203))</f>
        <v>209</v>
      </c>
      <c r="Q203" s="46">
        <f>IF(VLOOKUP($C203,REV!$C:$AA,15,0)-'TRADE IN'!$F203=0,"",(VLOOKUP($C203,REV!$C:$AA,15,0)-'TRADE IN'!$F203))</f>
        <v>209</v>
      </c>
      <c r="R203" s="46">
        <f>IF(VLOOKUP($C203,REV!$C:$AA,16,0)-'TRADE IN'!$F203=0,"",(VLOOKUP($C203,REV!$C:$AA,16,0)-'TRADE IN'!$F203))</f>
        <v>209</v>
      </c>
      <c r="S203" s="46">
        <f>IF(VLOOKUP($C203,REV!$C:$AA,17,0)-'TRADE IN'!$F203=0,"",(VLOOKUP($C203,REV!$C:$AA,17,0)-'TRADE IN'!$F203))</f>
        <v>209</v>
      </c>
      <c r="T203" s="46">
        <f>IF(VLOOKUP($C203,REV!$C:$AA,18,0)-'TRADE IN'!$F203=0,"",(VLOOKUP($C203,REV!$C:$AA,18,0)-'TRADE IN'!$F203))</f>
        <v>209</v>
      </c>
      <c r="U203" s="46">
        <f>IF(VLOOKUP($C203,REV!$C:$AA,19,0)-'TRADE IN'!$F203=0,"",(VLOOKUP($C203,REV!$C:$AA,19,0)-'TRADE IN'!$F203))</f>
        <v>209</v>
      </c>
      <c r="V203" s="46">
        <f>IF(VLOOKUP($C203,REV!$C:$AA,20,0)-'TRADE IN'!$F203=0,"",(VLOOKUP($C203,REV!$C:$AA,20,0)-'TRADE IN'!$F203))</f>
        <v>209</v>
      </c>
      <c r="W203" s="46">
        <f>IF(VLOOKUP($C203,REV!$C:$AA,21,0)-'TRADE IN'!$F203=0,"",(VLOOKUP($C203,REV!$C:$AA,21,0)-'TRADE IN'!$F203))</f>
        <v>209</v>
      </c>
      <c r="X203" s="46">
        <f>IF(VLOOKUP($C203,REV!$C:$AA,22,0)-'TRADE IN'!$F203=0,"",(VLOOKUP($C203,REV!$C:$AA,22,0)-'TRADE IN'!$F203))</f>
        <v>209</v>
      </c>
      <c r="Y203" s="46">
        <f>IF(VLOOKUP($C203,REV!$C:$AA,23,0)-'TRADE IN'!$F203=0,"",(VLOOKUP($C203,REV!$C:$AA,23,0)-'TRADE IN'!$F203))</f>
        <v>209</v>
      </c>
      <c r="Z203" s="46">
        <f>IF(VLOOKUP($C203,REV!$C:$AA,24,0)-'TRADE IN'!$F203=0,"",(VLOOKUP($C203,REV!$C:$AA,24,0)-'TRADE IN'!$F203))</f>
        <v>209</v>
      </c>
      <c r="AA203" s="46">
        <f>IF(VLOOKUP($C203,REV!$C:$AA,25,0)-'TRADE IN'!$F203=0,"",(VLOOKUP($C203,REV!$C:$AA,25,0)-'TRADE IN'!$F203))</f>
        <v>209</v>
      </c>
      <c r="AB203" s="45"/>
      <c r="AC203" s="45"/>
      <c r="AD203" s="45"/>
      <c r="AE203" s="45"/>
      <c r="AF203" s="45"/>
      <c r="AG203" s="45"/>
      <c r="AH203" s="45"/>
      <c r="AI203" s="45"/>
      <c r="AJ203" s="45"/>
      <c r="AK203" s="45"/>
      <c r="AL203" s="45"/>
      <c r="AM203" s="45"/>
      <c r="AN203" s="45"/>
      <c r="AO203" s="45"/>
      <c r="AP203" s="45"/>
      <c r="AQ203" s="45"/>
      <c r="AR203" s="45"/>
      <c r="AS203" s="45"/>
      <c r="AT203" s="45"/>
      <c r="AU203" s="45"/>
      <c r="AV203" s="47"/>
      <c r="AW203" s="48" t="str">
        <f>REV!AW203</f>
        <v>13.08.2026</v>
      </c>
      <c r="AX203" s="149" t="s">
        <v>230</v>
      </c>
    </row>
    <row r="204" spans="1:50" ht="22.5" customHeight="1">
      <c r="A204" s="55" t="s">
        <v>222</v>
      </c>
      <c r="B204" s="42" t="s">
        <v>64</v>
      </c>
      <c r="C204" s="43">
        <v>4016000</v>
      </c>
      <c r="D204" s="59" t="s">
        <v>342</v>
      </c>
      <c r="E204" s="56" t="s">
        <v>343</v>
      </c>
      <c r="F204" s="45">
        <v>100</v>
      </c>
      <c r="G204" s="45"/>
      <c r="H204" s="45"/>
      <c r="I204" s="45"/>
      <c r="J204" s="46">
        <f>IF(VLOOKUP($C204,REV!$C:$AA,8,0)-'TRADE IN'!$F204=0,"",(VLOOKUP($C204,REV!$C:$AA,8,0)-'TRADE IN'!$F204))</f>
        <v>699</v>
      </c>
      <c r="K204" s="46">
        <f>IF(VLOOKUP($C204,REV!$C:$AA,9,0)-'TRADE IN'!$F204=0,"",(VLOOKUP($C204,REV!$C:$AA,9,0)-'TRADE IN'!$F204))</f>
        <v>699</v>
      </c>
      <c r="L204" s="46">
        <f>IF(VLOOKUP($C204,REV!$C:$AA,10,0)-'TRADE IN'!$F204=0,"",(VLOOKUP($C204,REV!$C:$AA,10,0)-'TRADE IN'!$F204))</f>
        <v>699</v>
      </c>
      <c r="M204" s="46">
        <f>IF(VLOOKUP($C204,REV!$C:$AA,11,0)-'TRADE IN'!$F204=0,"",(VLOOKUP($C204,REV!$C:$AA,11,0)-'TRADE IN'!$F204))</f>
        <v>699</v>
      </c>
      <c r="N204" s="46">
        <f>IF(VLOOKUP($C204,REV!$C:$AA,12,0)-'TRADE IN'!$F204=0,"",(VLOOKUP($C204,REV!$C:$AA,12,0)-'TRADE IN'!$F204))</f>
        <v>699</v>
      </c>
      <c r="O204" s="46">
        <f>IF(VLOOKUP($C204,REV!$C:$AA,13,0)-'TRADE IN'!$F204=0,"",(VLOOKUP($C204,REV!$C:$AA,13,0)-'TRADE IN'!$F204))</f>
        <v>649</v>
      </c>
      <c r="P204" s="46">
        <f>IF(VLOOKUP($C204,REV!$C:$AA,14,0)-'TRADE IN'!$F204=0,"",(VLOOKUP($C204,REV!$C:$AA,14,0)-'TRADE IN'!$F204))</f>
        <v>649</v>
      </c>
      <c r="Q204" s="46">
        <f>IF(VLOOKUP($C204,REV!$C:$AA,15,0)-'TRADE IN'!$F204=0,"",(VLOOKUP($C204,REV!$C:$AA,15,0)-'TRADE IN'!$F204))</f>
        <v>649</v>
      </c>
      <c r="R204" s="46">
        <f>IF(VLOOKUP($C204,REV!$C:$AA,16,0)-'TRADE IN'!$F204=0,"",(VLOOKUP($C204,REV!$C:$AA,16,0)-'TRADE IN'!$F204))</f>
        <v>649</v>
      </c>
      <c r="S204" s="46">
        <f>IF(VLOOKUP($C204,REV!$C:$AA,17,0)-'TRADE IN'!$F204=0,"",(VLOOKUP($C204,REV!$C:$AA,17,0)-'TRADE IN'!$F204))</f>
        <v>649</v>
      </c>
      <c r="T204" s="46">
        <f>IF(VLOOKUP($C204,REV!$C:$AA,18,0)-'TRADE IN'!$F204=0,"",(VLOOKUP($C204,REV!$C:$AA,18,0)-'TRADE IN'!$F204))</f>
        <v>649</v>
      </c>
      <c r="U204" s="46">
        <f>IF(VLOOKUP($C204,REV!$C:$AA,19,0)-'TRADE IN'!$F204=0,"",(VLOOKUP($C204,REV!$C:$AA,19,0)-'TRADE IN'!$F204))</f>
        <v>649</v>
      </c>
      <c r="V204" s="46">
        <f>IF(VLOOKUP($C204,REV!$C:$AA,20,0)-'TRADE IN'!$F204=0,"",(VLOOKUP($C204,REV!$C:$AA,20,0)-'TRADE IN'!$F204))</f>
        <v>649</v>
      </c>
      <c r="W204" s="46">
        <f>IF(VLOOKUP($C204,REV!$C:$AA,21,0)-'TRADE IN'!$F204=0,"",(VLOOKUP($C204,REV!$C:$AA,21,0)-'TRADE IN'!$F204))</f>
        <v>649</v>
      </c>
      <c r="X204" s="46">
        <f>IF(VLOOKUP($C204,REV!$C:$AA,22,0)-'TRADE IN'!$F204=0,"",(VLOOKUP($C204,REV!$C:$AA,22,0)-'TRADE IN'!$F204))</f>
        <v>649</v>
      </c>
      <c r="Y204" s="46">
        <f>IF(VLOOKUP($C204,REV!$C:$AA,23,0)-'TRADE IN'!$F204=0,"",(VLOOKUP($C204,REV!$C:$AA,23,0)-'TRADE IN'!$F204))</f>
        <v>649</v>
      </c>
      <c r="Z204" s="46">
        <f>IF(VLOOKUP($C204,REV!$C:$AA,24,0)-'TRADE IN'!$F204=0,"",(VLOOKUP($C204,REV!$C:$AA,24,0)-'TRADE IN'!$F204))</f>
        <v>649</v>
      </c>
      <c r="AA204" s="46">
        <f>IF(VLOOKUP($C204,REV!$C:$AA,25,0)-'TRADE IN'!$F204=0,"",(VLOOKUP($C204,REV!$C:$AA,25,0)-'TRADE IN'!$F204))</f>
        <v>649</v>
      </c>
      <c r="AB204" s="45"/>
      <c r="AC204" s="45"/>
      <c r="AD204" s="45"/>
      <c r="AE204" s="45"/>
      <c r="AF204" s="45"/>
      <c r="AG204" s="45"/>
      <c r="AH204" s="45"/>
      <c r="AI204" s="45"/>
      <c r="AJ204" s="45"/>
      <c r="AK204" s="45"/>
      <c r="AL204" s="45"/>
      <c r="AM204" s="45"/>
      <c r="AN204" s="45"/>
      <c r="AO204" s="45"/>
      <c r="AP204" s="45"/>
      <c r="AQ204" s="45"/>
      <c r="AR204" s="45"/>
      <c r="AS204" s="45"/>
      <c r="AT204" s="45"/>
      <c r="AU204" s="45"/>
      <c r="AV204" s="47"/>
      <c r="AW204" s="48" t="str">
        <f>REV!AW204</f>
        <v>13.08.2026</v>
      </c>
      <c r="AX204" s="149" t="s">
        <v>230</v>
      </c>
    </row>
    <row r="205" spans="1:50" ht="22.5" customHeight="1">
      <c r="A205" s="55" t="s">
        <v>222</v>
      </c>
      <c r="B205" s="42" t="s">
        <v>64</v>
      </c>
      <c r="C205" s="43">
        <v>4016003</v>
      </c>
      <c r="D205" s="59" t="s">
        <v>342</v>
      </c>
      <c r="E205" s="56" t="s">
        <v>344</v>
      </c>
      <c r="F205" s="45">
        <v>100</v>
      </c>
      <c r="G205" s="45"/>
      <c r="H205" s="45"/>
      <c r="I205" s="45"/>
      <c r="J205" s="46">
        <f>IF(VLOOKUP($C205,REV!$C:$AA,8,0)-'TRADE IN'!$F205=0,"",(VLOOKUP($C205,REV!$C:$AA,8,0)-'TRADE IN'!$F205))</f>
        <v>699</v>
      </c>
      <c r="K205" s="46">
        <f>IF(VLOOKUP($C205,REV!$C:$AA,9,0)-'TRADE IN'!$F205=0,"",(VLOOKUP($C205,REV!$C:$AA,9,0)-'TRADE IN'!$F205))</f>
        <v>699</v>
      </c>
      <c r="L205" s="46">
        <f>IF(VLOOKUP($C205,REV!$C:$AA,10,0)-'TRADE IN'!$F205=0,"",(VLOOKUP($C205,REV!$C:$AA,10,0)-'TRADE IN'!$F205))</f>
        <v>699</v>
      </c>
      <c r="M205" s="46">
        <f>IF(VLOOKUP($C205,REV!$C:$AA,11,0)-'TRADE IN'!$F205=0,"",(VLOOKUP($C205,REV!$C:$AA,11,0)-'TRADE IN'!$F205))</f>
        <v>699</v>
      </c>
      <c r="N205" s="46">
        <f>IF(VLOOKUP($C205,REV!$C:$AA,12,0)-'TRADE IN'!$F205=0,"",(VLOOKUP($C205,REV!$C:$AA,12,0)-'TRADE IN'!$F205))</f>
        <v>699</v>
      </c>
      <c r="O205" s="46">
        <f>IF(VLOOKUP($C205,REV!$C:$AA,13,0)-'TRADE IN'!$F205=0,"",(VLOOKUP($C205,REV!$C:$AA,13,0)-'TRADE IN'!$F205))</f>
        <v>649</v>
      </c>
      <c r="P205" s="46">
        <f>IF(VLOOKUP($C205,REV!$C:$AA,14,0)-'TRADE IN'!$F205=0,"",(VLOOKUP($C205,REV!$C:$AA,14,0)-'TRADE IN'!$F205))</f>
        <v>649</v>
      </c>
      <c r="Q205" s="46">
        <f>IF(VLOOKUP($C205,REV!$C:$AA,15,0)-'TRADE IN'!$F205=0,"",(VLOOKUP($C205,REV!$C:$AA,15,0)-'TRADE IN'!$F205))</f>
        <v>649</v>
      </c>
      <c r="R205" s="46">
        <f>IF(VLOOKUP($C205,REV!$C:$AA,16,0)-'TRADE IN'!$F205=0,"",(VLOOKUP($C205,REV!$C:$AA,16,0)-'TRADE IN'!$F205))</f>
        <v>649</v>
      </c>
      <c r="S205" s="46">
        <f>IF(VLOOKUP($C205,REV!$C:$AA,17,0)-'TRADE IN'!$F205=0,"",(VLOOKUP($C205,REV!$C:$AA,17,0)-'TRADE IN'!$F205))</f>
        <v>649</v>
      </c>
      <c r="T205" s="46">
        <f>IF(VLOOKUP($C205,REV!$C:$AA,18,0)-'TRADE IN'!$F205=0,"",(VLOOKUP($C205,REV!$C:$AA,18,0)-'TRADE IN'!$F205))</f>
        <v>649</v>
      </c>
      <c r="U205" s="46">
        <f>IF(VLOOKUP($C205,REV!$C:$AA,19,0)-'TRADE IN'!$F205=0,"",(VLOOKUP($C205,REV!$C:$AA,19,0)-'TRADE IN'!$F205))</f>
        <v>649</v>
      </c>
      <c r="V205" s="46">
        <f>IF(VLOOKUP($C205,REV!$C:$AA,20,0)-'TRADE IN'!$F205=0,"",(VLOOKUP($C205,REV!$C:$AA,20,0)-'TRADE IN'!$F205))</f>
        <v>649</v>
      </c>
      <c r="W205" s="46">
        <f>IF(VLOOKUP($C205,REV!$C:$AA,21,0)-'TRADE IN'!$F205=0,"",(VLOOKUP($C205,REV!$C:$AA,21,0)-'TRADE IN'!$F205))</f>
        <v>649</v>
      </c>
      <c r="X205" s="46">
        <f>IF(VLOOKUP($C205,REV!$C:$AA,22,0)-'TRADE IN'!$F205=0,"",(VLOOKUP($C205,REV!$C:$AA,22,0)-'TRADE IN'!$F205))</f>
        <v>649</v>
      </c>
      <c r="Y205" s="46">
        <f>IF(VLOOKUP($C205,REV!$C:$AA,23,0)-'TRADE IN'!$F205=0,"",(VLOOKUP($C205,REV!$C:$AA,23,0)-'TRADE IN'!$F205))</f>
        <v>649</v>
      </c>
      <c r="Z205" s="46">
        <f>IF(VLOOKUP($C205,REV!$C:$AA,24,0)-'TRADE IN'!$F205=0,"",(VLOOKUP($C205,REV!$C:$AA,24,0)-'TRADE IN'!$F205))</f>
        <v>649</v>
      </c>
      <c r="AA205" s="46">
        <f>IF(VLOOKUP($C205,REV!$C:$AA,25,0)-'TRADE IN'!$F205=0,"",(VLOOKUP($C205,REV!$C:$AA,25,0)-'TRADE IN'!$F205))</f>
        <v>649</v>
      </c>
      <c r="AB205" s="45"/>
      <c r="AC205" s="45"/>
      <c r="AD205" s="45"/>
      <c r="AE205" s="45"/>
      <c r="AF205" s="45"/>
      <c r="AG205" s="45"/>
      <c r="AH205" s="45"/>
      <c r="AI205" s="45"/>
      <c r="AJ205" s="45"/>
      <c r="AK205" s="45"/>
      <c r="AL205" s="45"/>
      <c r="AM205" s="45"/>
      <c r="AN205" s="45"/>
      <c r="AO205" s="45"/>
      <c r="AP205" s="45"/>
      <c r="AQ205" s="45"/>
      <c r="AR205" s="45"/>
      <c r="AS205" s="45"/>
      <c r="AT205" s="45"/>
      <c r="AU205" s="45"/>
      <c r="AV205" s="47"/>
      <c r="AW205" s="48" t="str">
        <f>REV!AW205</f>
        <v>13.08.2026</v>
      </c>
      <c r="AX205" s="149" t="s">
        <v>230</v>
      </c>
    </row>
    <row r="206" spans="1:50" ht="22.5" customHeight="1">
      <c r="A206" s="55" t="s">
        <v>222</v>
      </c>
      <c r="B206" s="42" t="s">
        <v>64</v>
      </c>
      <c r="C206" s="43">
        <v>4016641</v>
      </c>
      <c r="D206" s="59" t="s">
        <v>345</v>
      </c>
      <c r="E206" s="56" t="s">
        <v>346</v>
      </c>
      <c r="F206" s="45">
        <v>100</v>
      </c>
      <c r="G206" s="45"/>
      <c r="H206" s="45"/>
      <c r="I206" s="45"/>
      <c r="J206" s="46">
        <f>IF(VLOOKUP($C206,REV!$C:$AA,8,0)-'TRADE IN'!$F206=0,"",(VLOOKUP($C206,REV!$C:$AA,8,0)-'TRADE IN'!$F206))</f>
        <v>699</v>
      </c>
      <c r="K206" s="46">
        <f>IF(VLOOKUP($C206,REV!$C:$AA,9,0)-'TRADE IN'!$F206=0,"",(VLOOKUP($C206,REV!$C:$AA,9,0)-'TRADE IN'!$F206))</f>
        <v>699</v>
      </c>
      <c r="L206" s="46">
        <f>IF(VLOOKUP($C206,REV!$C:$AA,10,0)-'TRADE IN'!$F206=0,"",(VLOOKUP($C206,REV!$C:$AA,10,0)-'TRADE IN'!$F206))</f>
        <v>699</v>
      </c>
      <c r="M206" s="46">
        <f>IF(VLOOKUP($C206,REV!$C:$AA,11,0)-'TRADE IN'!$F206=0,"",(VLOOKUP($C206,REV!$C:$AA,11,0)-'TRADE IN'!$F206))</f>
        <v>699</v>
      </c>
      <c r="N206" s="46">
        <f>IF(VLOOKUP($C206,REV!$C:$AA,12,0)-'TRADE IN'!$F206=0,"",(VLOOKUP($C206,REV!$C:$AA,12,0)-'TRADE IN'!$F206))</f>
        <v>699</v>
      </c>
      <c r="O206" s="46">
        <f>IF(VLOOKUP($C206,REV!$C:$AA,13,0)-'TRADE IN'!$F206=0,"",(VLOOKUP($C206,REV!$C:$AA,13,0)-'TRADE IN'!$F206))</f>
        <v>599</v>
      </c>
      <c r="P206" s="46">
        <f>IF(VLOOKUP($C206,REV!$C:$AA,14,0)-'TRADE IN'!$F206=0,"",(VLOOKUP($C206,REV!$C:$AA,14,0)-'TRADE IN'!$F206))</f>
        <v>599</v>
      </c>
      <c r="Q206" s="46">
        <f>IF(VLOOKUP($C206,REV!$C:$AA,15,0)-'TRADE IN'!$F206=0,"",(VLOOKUP($C206,REV!$C:$AA,15,0)-'TRADE IN'!$F206))</f>
        <v>599</v>
      </c>
      <c r="R206" s="46">
        <f>IF(VLOOKUP($C206,REV!$C:$AA,16,0)-'TRADE IN'!$F206=0,"",(VLOOKUP($C206,REV!$C:$AA,16,0)-'TRADE IN'!$F206))</f>
        <v>599</v>
      </c>
      <c r="S206" s="46">
        <f>IF(VLOOKUP($C206,REV!$C:$AA,17,0)-'TRADE IN'!$F206=0,"",(VLOOKUP($C206,REV!$C:$AA,17,0)-'TRADE IN'!$F206))</f>
        <v>599</v>
      </c>
      <c r="T206" s="46">
        <f>IF(VLOOKUP($C206,REV!$C:$AA,18,0)-'TRADE IN'!$F206=0,"",(VLOOKUP($C206,REV!$C:$AA,18,0)-'TRADE IN'!$F206))</f>
        <v>599</v>
      </c>
      <c r="U206" s="46">
        <f>IF(VLOOKUP($C206,REV!$C:$AA,19,0)-'TRADE IN'!$F206=0,"",(VLOOKUP($C206,REV!$C:$AA,19,0)-'TRADE IN'!$F206))</f>
        <v>599</v>
      </c>
      <c r="V206" s="46">
        <f>IF(VLOOKUP($C206,REV!$C:$AA,20,0)-'TRADE IN'!$F206=0,"",(VLOOKUP($C206,REV!$C:$AA,20,0)-'TRADE IN'!$F206))</f>
        <v>599</v>
      </c>
      <c r="W206" s="46">
        <f>IF(VLOOKUP($C206,REV!$C:$AA,21,0)-'TRADE IN'!$F206=0,"",(VLOOKUP($C206,REV!$C:$AA,21,0)-'TRADE IN'!$F206))</f>
        <v>599</v>
      </c>
      <c r="X206" s="46">
        <f>IF(VLOOKUP($C206,REV!$C:$AA,22,0)-'TRADE IN'!$F206=0,"",(VLOOKUP($C206,REV!$C:$AA,22,0)-'TRADE IN'!$F206))</f>
        <v>599</v>
      </c>
      <c r="Y206" s="46">
        <f>IF(VLOOKUP($C206,REV!$C:$AA,23,0)-'TRADE IN'!$F206=0,"",(VLOOKUP($C206,REV!$C:$AA,23,0)-'TRADE IN'!$F206))</f>
        <v>599</v>
      </c>
      <c r="Z206" s="46">
        <f>IF(VLOOKUP($C206,REV!$C:$AA,24,0)-'TRADE IN'!$F206=0,"",(VLOOKUP($C206,REV!$C:$AA,24,0)-'TRADE IN'!$F206))</f>
        <v>599</v>
      </c>
      <c r="AA206" s="46">
        <f>IF(VLOOKUP($C206,REV!$C:$AA,25,0)-'TRADE IN'!$F206=0,"",(VLOOKUP($C206,REV!$C:$AA,25,0)-'TRADE IN'!$F206))</f>
        <v>599</v>
      </c>
      <c r="AB206" s="45"/>
      <c r="AC206" s="45"/>
      <c r="AD206" s="45"/>
      <c r="AE206" s="45"/>
      <c r="AF206" s="45"/>
      <c r="AG206" s="45"/>
      <c r="AH206" s="45"/>
      <c r="AI206" s="45"/>
      <c r="AJ206" s="45"/>
      <c r="AK206" s="45"/>
      <c r="AL206" s="45"/>
      <c r="AM206" s="45"/>
      <c r="AN206" s="45"/>
      <c r="AO206" s="45"/>
      <c r="AP206" s="45"/>
      <c r="AQ206" s="45"/>
      <c r="AR206" s="45"/>
      <c r="AS206" s="45"/>
      <c r="AT206" s="45"/>
      <c r="AU206" s="45"/>
      <c r="AV206" s="47"/>
      <c r="AW206" s="48" t="str">
        <f>REV!AW206</f>
        <v>13.08.2026</v>
      </c>
      <c r="AX206" s="149" t="s">
        <v>230</v>
      </c>
    </row>
    <row r="207" spans="1:50" ht="22.5" customHeight="1">
      <c r="A207" s="55" t="s">
        <v>222</v>
      </c>
      <c r="B207" s="42" t="s">
        <v>64</v>
      </c>
      <c r="C207" s="43">
        <v>4016642</v>
      </c>
      <c r="D207" s="59" t="s">
        <v>345</v>
      </c>
      <c r="E207" s="56" t="s">
        <v>347</v>
      </c>
      <c r="F207" s="45">
        <v>100</v>
      </c>
      <c r="G207" s="45"/>
      <c r="H207" s="45"/>
      <c r="I207" s="45"/>
      <c r="J207" s="46">
        <f>IF(VLOOKUP($C207,REV!$C:$AA,8,0)-'TRADE IN'!$F207=0,"",(VLOOKUP($C207,REV!$C:$AA,8,0)-'TRADE IN'!$F207))</f>
        <v>699</v>
      </c>
      <c r="K207" s="46">
        <f>IF(VLOOKUP($C207,REV!$C:$AA,9,0)-'TRADE IN'!$F207=0,"",(VLOOKUP($C207,REV!$C:$AA,9,0)-'TRADE IN'!$F207))</f>
        <v>699</v>
      </c>
      <c r="L207" s="46">
        <f>IF(VLOOKUP($C207,REV!$C:$AA,10,0)-'TRADE IN'!$F207=0,"",(VLOOKUP($C207,REV!$C:$AA,10,0)-'TRADE IN'!$F207))</f>
        <v>699</v>
      </c>
      <c r="M207" s="46">
        <f>IF(VLOOKUP($C207,REV!$C:$AA,11,0)-'TRADE IN'!$F207=0,"",(VLOOKUP($C207,REV!$C:$AA,11,0)-'TRADE IN'!$F207))</f>
        <v>699</v>
      </c>
      <c r="N207" s="46">
        <f>IF(VLOOKUP($C207,REV!$C:$AA,12,0)-'TRADE IN'!$F207=0,"",(VLOOKUP($C207,REV!$C:$AA,12,0)-'TRADE IN'!$F207))</f>
        <v>699</v>
      </c>
      <c r="O207" s="46">
        <f>IF(VLOOKUP($C207,REV!$C:$AA,13,0)-'TRADE IN'!$F207=0,"",(VLOOKUP($C207,REV!$C:$AA,13,0)-'TRADE IN'!$F207))</f>
        <v>599</v>
      </c>
      <c r="P207" s="46">
        <f>IF(VLOOKUP($C207,REV!$C:$AA,14,0)-'TRADE IN'!$F207=0,"",(VLOOKUP($C207,REV!$C:$AA,14,0)-'TRADE IN'!$F207))</f>
        <v>599</v>
      </c>
      <c r="Q207" s="46">
        <f>IF(VLOOKUP($C207,REV!$C:$AA,15,0)-'TRADE IN'!$F207=0,"",(VLOOKUP($C207,REV!$C:$AA,15,0)-'TRADE IN'!$F207))</f>
        <v>599</v>
      </c>
      <c r="R207" s="46">
        <f>IF(VLOOKUP($C207,REV!$C:$AA,16,0)-'TRADE IN'!$F207=0,"",(VLOOKUP($C207,REV!$C:$AA,16,0)-'TRADE IN'!$F207))</f>
        <v>599</v>
      </c>
      <c r="S207" s="46">
        <f>IF(VLOOKUP($C207,REV!$C:$AA,17,0)-'TRADE IN'!$F207=0,"",(VLOOKUP($C207,REV!$C:$AA,17,0)-'TRADE IN'!$F207))</f>
        <v>599</v>
      </c>
      <c r="T207" s="46">
        <f>IF(VLOOKUP($C207,REV!$C:$AA,18,0)-'TRADE IN'!$F207=0,"",(VLOOKUP($C207,REV!$C:$AA,18,0)-'TRADE IN'!$F207))</f>
        <v>599</v>
      </c>
      <c r="U207" s="46">
        <f>IF(VLOOKUP($C207,REV!$C:$AA,19,0)-'TRADE IN'!$F207=0,"",(VLOOKUP($C207,REV!$C:$AA,19,0)-'TRADE IN'!$F207))</f>
        <v>599</v>
      </c>
      <c r="V207" s="46">
        <f>IF(VLOOKUP($C207,REV!$C:$AA,20,0)-'TRADE IN'!$F207=0,"",(VLOOKUP($C207,REV!$C:$AA,20,0)-'TRADE IN'!$F207))</f>
        <v>599</v>
      </c>
      <c r="W207" s="46">
        <f>IF(VLOOKUP($C207,REV!$C:$AA,21,0)-'TRADE IN'!$F207=0,"",(VLOOKUP($C207,REV!$C:$AA,21,0)-'TRADE IN'!$F207))</f>
        <v>599</v>
      </c>
      <c r="X207" s="46">
        <f>IF(VLOOKUP($C207,REV!$C:$AA,22,0)-'TRADE IN'!$F207=0,"",(VLOOKUP($C207,REV!$C:$AA,22,0)-'TRADE IN'!$F207))</f>
        <v>599</v>
      </c>
      <c r="Y207" s="46">
        <f>IF(VLOOKUP($C207,REV!$C:$AA,23,0)-'TRADE IN'!$F207=0,"",(VLOOKUP($C207,REV!$C:$AA,23,0)-'TRADE IN'!$F207))</f>
        <v>599</v>
      </c>
      <c r="Z207" s="46">
        <f>IF(VLOOKUP($C207,REV!$C:$AA,24,0)-'TRADE IN'!$F207=0,"",(VLOOKUP($C207,REV!$C:$AA,24,0)-'TRADE IN'!$F207))</f>
        <v>599</v>
      </c>
      <c r="AA207" s="46">
        <f>IF(VLOOKUP($C207,REV!$C:$AA,25,0)-'TRADE IN'!$F207=0,"",(VLOOKUP($C207,REV!$C:$AA,25,0)-'TRADE IN'!$F207))</f>
        <v>599</v>
      </c>
      <c r="AB207" s="45"/>
      <c r="AC207" s="45"/>
      <c r="AD207" s="45"/>
      <c r="AE207" s="45"/>
      <c r="AF207" s="45"/>
      <c r="AG207" s="45"/>
      <c r="AH207" s="45"/>
      <c r="AI207" s="45"/>
      <c r="AJ207" s="45"/>
      <c r="AK207" s="45"/>
      <c r="AL207" s="45"/>
      <c r="AM207" s="45"/>
      <c r="AN207" s="45"/>
      <c r="AO207" s="45"/>
      <c r="AP207" s="45"/>
      <c r="AQ207" s="45"/>
      <c r="AR207" s="45"/>
      <c r="AS207" s="45"/>
      <c r="AT207" s="45"/>
      <c r="AU207" s="45"/>
      <c r="AV207" s="47"/>
      <c r="AW207" s="48" t="str">
        <f>REV!AW207</f>
        <v>13.08.2026</v>
      </c>
      <c r="AX207" s="149" t="s">
        <v>230</v>
      </c>
    </row>
    <row r="208" spans="1:50" ht="22.5" customHeight="1">
      <c r="A208" s="55" t="s">
        <v>222</v>
      </c>
      <c r="B208" s="42" t="s">
        <v>64</v>
      </c>
      <c r="C208" s="43">
        <v>4016976</v>
      </c>
      <c r="D208" s="59" t="s">
        <v>348</v>
      </c>
      <c r="E208" s="56" t="s">
        <v>349</v>
      </c>
      <c r="F208" s="45">
        <v>100</v>
      </c>
      <c r="G208" s="45"/>
      <c r="H208" s="45"/>
      <c r="I208" s="45"/>
      <c r="J208" s="46">
        <f>IF(VLOOKUP($C208,REV!$C:$AA,8,0)-'TRADE IN'!$F208=0,"",(VLOOKUP($C208,REV!$C:$AA,8,0)-'TRADE IN'!$F208))</f>
        <v>699</v>
      </c>
      <c r="K208" s="46">
        <f>IF(VLOOKUP($C208,REV!$C:$AA,9,0)-'TRADE IN'!$F208=0,"",(VLOOKUP($C208,REV!$C:$AA,9,0)-'TRADE IN'!$F208))</f>
        <v>599</v>
      </c>
      <c r="L208" s="46">
        <f>IF(VLOOKUP($C208,REV!$C:$AA,10,0)-'TRADE IN'!$F208=0,"",(VLOOKUP($C208,REV!$C:$AA,10,0)-'TRADE IN'!$F208))</f>
        <v>599</v>
      </c>
      <c r="M208" s="46">
        <f>IF(VLOOKUP($C208,REV!$C:$AA,11,0)-'TRADE IN'!$F208=0,"",(VLOOKUP($C208,REV!$C:$AA,11,0)-'TRADE IN'!$F208))</f>
        <v>699</v>
      </c>
      <c r="N208" s="46">
        <f>IF(VLOOKUP($C208,REV!$C:$AA,12,0)-'TRADE IN'!$F208=0,"",(VLOOKUP($C208,REV!$C:$AA,12,0)-'TRADE IN'!$F208))</f>
        <v>599</v>
      </c>
      <c r="O208" s="46">
        <f>IF(VLOOKUP($C208,REV!$C:$AA,13,0)-'TRADE IN'!$F208=0,"",(VLOOKUP($C208,REV!$C:$AA,13,0)-'TRADE IN'!$F208))</f>
        <v>599</v>
      </c>
      <c r="P208" s="46">
        <f>IF(VLOOKUP($C208,REV!$C:$AA,14,0)-'TRADE IN'!$F208=0,"",(VLOOKUP($C208,REV!$C:$AA,14,0)-'TRADE IN'!$F208))</f>
        <v>599</v>
      </c>
      <c r="Q208" s="46">
        <f>IF(VLOOKUP($C208,REV!$C:$AA,15,0)-'TRADE IN'!$F208=0,"",(VLOOKUP($C208,REV!$C:$AA,15,0)-'TRADE IN'!$F208))</f>
        <v>599</v>
      </c>
      <c r="R208" s="46">
        <f>IF(VLOOKUP($C208,REV!$C:$AA,16,0)-'TRADE IN'!$F208=0,"",(VLOOKUP($C208,REV!$C:$AA,16,0)-'TRADE IN'!$F208))</f>
        <v>599</v>
      </c>
      <c r="S208" s="46">
        <f>IF(VLOOKUP($C208,REV!$C:$AA,17,0)-'TRADE IN'!$F208=0,"",(VLOOKUP($C208,REV!$C:$AA,17,0)-'TRADE IN'!$F208))</f>
        <v>599</v>
      </c>
      <c r="T208" s="46">
        <f>IF(VLOOKUP($C208,REV!$C:$AA,18,0)-'TRADE IN'!$F208=0,"",(VLOOKUP($C208,REV!$C:$AA,18,0)-'TRADE IN'!$F208))</f>
        <v>599</v>
      </c>
      <c r="U208" s="46">
        <f>IF(VLOOKUP($C208,REV!$C:$AA,19,0)-'TRADE IN'!$F208=0,"",(VLOOKUP($C208,REV!$C:$AA,19,0)-'TRADE IN'!$F208))</f>
        <v>599</v>
      </c>
      <c r="V208" s="46">
        <f>IF(VLOOKUP($C208,REV!$C:$AA,20,0)-'TRADE IN'!$F208=0,"",(VLOOKUP($C208,REV!$C:$AA,20,0)-'TRADE IN'!$F208))</f>
        <v>599</v>
      </c>
      <c r="W208" s="46">
        <f>IF(VLOOKUP($C208,REV!$C:$AA,21,0)-'TRADE IN'!$F208=0,"",(VLOOKUP($C208,REV!$C:$AA,21,0)-'TRADE IN'!$F208))</f>
        <v>599</v>
      </c>
      <c r="X208" s="46">
        <f>IF(VLOOKUP($C208,REV!$C:$AA,22,0)-'TRADE IN'!$F208=0,"",(VLOOKUP($C208,REV!$C:$AA,22,0)-'TRADE IN'!$F208))</f>
        <v>599</v>
      </c>
      <c r="Y208" s="46">
        <f>IF(VLOOKUP($C208,REV!$C:$AA,23,0)-'TRADE IN'!$F208=0,"",(VLOOKUP($C208,REV!$C:$AA,23,0)-'TRADE IN'!$F208))</f>
        <v>599</v>
      </c>
      <c r="Z208" s="46">
        <f>IF(VLOOKUP($C208,REV!$C:$AA,24,0)-'TRADE IN'!$F208=0,"",(VLOOKUP($C208,REV!$C:$AA,24,0)-'TRADE IN'!$F208))</f>
        <v>599</v>
      </c>
      <c r="AA208" s="46">
        <f>IF(VLOOKUP($C208,REV!$C:$AA,25,0)-'TRADE IN'!$F208=0,"",(VLOOKUP($C208,REV!$C:$AA,25,0)-'TRADE IN'!$F208))</f>
        <v>599</v>
      </c>
      <c r="AB208" s="46">
        <f>IF(VLOOKUP($C208,REV!$C:$AL,27,0)-'TRADE IN'!$F208=0,"",(VLOOKUP($C208,REV!$C:$AL,27,0)-'TRADE IN'!$F208))</f>
        <v>699</v>
      </c>
      <c r="AC208" s="46">
        <f>IF(VLOOKUP($C208,REV!$C:$AL,28,0)-'TRADE IN'!$F208=0,"",(VLOOKUP($C208,REV!$C:$AL,28,0)-'TRADE IN'!$F208))</f>
        <v>699</v>
      </c>
      <c r="AD208" s="46">
        <f>IF(VLOOKUP($C208,REV!$C:$AL,29,0)-'TRADE IN'!$F208=0,"",(VLOOKUP($C208,REV!$C:$AL,29,0)-'TRADE IN'!$F208))</f>
        <v>699</v>
      </c>
      <c r="AE208" s="46">
        <f>IF(VLOOKUP($C208,REV!$C:$AL,30,0)-'TRADE IN'!$F208=0,"",(VLOOKUP($C208,REV!$C:$AL,30,0)-'TRADE IN'!$F208))</f>
        <v>599</v>
      </c>
      <c r="AF208" s="46">
        <f>IF(VLOOKUP($C208,REV!$C:$AL,31,0)-'TRADE IN'!$F208=0,"",(VLOOKUP($C208,REV!$C:$AL,31,0)-'TRADE IN'!$F208))</f>
        <v>599</v>
      </c>
      <c r="AG208" s="46">
        <f>IF(VLOOKUP($C208,REV!$C:$AL,31,0)-'TRADE IN'!$F208=0,"",(VLOOKUP($C208,REV!$C:$AL,31,0)-'TRADE IN'!$F208))</f>
        <v>599</v>
      </c>
      <c r="AH208" s="46">
        <f>IF(VLOOKUP($C208,REV!$C:$AL,32,0)-'TRADE IN'!$F208=0,"",(VLOOKUP($C208,REV!$C:$AL,32,0)-'TRADE IN'!$F208))</f>
        <v>599</v>
      </c>
      <c r="AI208" s="46">
        <f>IF(VLOOKUP($C208,REV!$C:$AL,33,0)-'TRADE IN'!$F208=0,"",(VLOOKUP($C208,REV!$C:$AL,33,0)-'TRADE IN'!$F208))</f>
        <v>599</v>
      </c>
      <c r="AJ208" s="46">
        <f>IF(VLOOKUP($C208,REV!$C:$AL,34,0)-'TRADE IN'!$F208=0,"",(VLOOKUP($C208,REV!$C:$AL,34,0)-'TRADE IN'!$F208))</f>
        <v>599</v>
      </c>
      <c r="AK208" s="46">
        <f>IF(VLOOKUP($C208,REV!$C:$AL,35,0)-'TRADE IN'!$F208=0,"",(VLOOKUP($C208,REV!$C:$AL,35,0)-'TRADE IN'!$F208))</f>
        <v>599</v>
      </c>
      <c r="AL208" s="46">
        <f>IF(VLOOKUP($C208,REV!$C:$AL,36,0)-'TRADE IN'!$F208=0,"",(VLOOKUP($C208,REV!$C:$AL,36,0)-'TRADE IN'!$F208))</f>
        <v>599</v>
      </c>
      <c r="AM208" s="45"/>
      <c r="AN208" s="45"/>
      <c r="AO208" s="45"/>
      <c r="AP208" s="45"/>
      <c r="AQ208" s="45"/>
      <c r="AR208" s="45"/>
      <c r="AS208" s="45"/>
      <c r="AT208" s="45"/>
      <c r="AU208" s="45"/>
      <c r="AV208" s="47"/>
      <c r="AW208" s="48" t="str">
        <f>REV!AW208</f>
        <v>13.08.2026</v>
      </c>
      <c r="AX208" s="149" t="s">
        <v>68</v>
      </c>
    </row>
    <row r="209" spans="1:50" ht="22.5" customHeight="1">
      <c r="A209" s="55" t="s">
        <v>222</v>
      </c>
      <c r="B209" s="42" t="s">
        <v>64</v>
      </c>
      <c r="C209" s="43">
        <v>4016987</v>
      </c>
      <c r="D209" s="59" t="s">
        <v>348</v>
      </c>
      <c r="E209" s="56" t="s">
        <v>350</v>
      </c>
      <c r="F209" s="45">
        <v>100</v>
      </c>
      <c r="G209" s="45"/>
      <c r="H209" s="45"/>
      <c r="I209" s="45"/>
      <c r="J209" s="46">
        <f>IF(VLOOKUP($C209,REV!$C:$AA,8,0)-'TRADE IN'!$F209=0,"",(VLOOKUP($C209,REV!$C:$AA,8,0)-'TRADE IN'!$F209))</f>
        <v>699</v>
      </c>
      <c r="K209" s="46">
        <f>IF(VLOOKUP($C209,REV!$C:$AA,9,0)-'TRADE IN'!$F209=0,"",(VLOOKUP($C209,REV!$C:$AA,9,0)-'TRADE IN'!$F209))</f>
        <v>599</v>
      </c>
      <c r="L209" s="46">
        <f>IF(VLOOKUP($C209,REV!$C:$AA,10,0)-'TRADE IN'!$F209=0,"",(VLOOKUP($C209,REV!$C:$AA,10,0)-'TRADE IN'!$F209))</f>
        <v>599</v>
      </c>
      <c r="M209" s="46">
        <f>IF(VLOOKUP($C209,REV!$C:$AA,11,0)-'TRADE IN'!$F209=0,"",(VLOOKUP($C209,REV!$C:$AA,11,0)-'TRADE IN'!$F209))</f>
        <v>699</v>
      </c>
      <c r="N209" s="46">
        <f>IF(VLOOKUP($C209,REV!$C:$AA,12,0)-'TRADE IN'!$F209=0,"",(VLOOKUP($C209,REV!$C:$AA,12,0)-'TRADE IN'!$F209))</f>
        <v>599</v>
      </c>
      <c r="O209" s="46">
        <f>IF(VLOOKUP($C209,REV!$C:$AA,13,0)-'TRADE IN'!$F209=0,"",(VLOOKUP($C209,REV!$C:$AA,13,0)-'TRADE IN'!$F209))</f>
        <v>599</v>
      </c>
      <c r="P209" s="46">
        <f>IF(VLOOKUP($C209,REV!$C:$AA,14,0)-'TRADE IN'!$F209=0,"",(VLOOKUP($C209,REV!$C:$AA,14,0)-'TRADE IN'!$F209))</f>
        <v>599</v>
      </c>
      <c r="Q209" s="46">
        <f>IF(VLOOKUP($C209,REV!$C:$AA,15,0)-'TRADE IN'!$F209=0,"",(VLOOKUP($C209,REV!$C:$AA,15,0)-'TRADE IN'!$F209))</f>
        <v>599</v>
      </c>
      <c r="R209" s="46">
        <f>IF(VLOOKUP($C209,REV!$C:$AA,16,0)-'TRADE IN'!$F209=0,"",(VLOOKUP($C209,REV!$C:$AA,16,0)-'TRADE IN'!$F209))</f>
        <v>599</v>
      </c>
      <c r="S209" s="46">
        <f>IF(VLOOKUP($C209,REV!$C:$AA,17,0)-'TRADE IN'!$F209=0,"",(VLOOKUP($C209,REV!$C:$AA,17,0)-'TRADE IN'!$F209))</f>
        <v>599</v>
      </c>
      <c r="T209" s="46">
        <f>IF(VLOOKUP($C209,REV!$C:$AA,18,0)-'TRADE IN'!$F209=0,"",(VLOOKUP($C209,REV!$C:$AA,18,0)-'TRADE IN'!$F209))</f>
        <v>599</v>
      </c>
      <c r="U209" s="46">
        <f>IF(VLOOKUP($C209,REV!$C:$AA,19,0)-'TRADE IN'!$F209=0,"",(VLOOKUP($C209,REV!$C:$AA,19,0)-'TRADE IN'!$F209))</f>
        <v>599</v>
      </c>
      <c r="V209" s="46">
        <f>IF(VLOOKUP($C209,REV!$C:$AA,20,0)-'TRADE IN'!$F209=0,"",(VLOOKUP($C209,REV!$C:$AA,20,0)-'TRADE IN'!$F209))</f>
        <v>599</v>
      </c>
      <c r="W209" s="46">
        <f>IF(VLOOKUP($C209,REV!$C:$AA,21,0)-'TRADE IN'!$F209=0,"",(VLOOKUP($C209,REV!$C:$AA,21,0)-'TRADE IN'!$F209))</f>
        <v>599</v>
      </c>
      <c r="X209" s="46">
        <f>IF(VLOOKUP($C209,REV!$C:$AA,22,0)-'TRADE IN'!$F209=0,"",(VLOOKUP($C209,REV!$C:$AA,22,0)-'TRADE IN'!$F209))</f>
        <v>599</v>
      </c>
      <c r="Y209" s="46">
        <f>IF(VLOOKUP($C209,REV!$C:$AA,23,0)-'TRADE IN'!$F209=0,"",(VLOOKUP($C209,REV!$C:$AA,23,0)-'TRADE IN'!$F209))</f>
        <v>599</v>
      </c>
      <c r="Z209" s="46">
        <f>IF(VLOOKUP($C209,REV!$C:$AA,24,0)-'TRADE IN'!$F209=0,"",(VLOOKUP($C209,REV!$C:$AA,24,0)-'TRADE IN'!$F209))</f>
        <v>599</v>
      </c>
      <c r="AA209" s="46">
        <f>IF(VLOOKUP($C209,REV!$C:$AA,25,0)-'TRADE IN'!$F209=0,"",(VLOOKUP($C209,REV!$C:$AA,25,0)-'TRADE IN'!$F209))</f>
        <v>599</v>
      </c>
      <c r="AB209" s="46">
        <f>IF(VLOOKUP($C209,REV!$C:$AL,27,0)-'TRADE IN'!$F209=0,"",(VLOOKUP($C209,REV!$C:$AL,27,0)-'TRADE IN'!$F209))</f>
        <v>699</v>
      </c>
      <c r="AC209" s="46">
        <f>IF(VLOOKUP($C209,REV!$C:$AL,28,0)-'TRADE IN'!$F209=0,"",(VLOOKUP($C209,REV!$C:$AL,28,0)-'TRADE IN'!$F209))</f>
        <v>699</v>
      </c>
      <c r="AD209" s="46">
        <f>IF(VLOOKUP($C209,REV!$C:$AL,29,0)-'TRADE IN'!$F209=0,"",(VLOOKUP($C209,REV!$C:$AL,29,0)-'TRADE IN'!$F209))</f>
        <v>699</v>
      </c>
      <c r="AE209" s="46">
        <f>IF(VLOOKUP($C209,REV!$C:$AL,30,0)-'TRADE IN'!$F209=0,"",(VLOOKUP($C209,REV!$C:$AL,30,0)-'TRADE IN'!$F209))</f>
        <v>599</v>
      </c>
      <c r="AF209" s="46">
        <f>IF(VLOOKUP($C209,REV!$C:$AL,31,0)-'TRADE IN'!$F209=0,"",(VLOOKUP($C209,REV!$C:$AL,31,0)-'TRADE IN'!$F209))</f>
        <v>599</v>
      </c>
      <c r="AG209" s="46">
        <f>IF(VLOOKUP($C209,REV!$C:$AL,31,0)-'TRADE IN'!$F209=0,"",(VLOOKUP($C209,REV!$C:$AL,31,0)-'TRADE IN'!$F209))</f>
        <v>599</v>
      </c>
      <c r="AH209" s="46">
        <f>IF(VLOOKUP($C209,REV!$C:$AL,32,0)-'TRADE IN'!$F209=0,"",(VLOOKUP($C209,REV!$C:$AL,32,0)-'TRADE IN'!$F209))</f>
        <v>599</v>
      </c>
      <c r="AI209" s="46">
        <f>IF(VLOOKUP($C209,REV!$C:$AL,33,0)-'TRADE IN'!$F209=0,"",(VLOOKUP($C209,REV!$C:$AL,33,0)-'TRADE IN'!$F209))</f>
        <v>599</v>
      </c>
      <c r="AJ209" s="46">
        <f>IF(VLOOKUP($C209,REV!$C:$AL,34,0)-'TRADE IN'!$F209=0,"",(VLOOKUP($C209,REV!$C:$AL,34,0)-'TRADE IN'!$F209))</f>
        <v>599</v>
      </c>
      <c r="AK209" s="46">
        <f>IF(VLOOKUP($C209,REV!$C:$AL,35,0)-'TRADE IN'!$F209=0,"",(VLOOKUP($C209,REV!$C:$AL,35,0)-'TRADE IN'!$F209))</f>
        <v>599</v>
      </c>
      <c r="AL209" s="46">
        <f>IF(VLOOKUP($C209,REV!$C:$AL,36,0)-'TRADE IN'!$F209=0,"",(VLOOKUP($C209,REV!$C:$AL,36,0)-'TRADE IN'!$F209))</f>
        <v>599</v>
      </c>
      <c r="AM209" s="45"/>
      <c r="AN209" s="45"/>
      <c r="AO209" s="45"/>
      <c r="AP209" s="45"/>
      <c r="AQ209" s="45"/>
      <c r="AR209" s="45"/>
      <c r="AS209" s="45"/>
      <c r="AT209" s="45"/>
      <c r="AU209" s="45"/>
      <c r="AV209" s="47"/>
      <c r="AW209" s="48" t="str">
        <f>REV!AW209</f>
        <v>13.08.2026</v>
      </c>
      <c r="AX209" s="149" t="s">
        <v>68</v>
      </c>
    </row>
    <row r="210" spans="1:50" ht="22.5" customHeight="1">
      <c r="A210" s="55" t="s">
        <v>222</v>
      </c>
      <c r="B210" s="42" t="s">
        <v>64</v>
      </c>
      <c r="C210" s="43">
        <v>4016981</v>
      </c>
      <c r="D210" s="59" t="s">
        <v>348</v>
      </c>
      <c r="E210" s="56" t="s">
        <v>351</v>
      </c>
      <c r="F210" s="45">
        <v>100</v>
      </c>
      <c r="G210" s="45"/>
      <c r="H210" s="45"/>
      <c r="I210" s="45"/>
      <c r="J210" s="46">
        <f>IF(VLOOKUP($C210,REV!$C:$AA,8,0)-'TRADE IN'!$F210=0,"",(VLOOKUP($C210,REV!$C:$AA,8,0)-'TRADE IN'!$F210))</f>
        <v>699</v>
      </c>
      <c r="K210" s="46">
        <f>IF(VLOOKUP($C210,REV!$C:$AA,9,0)-'TRADE IN'!$F210=0,"",(VLOOKUP($C210,REV!$C:$AA,9,0)-'TRADE IN'!$F210))</f>
        <v>599</v>
      </c>
      <c r="L210" s="46">
        <f>IF(VLOOKUP($C210,REV!$C:$AA,10,0)-'TRADE IN'!$F210=0,"",(VLOOKUP($C210,REV!$C:$AA,10,0)-'TRADE IN'!$F210))</f>
        <v>599</v>
      </c>
      <c r="M210" s="46">
        <f>IF(VLOOKUP($C210,REV!$C:$AA,11,0)-'TRADE IN'!$F210=0,"",(VLOOKUP($C210,REV!$C:$AA,11,0)-'TRADE IN'!$F210))</f>
        <v>699</v>
      </c>
      <c r="N210" s="46">
        <f>IF(VLOOKUP($C210,REV!$C:$AA,12,0)-'TRADE IN'!$F210=0,"",(VLOOKUP($C210,REV!$C:$AA,12,0)-'TRADE IN'!$F210))</f>
        <v>599</v>
      </c>
      <c r="O210" s="46">
        <f>IF(VLOOKUP($C210,REV!$C:$AA,13,0)-'TRADE IN'!$F210=0,"",(VLOOKUP($C210,REV!$C:$AA,13,0)-'TRADE IN'!$F210))</f>
        <v>599</v>
      </c>
      <c r="P210" s="46">
        <f>IF(VLOOKUP($C210,REV!$C:$AA,14,0)-'TRADE IN'!$F210=0,"",(VLOOKUP($C210,REV!$C:$AA,14,0)-'TRADE IN'!$F210))</f>
        <v>599</v>
      </c>
      <c r="Q210" s="46">
        <f>IF(VLOOKUP($C210,REV!$C:$AA,15,0)-'TRADE IN'!$F210=0,"",(VLOOKUP($C210,REV!$C:$AA,15,0)-'TRADE IN'!$F210))</f>
        <v>599</v>
      </c>
      <c r="R210" s="46">
        <f>IF(VLOOKUP($C210,REV!$C:$AA,16,0)-'TRADE IN'!$F210=0,"",(VLOOKUP($C210,REV!$C:$AA,16,0)-'TRADE IN'!$F210))</f>
        <v>599</v>
      </c>
      <c r="S210" s="46">
        <f>IF(VLOOKUP($C210,REV!$C:$AA,17,0)-'TRADE IN'!$F210=0,"",(VLOOKUP($C210,REV!$C:$AA,17,0)-'TRADE IN'!$F210))</f>
        <v>599</v>
      </c>
      <c r="T210" s="46">
        <f>IF(VLOOKUP($C210,REV!$C:$AA,18,0)-'TRADE IN'!$F210=0,"",(VLOOKUP($C210,REV!$C:$AA,18,0)-'TRADE IN'!$F210))</f>
        <v>599</v>
      </c>
      <c r="U210" s="46">
        <f>IF(VLOOKUP($C210,REV!$C:$AA,19,0)-'TRADE IN'!$F210=0,"",(VLOOKUP($C210,REV!$C:$AA,19,0)-'TRADE IN'!$F210))</f>
        <v>599</v>
      </c>
      <c r="V210" s="46">
        <f>IF(VLOOKUP($C210,REV!$C:$AA,20,0)-'TRADE IN'!$F210=0,"",(VLOOKUP($C210,REV!$C:$AA,20,0)-'TRADE IN'!$F210))</f>
        <v>599</v>
      </c>
      <c r="W210" s="46">
        <f>IF(VLOOKUP($C210,REV!$C:$AA,21,0)-'TRADE IN'!$F210=0,"",(VLOOKUP($C210,REV!$C:$AA,21,0)-'TRADE IN'!$F210))</f>
        <v>599</v>
      </c>
      <c r="X210" s="46">
        <f>IF(VLOOKUP($C210,REV!$C:$AA,22,0)-'TRADE IN'!$F210=0,"",(VLOOKUP($C210,REV!$C:$AA,22,0)-'TRADE IN'!$F210))</f>
        <v>599</v>
      </c>
      <c r="Y210" s="46">
        <f>IF(VLOOKUP($C210,REV!$C:$AA,23,0)-'TRADE IN'!$F210=0,"",(VLOOKUP($C210,REV!$C:$AA,23,0)-'TRADE IN'!$F210))</f>
        <v>599</v>
      </c>
      <c r="Z210" s="46">
        <f>IF(VLOOKUP($C210,REV!$C:$AA,24,0)-'TRADE IN'!$F210=0,"",(VLOOKUP($C210,REV!$C:$AA,24,0)-'TRADE IN'!$F210))</f>
        <v>599</v>
      </c>
      <c r="AA210" s="46">
        <f>IF(VLOOKUP($C210,REV!$C:$AA,25,0)-'TRADE IN'!$F210=0,"",(VLOOKUP($C210,REV!$C:$AA,25,0)-'TRADE IN'!$F210))</f>
        <v>599</v>
      </c>
      <c r="AB210" s="46">
        <f>IF(VLOOKUP($C210,REV!$C:$AL,27,0)-'TRADE IN'!$F210=0,"",(VLOOKUP($C210,REV!$C:$AL,27,0)-'TRADE IN'!$F210))</f>
        <v>699</v>
      </c>
      <c r="AC210" s="46">
        <f>IF(VLOOKUP($C210,REV!$C:$AL,28,0)-'TRADE IN'!$F210=0,"",(VLOOKUP($C210,REV!$C:$AL,28,0)-'TRADE IN'!$F210))</f>
        <v>699</v>
      </c>
      <c r="AD210" s="46">
        <f>IF(VLOOKUP($C210,REV!$C:$AL,29,0)-'TRADE IN'!$F210=0,"",(VLOOKUP($C210,REV!$C:$AL,29,0)-'TRADE IN'!$F210))</f>
        <v>699</v>
      </c>
      <c r="AE210" s="46">
        <f>IF(VLOOKUP($C210,REV!$C:$AL,30,0)-'TRADE IN'!$F210=0,"",(VLOOKUP($C210,REV!$C:$AL,30,0)-'TRADE IN'!$F210))</f>
        <v>599</v>
      </c>
      <c r="AF210" s="46">
        <f>IF(VLOOKUP($C210,REV!$C:$AL,31,0)-'TRADE IN'!$F210=0,"",(VLOOKUP($C210,REV!$C:$AL,31,0)-'TRADE IN'!$F210))</f>
        <v>599</v>
      </c>
      <c r="AG210" s="46">
        <f>IF(VLOOKUP($C210,REV!$C:$AL,31,0)-'TRADE IN'!$F210=0,"",(VLOOKUP($C210,REV!$C:$AL,31,0)-'TRADE IN'!$F210))</f>
        <v>599</v>
      </c>
      <c r="AH210" s="46">
        <f>IF(VLOOKUP($C210,REV!$C:$AL,32,0)-'TRADE IN'!$F210=0,"",(VLOOKUP($C210,REV!$C:$AL,32,0)-'TRADE IN'!$F210))</f>
        <v>599</v>
      </c>
      <c r="AI210" s="46">
        <f>IF(VLOOKUP($C210,REV!$C:$AL,33,0)-'TRADE IN'!$F210=0,"",(VLOOKUP($C210,REV!$C:$AL,33,0)-'TRADE IN'!$F210))</f>
        <v>599</v>
      </c>
      <c r="AJ210" s="46">
        <f>IF(VLOOKUP($C210,REV!$C:$AL,34,0)-'TRADE IN'!$F210=0,"",(VLOOKUP($C210,REV!$C:$AL,34,0)-'TRADE IN'!$F210))</f>
        <v>599</v>
      </c>
      <c r="AK210" s="46">
        <f>IF(VLOOKUP($C210,REV!$C:$AL,35,0)-'TRADE IN'!$F210=0,"",(VLOOKUP($C210,REV!$C:$AL,35,0)-'TRADE IN'!$F210))</f>
        <v>599</v>
      </c>
      <c r="AL210" s="46">
        <f>IF(VLOOKUP($C210,REV!$C:$AL,36,0)-'TRADE IN'!$F210=0,"",(VLOOKUP($C210,REV!$C:$AL,36,0)-'TRADE IN'!$F210))</f>
        <v>599</v>
      </c>
      <c r="AM210" s="45"/>
      <c r="AN210" s="45"/>
      <c r="AO210" s="45"/>
      <c r="AP210" s="45"/>
      <c r="AQ210" s="45"/>
      <c r="AR210" s="45"/>
      <c r="AS210" s="45"/>
      <c r="AT210" s="45"/>
      <c r="AU210" s="45"/>
      <c r="AV210" s="47"/>
      <c r="AW210" s="48" t="str">
        <f>REV!AW210</f>
        <v>13.08.2026</v>
      </c>
      <c r="AX210" s="149" t="s">
        <v>68</v>
      </c>
    </row>
    <row r="211" spans="1:50" ht="22.5" customHeight="1">
      <c r="A211" s="55" t="s">
        <v>222</v>
      </c>
      <c r="B211" s="42" t="s">
        <v>64</v>
      </c>
      <c r="C211" s="43">
        <v>4016995</v>
      </c>
      <c r="D211" s="59" t="s">
        <v>348</v>
      </c>
      <c r="E211" s="56" t="s">
        <v>352</v>
      </c>
      <c r="F211" s="45">
        <v>100</v>
      </c>
      <c r="G211" s="45"/>
      <c r="H211" s="45"/>
      <c r="I211" s="45"/>
      <c r="J211" s="46">
        <f>IF(VLOOKUP($C211,REV!$C:$AA,8,0)-'TRADE IN'!$F211=0,"",(VLOOKUP($C211,REV!$C:$AA,8,0)-'TRADE IN'!$F211))</f>
        <v>699</v>
      </c>
      <c r="K211" s="46">
        <f>IF(VLOOKUP($C211,REV!$C:$AA,9,0)-'TRADE IN'!$F211=0,"",(VLOOKUP($C211,REV!$C:$AA,9,0)-'TRADE IN'!$F211))</f>
        <v>599</v>
      </c>
      <c r="L211" s="46">
        <f>IF(VLOOKUP($C211,REV!$C:$AA,10,0)-'TRADE IN'!$F211=0,"",(VLOOKUP($C211,REV!$C:$AA,10,0)-'TRADE IN'!$F211))</f>
        <v>599</v>
      </c>
      <c r="M211" s="46">
        <f>IF(VLOOKUP($C211,REV!$C:$AA,11,0)-'TRADE IN'!$F211=0,"",(VLOOKUP($C211,REV!$C:$AA,11,0)-'TRADE IN'!$F211))</f>
        <v>699</v>
      </c>
      <c r="N211" s="46">
        <f>IF(VLOOKUP($C211,REV!$C:$AA,12,0)-'TRADE IN'!$F211=0,"",(VLOOKUP($C211,REV!$C:$AA,12,0)-'TRADE IN'!$F211))</f>
        <v>599</v>
      </c>
      <c r="O211" s="46">
        <f>IF(VLOOKUP($C211,REV!$C:$AA,13,0)-'TRADE IN'!$F211=0,"",(VLOOKUP($C211,REV!$C:$AA,13,0)-'TRADE IN'!$F211))</f>
        <v>599</v>
      </c>
      <c r="P211" s="46">
        <f>IF(VLOOKUP($C211,REV!$C:$AA,14,0)-'TRADE IN'!$F211=0,"",(VLOOKUP($C211,REV!$C:$AA,14,0)-'TRADE IN'!$F211))</f>
        <v>599</v>
      </c>
      <c r="Q211" s="46">
        <f>IF(VLOOKUP($C211,REV!$C:$AA,15,0)-'TRADE IN'!$F211=0,"",(VLOOKUP($C211,REV!$C:$AA,15,0)-'TRADE IN'!$F211))</f>
        <v>599</v>
      </c>
      <c r="R211" s="46">
        <f>IF(VLOOKUP($C211,REV!$C:$AA,16,0)-'TRADE IN'!$F211=0,"",(VLOOKUP($C211,REV!$C:$AA,16,0)-'TRADE IN'!$F211))</f>
        <v>599</v>
      </c>
      <c r="S211" s="46">
        <f>IF(VLOOKUP($C211,REV!$C:$AA,17,0)-'TRADE IN'!$F211=0,"",(VLOOKUP($C211,REV!$C:$AA,17,0)-'TRADE IN'!$F211))</f>
        <v>599</v>
      </c>
      <c r="T211" s="46">
        <f>IF(VLOOKUP($C211,REV!$C:$AA,18,0)-'TRADE IN'!$F211=0,"",(VLOOKUP($C211,REV!$C:$AA,18,0)-'TRADE IN'!$F211))</f>
        <v>599</v>
      </c>
      <c r="U211" s="46">
        <f>IF(VLOOKUP($C211,REV!$C:$AA,19,0)-'TRADE IN'!$F211=0,"",(VLOOKUP($C211,REV!$C:$AA,19,0)-'TRADE IN'!$F211))</f>
        <v>599</v>
      </c>
      <c r="V211" s="46">
        <f>IF(VLOOKUP($C211,REV!$C:$AA,20,0)-'TRADE IN'!$F211=0,"",(VLOOKUP($C211,REV!$C:$AA,20,0)-'TRADE IN'!$F211))</f>
        <v>599</v>
      </c>
      <c r="W211" s="46">
        <f>IF(VLOOKUP($C211,REV!$C:$AA,21,0)-'TRADE IN'!$F211=0,"",(VLOOKUP($C211,REV!$C:$AA,21,0)-'TRADE IN'!$F211))</f>
        <v>599</v>
      </c>
      <c r="X211" s="46">
        <f>IF(VLOOKUP($C211,REV!$C:$AA,22,0)-'TRADE IN'!$F211=0,"",(VLOOKUP($C211,REV!$C:$AA,22,0)-'TRADE IN'!$F211))</f>
        <v>599</v>
      </c>
      <c r="Y211" s="46">
        <f>IF(VLOOKUP($C211,REV!$C:$AA,23,0)-'TRADE IN'!$F211=0,"",(VLOOKUP($C211,REV!$C:$AA,23,0)-'TRADE IN'!$F211))</f>
        <v>599</v>
      </c>
      <c r="Z211" s="46">
        <f>IF(VLOOKUP($C211,REV!$C:$AA,24,0)-'TRADE IN'!$F211=0,"",(VLOOKUP($C211,REV!$C:$AA,24,0)-'TRADE IN'!$F211))</f>
        <v>599</v>
      </c>
      <c r="AA211" s="46">
        <f>IF(VLOOKUP($C211,REV!$C:$AA,25,0)-'TRADE IN'!$F211=0,"",(VLOOKUP($C211,REV!$C:$AA,25,0)-'TRADE IN'!$F211))</f>
        <v>599</v>
      </c>
      <c r="AB211" s="46">
        <f>IF(VLOOKUP($C211,REV!$C:$AL,27,0)-'TRADE IN'!$F211=0,"",(VLOOKUP($C211,REV!$C:$AL,27,0)-'TRADE IN'!$F211))</f>
        <v>699</v>
      </c>
      <c r="AC211" s="46">
        <f>IF(VLOOKUP($C211,REV!$C:$AL,28,0)-'TRADE IN'!$F211=0,"",(VLOOKUP($C211,REV!$C:$AL,28,0)-'TRADE IN'!$F211))</f>
        <v>699</v>
      </c>
      <c r="AD211" s="46">
        <f>IF(VLOOKUP($C211,REV!$C:$AL,29,0)-'TRADE IN'!$F211=0,"",(VLOOKUP($C211,REV!$C:$AL,29,0)-'TRADE IN'!$F211))</f>
        <v>699</v>
      </c>
      <c r="AE211" s="46">
        <f>IF(VLOOKUP($C211,REV!$C:$AL,30,0)-'TRADE IN'!$F211=0,"",(VLOOKUP($C211,REV!$C:$AL,30,0)-'TRADE IN'!$F211))</f>
        <v>599</v>
      </c>
      <c r="AF211" s="46">
        <f>IF(VLOOKUP($C211,REV!$C:$AL,31,0)-'TRADE IN'!$F211=0,"",(VLOOKUP($C211,REV!$C:$AL,31,0)-'TRADE IN'!$F211))</f>
        <v>599</v>
      </c>
      <c r="AG211" s="46">
        <f>IF(VLOOKUP($C211,REV!$C:$AL,31,0)-'TRADE IN'!$F211=0,"",(VLOOKUP($C211,REV!$C:$AL,31,0)-'TRADE IN'!$F211))</f>
        <v>599</v>
      </c>
      <c r="AH211" s="46">
        <f>IF(VLOOKUP($C211,REV!$C:$AL,32,0)-'TRADE IN'!$F211=0,"",(VLOOKUP($C211,REV!$C:$AL,32,0)-'TRADE IN'!$F211))</f>
        <v>599</v>
      </c>
      <c r="AI211" s="46">
        <f>IF(VLOOKUP($C211,REV!$C:$AL,33,0)-'TRADE IN'!$F211=0,"",(VLOOKUP($C211,REV!$C:$AL,33,0)-'TRADE IN'!$F211))</f>
        <v>599</v>
      </c>
      <c r="AJ211" s="46">
        <f>IF(VLOOKUP($C211,REV!$C:$AL,34,0)-'TRADE IN'!$F211=0,"",(VLOOKUP($C211,REV!$C:$AL,34,0)-'TRADE IN'!$F211))</f>
        <v>599</v>
      </c>
      <c r="AK211" s="46">
        <f>IF(VLOOKUP($C211,REV!$C:$AL,35,0)-'TRADE IN'!$F211=0,"",(VLOOKUP($C211,REV!$C:$AL,35,0)-'TRADE IN'!$F211))</f>
        <v>599</v>
      </c>
      <c r="AL211" s="46">
        <f>IF(VLOOKUP($C211,REV!$C:$AL,36,0)-'TRADE IN'!$F211=0,"",(VLOOKUP($C211,REV!$C:$AL,36,0)-'TRADE IN'!$F211))</f>
        <v>599</v>
      </c>
      <c r="AM211" s="45"/>
      <c r="AN211" s="45"/>
      <c r="AO211" s="45"/>
      <c r="AP211" s="45"/>
      <c r="AQ211" s="45"/>
      <c r="AR211" s="45"/>
      <c r="AS211" s="45"/>
      <c r="AT211" s="45"/>
      <c r="AU211" s="45"/>
      <c r="AV211" s="47"/>
      <c r="AW211" s="48" t="str">
        <f>REV!AW211</f>
        <v>13.08.2026</v>
      </c>
      <c r="AX211" s="149" t="s">
        <v>68</v>
      </c>
    </row>
    <row r="212" spans="1:50" ht="22.5" customHeight="1">
      <c r="A212" s="55" t="s">
        <v>222</v>
      </c>
      <c r="B212" s="42" t="s">
        <v>64</v>
      </c>
      <c r="C212" s="60">
        <v>4017375</v>
      </c>
      <c r="D212" s="59" t="s">
        <v>353</v>
      </c>
      <c r="E212" s="56" t="s">
        <v>354</v>
      </c>
      <c r="F212" s="45">
        <v>100</v>
      </c>
      <c r="G212" s="45"/>
      <c r="H212" s="45"/>
      <c r="I212" s="45"/>
      <c r="J212" s="46">
        <f>IF(VLOOKUP($C212,REV!$C:$AA,8,0)-'TRADE IN'!$F212=0,"",(VLOOKUP($C212,REV!$C:$AA,8,0)-'TRADE IN'!$F212))</f>
        <v>799</v>
      </c>
      <c r="K212" s="46">
        <f>IF(VLOOKUP($C212,REV!$C:$AA,9,0)-'TRADE IN'!$F212=0,"",(VLOOKUP($C212,REV!$C:$AA,9,0)-'TRADE IN'!$F212))</f>
        <v>699</v>
      </c>
      <c r="L212" s="46">
        <f>IF(VLOOKUP($C212,REV!$C:$AA,10,0)-'TRADE IN'!$F212=0,"",(VLOOKUP($C212,REV!$C:$AA,10,0)-'TRADE IN'!$F212))</f>
        <v>699</v>
      </c>
      <c r="M212" s="46">
        <f>IF(VLOOKUP($C212,REV!$C:$AA,11,0)-'TRADE IN'!$F212=0,"",(VLOOKUP($C212,REV!$C:$AA,11,0)-'TRADE IN'!$F212))</f>
        <v>799</v>
      </c>
      <c r="N212" s="46">
        <f>IF(VLOOKUP($C212,REV!$C:$AA,12,0)-'TRADE IN'!$F212=0,"",(VLOOKUP($C212,REV!$C:$AA,12,0)-'TRADE IN'!$F212))</f>
        <v>699</v>
      </c>
      <c r="O212" s="46">
        <f>IF(VLOOKUP($C212,REV!$C:$AA,13,0)-'TRADE IN'!$F212=0,"",(VLOOKUP($C212,REV!$C:$AA,13,0)-'TRADE IN'!$F212))</f>
        <v>649</v>
      </c>
      <c r="P212" s="46">
        <f>IF(VLOOKUP($C212,REV!$C:$AA,14,0)-'TRADE IN'!$F212=0,"",(VLOOKUP($C212,REV!$C:$AA,14,0)-'TRADE IN'!$F212))</f>
        <v>649</v>
      </c>
      <c r="Q212" s="46">
        <f>IF(VLOOKUP($C212,REV!$C:$AA,15,0)-'TRADE IN'!$F212=0,"",(VLOOKUP($C212,REV!$C:$AA,15,0)-'TRADE IN'!$F212))</f>
        <v>599</v>
      </c>
      <c r="R212" s="46">
        <f>IF(VLOOKUP($C212,REV!$C:$AA,16,0)-'TRADE IN'!$F212=0,"",(VLOOKUP($C212,REV!$C:$AA,16,0)-'TRADE IN'!$F212))</f>
        <v>649</v>
      </c>
      <c r="S212" s="46">
        <f>IF(VLOOKUP($C212,REV!$C:$AA,17,0)-'TRADE IN'!$F212=0,"",(VLOOKUP($C212,REV!$C:$AA,17,0)-'TRADE IN'!$F212))</f>
        <v>649</v>
      </c>
      <c r="T212" s="46">
        <f>IF(VLOOKUP($C212,REV!$C:$AA,18,0)-'TRADE IN'!$F212=0,"",(VLOOKUP($C212,REV!$C:$AA,18,0)-'TRADE IN'!$F212))</f>
        <v>599</v>
      </c>
      <c r="U212" s="46">
        <f>IF(VLOOKUP($C212,REV!$C:$AA,19,0)-'TRADE IN'!$F212=0,"",(VLOOKUP($C212,REV!$C:$AA,19,0)-'TRADE IN'!$F212))</f>
        <v>599</v>
      </c>
      <c r="V212" s="46">
        <f>IF(VLOOKUP($C212,REV!$C:$AA,20,0)-'TRADE IN'!$F212=0,"",(VLOOKUP($C212,REV!$C:$AA,20,0)-'TRADE IN'!$F212))</f>
        <v>599</v>
      </c>
      <c r="W212" s="46">
        <f>IF(VLOOKUP($C212,REV!$C:$AA,21,0)-'TRADE IN'!$F212=0,"",(VLOOKUP($C212,REV!$C:$AA,21,0)-'TRADE IN'!$F212))</f>
        <v>599</v>
      </c>
      <c r="X212" s="46">
        <f>IF(VLOOKUP($C212,REV!$C:$AA,22,0)-'TRADE IN'!$F212=0,"",(VLOOKUP($C212,REV!$C:$AA,22,0)-'TRADE IN'!$F212))</f>
        <v>599</v>
      </c>
      <c r="Y212" s="46">
        <f>IF(VLOOKUP($C212,REV!$C:$AA,23,0)-'TRADE IN'!$F212=0,"",(VLOOKUP($C212,REV!$C:$AA,23,0)-'TRADE IN'!$F212))</f>
        <v>599</v>
      </c>
      <c r="Z212" s="46">
        <f>IF(VLOOKUP($C212,REV!$C:$AA,24,0)-'TRADE IN'!$F212=0,"",(VLOOKUP($C212,REV!$C:$AA,24,0)-'TRADE IN'!$F212))</f>
        <v>599</v>
      </c>
      <c r="AA212" s="46">
        <f>IF(VLOOKUP($C212,REV!$C:$AA,25,0)-'TRADE IN'!$F212=0,"",(VLOOKUP($C212,REV!$C:$AA,25,0)-'TRADE IN'!$F212))</f>
        <v>599</v>
      </c>
      <c r="AB212" s="46">
        <f>IF(VLOOKUP($C212,REV!$C:$AL,27,0)-'TRADE IN'!$F212=0,"",(VLOOKUP($C212,REV!$C:$AL,27,0)-'TRADE IN'!$F212))</f>
        <v>699</v>
      </c>
      <c r="AC212" s="46">
        <f>IF(VLOOKUP($C212,REV!$C:$AL,28,0)-'TRADE IN'!$F212=0,"",(VLOOKUP($C212,REV!$C:$AL,28,0)-'TRADE IN'!$F212))</f>
        <v>699</v>
      </c>
      <c r="AD212" s="46">
        <f>IF(VLOOKUP($C212,REV!$C:$AL,29,0)-'TRADE IN'!$F212=0,"",(VLOOKUP($C212,REV!$C:$AL,29,0)-'TRADE IN'!$F212))</f>
        <v>649</v>
      </c>
      <c r="AE212" s="46">
        <f>IF(VLOOKUP($C212,REV!$C:$AL,30,0)-'TRADE IN'!$F212=0,"",(VLOOKUP($C212,REV!$C:$AL,30,0)-'TRADE IN'!$F212))</f>
        <v>649</v>
      </c>
      <c r="AF212" s="46">
        <f>IF(VLOOKUP($C212,REV!$C:$AL,31,0)-'TRADE IN'!$F212=0,"",(VLOOKUP($C212,REV!$C:$AL,31,0)-'TRADE IN'!$F212))</f>
        <v>649</v>
      </c>
      <c r="AG212" s="46">
        <f>IF(VLOOKUP($C212,REV!$C:$AL,31,0)-'TRADE IN'!$F212=0,"",(VLOOKUP($C212,REV!$C:$AL,31,0)-'TRADE IN'!$F212))</f>
        <v>649</v>
      </c>
      <c r="AH212" s="46">
        <f>IF(VLOOKUP($C212,REV!$C:$AL,32,0)-'TRADE IN'!$F212=0,"",(VLOOKUP($C212,REV!$C:$AL,32,0)-'TRADE IN'!$F212))</f>
        <v>599</v>
      </c>
      <c r="AI212" s="46">
        <f>IF(VLOOKUP($C212,REV!$C:$AL,33,0)-'TRADE IN'!$F212=0,"",(VLOOKUP($C212,REV!$C:$AL,33,0)-'TRADE IN'!$F212))</f>
        <v>599</v>
      </c>
      <c r="AJ212" s="46">
        <f>IF(VLOOKUP($C212,REV!$C:$AL,34,0)-'TRADE IN'!$F212=0,"",(VLOOKUP($C212,REV!$C:$AL,34,0)-'TRADE IN'!$F212))</f>
        <v>599</v>
      </c>
      <c r="AK212" s="46">
        <f>IF(VLOOKUP($C212,REV!$C:$AL,35,0)-'TRADE IN'!$F212=0,"",(VLOOKUP($C212,REV!$C:$AL,35,0)-'TRADE IN'!$F212))</f>
        <v>599</v>
      </c>
      <c r="AL212" s="46">
        <f>IF(VLOOKUP($C212,REV!$C:$AL,36,0)-'TRADE IN'!$F212=0,"",(VLOOKUP($C212,REV!$C:$AL,36,0)-'TRADE IN'!$F212))</f>
        <v>599</v>
      </c>
      <c r="AM212" s="45"/>
      <c r="AN212" s="45"/>
      <c r="AO212" s="45"/>
      <c r="AP212" s="45"/>
      <c r="AQ212" s="45"/>
      <c r="AR212" s="45"/>
      <c r="AS212" s="45"/>
      <c r="AT212" s="45"/>
      <c r="AU212" s="45"/>
      <c r="AV212" s="47"/>
      <c r="AW212" s="48" t="str">
        <f>REV!AW212</f>
        <v>13.08.2026</v>
      </c>
      <c r="AX212" s="149" t="s">
        <v>68</v>
      </c>
    </row>
    <row r="213" spans="1:50" ht="22.5" customHeight="1">
      <c r="A213" s="55" t="s">
        <v>222</v>
      </c>
      <c r="B213" s="42" t="s">
        <v>64</v>
      </c>
      <c r="C213" s="60">
        <v>4017537</v>
      </c>
      <c r="D213" s="59" t="s">
        <v>353</v>
      </c>
      <c r="E213" s="56" t="s">
        <v>355</v>
      </c>
      <c r="F213" s="45">
        <v>100</v>
      </c>
      <c r="G213" s="45"/>
      <c r="H213" s="45"/>
      <c r="I213" s="45"/>
      <c r="J213" s="46">
        <f>IF(VLOOKUP($C213,REV!$C:$AA,8,0)-'TRADE IN'!$F213=0,"",(VLOOKUP($C213,REV!$C:$AA,8,0)-'TRADE IN'!$F213))</f>
        <v>799</v>
      </c>
      <c r="K213" s="46">
        <f>IF(VLOOKUP($C213,REV!$C:$AA,9,0)-'TRADE IN'!$F213=0,"",(VLOOKUP($C213,REV!$C:$AA,9,0)-'TRADE IN'!$F213))</f>
        <v>699</v>
      </c>
      <c r="L213" s="46">
        <f>IF(VLOOKUP($C213,REV!$C:$AA,10,0)-'TRADE IN'!$F213=0,"",(VLOOKUP($C213,REV!$C:$AA,10,0)-'TRADE IN'!$F213))</f>
        <v>699</v>
      </c>
      <c r="M213" s="46">
        <f>IF(VLOOKUP($C213,REV!$C:$AA,11,0)-'TRADE IN'!$F213=0,"",(VLOOKUP($C213,REV!$C:$AA,11,0)-'TRADE IN'!$F213))</f>
        <v>799</v>
      </c>
      <c r="N213" s="46">
        <f>IF(VLOOKUP($C213,REV!$C:$AA,12,0)-'TRADE IN'!$F213=0,"",(VLOOKUP($C213,REV!$C:$AA,12,0)-'TRADE IN'!$F213))</f>
        <v>699</v>
      </c>
      <c r="O213" s="46">
        <f>IF(VLOOKUP($C213,REV!$C:$AA,13,0)-'TRADE IN'!$F213=0,"",(VLOOKUP($C213,REV!$C:$AA,13,0)-'TRADE IN'!$F213))</f>
        <v>649</v>
      </c>
      <c r="P213" s="46">
        <f>IF(VLOOKUP($C213,REV!$C:$AA,14,0)-'TRADE IN'!$F213=0,"",(VLOOKUP($C213,REV!$C:$AA,14,0)-'TRADE IN'!$F213))</f>
        <v>649</v>
      </c>
      <c r="Q213" s="46">
        <f>IF(VLOOKUP($C213,REV!$C:$AA,15,0)-'TRADE IN'!$F213=0,"",(VLOOKUP($C213,REV!$C:$AA,15,0)-'TRADE IN'!$F213))</f>
        <v>599</v>
      </c>
      <c r="R213" s="46">
        <f>IF(VLOOKUP($C213,REV!$C:$AA,16,0)-'TRADE IN'!$F213=0,"",(VLOOKUP($C213,REV!$C:$AA,16,0)-'TRADE IN'!$F213))</f>
        <v>649</v>
      </c>
      <c r="S213" s="46">
        <f>IF(VLOOKUP($C213,REV!$C:$AA,17,0)-'TRADE IN'!$F213=0,"",(VLOOKUP($C213,REV!$C:$AA,17,0)-'TRADE IN'!$F213))</f>
        <v>649</v>
      </c>
      <c r="T213" s="46">
        <f>IF(VLOOKUP($C213,REV!$C:$AA,18,0)-'TRADE IN'!$F213=0,"",(VLOOKUP($C213,REV!$C:$AA,18,0)-'TRADE IN'!$F213))</f>
        <v>599</v>
      </c>
      <c r="U213" s="46">
        <f>IF(VLOOKUP($C213,REV!$C:$AA,19,0)-'TRADE IN'!$F213=0,"",(VLOOKUP($C213,REV!$C:$AA,19,0)-'TRADE IN'!$F213))</f>
        <v>599</v>
      </c>
      <c r="V213" s="46">
        <f>IF(VLOOKUP($C213,REV!$C:$AA,20,0)-'TRADE IN'!$F213=0,"",(VLOOKUP($C213,REV!$C:$AA,20,0)-'TRADE IN'!$F213))</f>
        <v>599</v>
      </c>
      <c r="W213" s="46">
        <f>IF(VLOOKUP($C213,REV!$C:$AA,21,0)-'TRADE IN'!$F213=0,"",(VLOOKUP($C213,REV!$C:$AA,21,0)-'TRADE IN'!$F213))</f>
        <v>599</v>
      </c>
      <c r="X213" s="46">
        <f>IF(VLOOKUP($C213,REV!$C:$AA,22,0)-'TRADE IN'!$F213=0,"",(VLOOKUP($C213,REV!$C:$AA,22,0)-'TRADE IN'!$F213))</f>
        <v>599</v>
      </c>
      <c r="Y213" s="46">
        <f>IF(VLOOKUP($C213,REV!$C:$AA,23,0)-'TRADE IN'!$F213=0,"",(VLOOKUP($C213,REV!$C:$AA,23,0)-'TRADE IN'!$F213))</f>
        <v>599</v>
      </c>
      <c r="Z213" s="46">
        <f>IF(VLOOKUP($C213,REV!$C:$AA,24,0)-'TRADE IN'!$F213=0,"",(VLOOKUP($C213,REV!$C:$AA,24,0)-'TRADE IN'!$F213))</f>
        <v>599</v>
      </c>
      <c r="AA213" s="46">
        <f>IF(VLOOKUP($C213,REV!$C:$AA,25,0)-'TRADE IN'!$F213=0,"",(VLOOKUP($C213,REV!$C:$AA,25,0)-'TRADE IN'!$F213))</f>
        <v>599</v>
      </c>
      <c r="AB213" s="46">
        <f>IF(VLOOKUP($C213,REV!$C:$AL,27,0)-'TRADE IN'!$F213=0,"",(VLOOKUP($C213,REV!$C:$AL,27,0)-'TRADE IN'!$F213))</f>
        <v>699</v>
      </c>
      <c r="AC213" s="46">
        <f>IF(VLOOKUP($C213,REV!$C:$AL,28,0)-'TRADE IN'!$F213=0,"",(VLOOKUP($C213,REV!$C:$AL,28,0)-'TRADE IN'!$F213))</f>
        <v>699</v>
      </c>
      <c r="AD213" s="46">
        <f>IF(VLOOKUP($C213,REV!$C:$AL,29,0)-'TRADE IN'!$F213=0,"",(VLOOKUP($C213,REV!$C:$AL,29,0)-'TRADE IN'!$F213))</f>
        <v>649</v>
      </c>
      <c r="AE213" s="46">
        <f>IF(VLOOKUP($C213,REV!$C:$AL,30,0)-'TRADE IN'!$F213=0,"",(VLOOKUP($C213,REV!$C:$AL,30,0)-'TRADE IN'!$F213))</f>
        <v>649</v>
      </c>
      <c r="AF213" s="46">
        <f>IF(VLOOKUP($C213,REV!$C:$AL,31,0)-'TRADE IN'!$F213=0,"",(VLOOKUP($C213,REV!$C:$AL,31,0)-'TRADE IN'!$F213))</f>
        <v>649</v>
      </c>
      <c r="AG213" s="46">
        <f>IF(VLOOKUP($C213,REV!$C:$AL,31,0)-'TRADE IN'!$F213=0,"",(VLOOKUP($C213,REV!$C:$AL,31,0)-'TRADE IN'!$F213))</f>
        <v>649</v>
      </c>
      <c r="AH213" s="46">
        <f>IF(VLOOKUP($C213,REV!$C:$AL,32,0)-'TRADE IN'!$F213=0,"",(VLOOKUP($C213,REV!$C:$AL,32,0)-'TRADE IN'!$F213))</f>
        <v>599</v>
      </c>
      <c r="AI213" s="46">
        <f>IF(VLOOKUP($C213,REV!$C:$AL,33,0)-'TRADE IN'!$F213=0,"",(VLOOKUP($C213,REV!$C:$AL,33,0)-'TRADE IN'!$F213))</f>
        <v>599</v>
      </c>
      <c r="AJ213" s="46">
        <f>IF(VLOOKUP($C213,REV!$C:$AL,34,0)-'TRADE IN'!$F213=0,"",(VLOOKUP($C213,REV!$C:$AL,34,0)-'TRADE IN'!$F213))</f>
        <v>599</v>
      </c>
      <c r="AK213" s="46">
        <f>IF(VLOOKUP($C213,REV!$C:$AL,35,0)-'TRADE IN'!$F213=0,"",(VLOOKUP($C213,REV!$C:$AL,35,0)-'TRADE IN'!$F213))</f>
        <v>599</v>
      </c>
      <c r="AL213" s="46">
        <f>IF(VLOOKUP($C213,REV!$C:$AL,36,0)-'TRADE IN'!$F213=0,"",(VLOOKUP($C213,REV!$C:$AL,36,0)-'TRADE IN'!$F213))</f>
        <v>599</v>
      </c>
      <c r="AM213" s="45"/>
      <c r="AN213" s="45"/>
      <c r="AO213" s="45"/>
      <c r="AP213" s="45"/>
      <c r="AQ213" s="45"/>
      <c r="AR213" s="45"/>
      <c r="AS213" s="45"/>
      <c r="AT213" s="45"/>
      <c r="AU213" s="45"/>
      <c r="AV213" s="47"/>
      <c r="AW213" s="48" t="str">
        <f>REV!AW213</f>
        <v>13.08.2026</v>
      </c>
      <c r="AX213" s="149" t="s">
        <v>68</v>
      </c>
    </row>
    <row r="214" spans="1:50" ht="22.5" customHeight="1">
      <c r="A214" s="55" t="s">
        <v>222</v>
      </c>
      <c r="B214" s="42" t="s">
        <v>64</v>
      </c>
      <c r="C214" s="43">
        <v>4017541</v>
      </c>
      <c r="D214" s="59" t="s">
        <v>356</v>
      </c>
      <c r="E214" s="56" t="s">
        <v>357</v>
      </c>
      <c r="F214" s="45">
        <v>100</v>
      </c>
      <c r="G214" s="45"/>
      <c r="H214" s="45"/>
      <c r="I214" s="45"/>
      <c r="J214" s="46">
        <f>IF(VLOOKUP($C214,REV!$C:$AA,8,0)-'TRADE IN'!$F214=0,"",(VLOOKUP($C214,REV!$C:$AA,8,0)-'TRADE IN'!$F214))</f>
        <v>899</v>
      </c>
      <c r="K214" s="46">
        <f>IF(VLOOKUP($C214,REV!$C:$AA,9,0)-'TRADE IN'!$F214=0,"",(VLOOKUP($C214,REV!$C:$AA,9,0)-'TRADE IN'!$F214))</f>
        <v>849</v>
      </c>
      <c r="L214" s="46">
        <f>IF(VLOOKUP($C214,REV!$C:$AA,10,0)-'TRADE IN'!$F214=0,"",(VLOOKUP($C214,REV!$C:$AA,10,0)-'TRADE IN'!$F214))</f>
        <v>749</v>
      </c>
      <c r="M214" s="46">
        <f>IF(VLOOKUP($C214,REV!$C:$AA,11,0)-'TRADE IN'!$F214=0,"",(VLOOKUP($C214,REV!$C:$AA,11,0)-'TRADE IN'!$F214))</f>
        <v>899</v>
      </c>
      <c r="N214" s="46">
        <f>IF(VLOOKUP($C214,REV!$C:$AA,12,0)-'TRADE IN'!$F214=0,"",(VLOOKUP($C214,REV!$C:$AA,12,0)-'TRADE IN'!$F214))</f>
        <v>849</v>
      </c>
      <c r="O214" s="46">
        <f>IF(VLOOKUP($C214,REV!$C:$AA,13,0)-'TRADE IN'!$F214=0,"",(VLOOKUP($C214,REV!$C:$AA,13,0)-'TRADE IN'!$F214))</f>
        <v>699</v>
      </c>
      <c r="P214" s="46">
        <f>IF(VLOOKUP($C214,REV!$C:$AA,14,0)-'TRADE IN'!$F214=0,"",(VLOOKUP($C214,REV!$C:$AA,14,0)-'TRADE IN'!$F214))</f>
        <v>699</v>
      </c>
      <c r="Q214" s="46">
        <f>IF(VLOOKUP($C214,REV!$C:$AA,15,0)-'TRADE IN'!$F214=0,"",(VLOOKUP($C214,REV!$C:$AA,15,0)-'TRADE IN'!$F214))</f>
        <v>699</v>
      </c>
      <c r="R214" s="46">
        <f>IF(VLOOKUP($C214,REV!$C:$AA,16,0)-'TRADE IN'!$F214=0,"",(VLOOKUP($C214,REV!$C:$AA,16,0)-'TRADE IN'!$F214))</f>
        <v>699</v>
      </c>
      <c r="S214" s="46">
        <f>IF(VLOOKUP($C214,REV!$C:$AA,17,0)-'TRADE IN'!$F214=0,"",(VLOOKUP($C214,REV!$C:$AA,17,0)-'TRADE IN'!$F214))</f>
        <v>699</v>
      </c>
      <c r="T214" s="46">
        <f>IF(VLOOKUP($C214,REV!$C:$AA,18,0)-'TRADE IN'!$F214=0,"",(VLOOKUP($C214,REV!$C:$AA,18,0)-'TRADE IN'!$F214))</f>
        <v>699</v>
      </c>
      <c r="U214" s="46">
        <f>IF(VLOOKUP($C214,REV!$C:$AA,19,0)-'TRADE IN'!$F214=0,"",(VLOOKUP($C214,REV!$C:$AA,19,0)-'TRADE IN'!$F214))</f>
        <v>699</v>
      </c>
      <c r="V214" s="46">
        <f>IF(VLOOKUP($C214,REV!$C:$AA,20,0)-'TRADE IN'!$F214=0,"",(VLOOKUP($C214,REV!$C:$AA,20,0)-'TRADE IN'!$F214))</f>
        <v>699</v>
      </c>
      <c r="W214" s="46">
        <f>IF(VLOOKUP($C214,REV!$C:$AA,21,0)-'TRADE IN'!$F214=0,"",(VLOOKUP($C214,REV!$C:$AA,21,0)-'TRADE IN'!$F214))</f>
        <v>699</v>
      </c>
      <c r="X214" s="46">
        <f>IF(VLOOKUP($C214,REV!$C:$AA,22,0)-'TRADE IN'!$F214=0,"",(VLOOKUP($C214,REV!$C:$AA,22,0)-'TRADE IN'!$F214))</f>
        <v>699</v>
      </c>
      <c r="Y214" s="46">
        <f>IF(VLOOKUP($C214,REV!$C:$AA,23,0)-'TRADE IN'!$F214=0,"",(VLOOKUP($C214,REV!$C:$AA,23,0)-'TRADE IN'!$F214))</f>
        <v>699</v>
      </c>
      <c r="Z214" s="46">
        <f>IF(VLOOKUP($C214,REV!$C:$AA,24,0)-'TRADE IN'!$F214=0,"",(VLOOKUP($C214,REV!$C:$AA,24,0)-'TRADE IN'!$F214))</f>
        <v>699</v>
      </c>
      <c r="AA214" s="46">
        <f>IF(VLOOKUP($C214,REV!$C:$AA,25,0)-'TRADE IN'!$F214=0,"",(VLOOKUP($C214,REV!$C:$AA,25,0)-'TRADE IN'!$F214))</f>
        <v>699</v>
      </c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5"/>
      <c r="AN214" s="45"/>
      <c r="AO214" s="45"/>
      <c r="AP214" s="45"/>
      <c r="AQ214" s="45"/>
      <c r="AR214" s="45"/>
      <c r="AS214" s="45"/>
      <c r="AT214" s="45"/>
      <c r="AU214" s="45"/>
      <c r="AV214" s="47"/>
      <c r="AW214" s="48" t="str">
        <f>REV!AW214</f>
        <v>13.08.2026</v>
      </c>
      <c r="AX214" s="149" t="s">
        <v>230</v>
      </c>
    </row>
    <row r="215" spans="1:50" ht="22.5" customHeight="1">
      <c r="A215" s="55" t="s">
        <v>222</v>
      </c>
      <c r="B215" s="42" t="s">
        <v>64</v>
      </c>
      <c r="C215" s="43">
        <v>4017544</v>
      </c>
      <c r="D215" s="59" t="s">
        <v>356</v>
      </c>
      <c r="E215" s="56" t="s">
        <v>358</v>
      </c>
      <c r="F215" s="45">
        <v>100</v>
      </c>
      <c r="G215" s="45"/>
      <c r="H215" s="45"/>
      <c r="I215" s="45"/>
      <c r="J215" s="46">
        <f>IF(VLOOKUP($C215,REV!$C:$AA,8,0)-'TRADE IN'!$F215=0,"",(VLOOKUP($C215,REV!$C:$AA,8,0)-'TRADE IN'!$F215))</f>
        <v>899</v>
      </c>
      <c r="K215" s="46">
        <f>IF(VLOOKUP($C215,REV!$C:$AA,9,0)-'TRADE IN'!$F215=0,"",(VLOOKUP($C215,REV!$C:$AA,9,0)-'TRADE IN'!$F215))</f>
        <v>849</v>
      </c>
      <c r="L215" s="46">
        <f>IF(VLOOKUP($C215,REV!$C:$AA,10,0)-'TRADE IN'!$F215=0,"",(VLOOKUP($C215,REV!$C:$AA,10,0)-'TRADE IN'!$F215))</f>
        <v>749</v>
      </c>
      <c r="M215" s="46">
        <f>IF(VLOOKUP($C215,REV!$C:$AA,11,0)-'TRADE IN'!$F215=0,"",(VLOOKUP($C215,REV!$C:$AA,11,0)-'TRADE IN'!$F215))</f>
        <v>899</v>
      </c>
      <c r="N215" s="46">
        <f>IF(VLOOKUP($C215,REV!$C:$AA,12,0)-'TRADE IN'!$F215=0,"",(VLOOKUP($C215,REV!$C:$AA,12,0)-'TRADE IN'!$F215))</f>
        <v>849</v>
      </c>
      <c r="O215" s="46">
        <f>IF(VLOOKUP($C215,REV!$C:$AA,13,0)-'TRADE IN'!$F215=0,"",(VLOOKUP($C215,REV!$C:$AA,13,0)-'TRADE IN'!$F215))</f>
        <v>699</v>
      </c>
      <c r="P215" s="46">
        <f>IF(VLOOKUP($C215,REV!$C:$AA,14,0)-'TRADE IN'!$F215=0,"",(VLOOKUP($C215,REV!$C:$AA,14,0)-'TRADE IN'!$F215))</f>
        <v>699</v>
      </c>
      <c r="Q215" s="46">
        <f>IF(VLOOKUP($C215,REV!$C:$AA,15,0)-'TRADE IN'!$F215=0,"",(VLOOKUP($C215,REV!$C:$AA,15,0)-'TRADE IN'!$F215))</f>
        <v>699</v>
      </c>
      <c r="R215" s="46">
        <f>IF(VLOOKUP($C215,REV!$C:$AA,16,0)-'TRADE IN'!$F215=0,"",(VLOOKUP($C215,REV!$C:$AA,16,0)-'TRADE IN'!$F215))</f>
        <v>699</v>
      </c>
      <c r="S215" s="46">
        <f>IF(VLOOKUP($C215,REV!$C:$AA,17,0)-'TRADE IN'!$F215=0,"",(VLOOKUP($C215,REV!$C:$AA,17,0)-'TRADE IN'!$F215))</f>
        <v>699</v>
      </c>
      <c r="T215" s="46">
        <f>IF(VLOOKUP($C215,REV!$C:$AA,18,0)-'TRADE IN'!$F215=0,"",(VLOOKUP($C215,REV!$C:$AA,18,0)-'TRADE IN'!$F215))</f>
        <v>699</v>
      </c>
      <c r="U215" s="46">
        <f>IF(VLOOKUP($C215,REV!$C:$AA,19,0)-'TRADE IN'!$F215=0,"",(VLOOKUP($C215,REV!$C:$AA,19,0)-'TRADE IN'!$F215))</f>
        <v>699</v>
      </c>
      <c r="V215" s="46">
        <f>IF(VLOOKUP($C215,REV!$C:$AA,20,0)-'TRADE IN'!$F215=0,"",(VLOOKUP($C215,REV!$C:$AA,20,0)-'TRADE IN'!$F215))</f>
        <v>699</v>
      </c>
      <c r="W215" s="46">
        <f>IF(VLOOKUP($C215,REV!$C:$AA,21,0)-'TRADE IN'!$F215=0,"",(VLOOKUP($C215,REV!$C:$AA,21,0)-'TRADE IN'!$F215))</f>
        <v>699</v>
      </c>
      <c r="X215" s="46">
        <f>IF(VLOOKUP($C215,REV!$C:$AA,22,0)-'TRADE IN'!$F215=0,"",(VLOOKUP($C215,REV!$C:$AA,22,0)-'TRADE IN'!$F215))</f>
        <v>699</v>
      </c>
      <c r="Y215" s="46">
        <f>IF(VLOOKUP($C215,REV!$C:$AA,23,0)-'TRADE IN'!$F215=0,"",(VLOOKUP($C215,REV!$C:$AA,23,0)-'TRADE IN'!$F215))</f>
        <v>699</v>
      </c>
      <c r="Z215" s="46">
        <f>IF(VLOOKUP($C215,REV!$C:$AA,24,0)-'TRADE IN'!$F215=0,"",(VLOOKUP($C215,REV!$C:$AA,24,0)-'TRADE IN'!$F215))</f>
        <v>699</v>
      </c>
      <c r="AA215" s="46">
        <f>IF(VLOOKUP($C215,REV!$C:$AA,25,0)-'TRADE IN'!$F215=0,"",(VLOOKUP($C215,REV!$C:$AA,25,0)-'TRADE IN'!$F215))</f>
        <v>699</v>
      </c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5"/>
      <c r="AN215" s="45"/>
      <c r="AO215" s="45"/>
      <c r="AP215" s="45"/>
      <c r="AQ215" s="45"/>
      <c r="AR215" s="45"/>
      <c r="AS215" s="45"/>
      <c r="AT215" s="45"/>
      <c r="AU215" s="45"/>
      <c r="AV215" s="47"/>
      <c r="AW215" s="48" t="str">
        <f>REV!AW215</f>
        <v>13.08.2026</v>
      </c>
      <c r="AX215" s="149" t="s">
        <v>230</v>
      </c>
    </row>
    <row r="216" spans="1:50" ht="22.5" customHeight="1">
      <c r="A216" s="55" t="s">
        <v>222</v>
      </c>
      <c r="B216" s="42" t="s">
        <v>64</v>
      </c>
      <c r="C216" s="43">
        <v>4017566</v>
      </c>
      <c r="D216" s="59" t="s">
        <v>356</v>
      </c>
      <c r="E216" s="56" t="s">
        <v>359</v>
      </c>
      <c r="F216" s="45">
        <v>100</v>
      </c>
      <c r="G216" s="45"/>
      <c r="H216" s="45"/>
      <c r="I216" s="45"/>
      <c r="J216" s="46">
        <f>IF(VLOOKUP($C216,REV!$C:$AA,8,0)-'TRADE IN'!$F216=0,"",(VLOOKUP($C216,REV!$C:$AA,8,0)-'TRADE IN'!$F216))</f>
        <v>899</v>
      </c>
      <c r="K216" s="46">
        <f>IF(VLOOKUP($C216,REV!$C:$AA,9,0)-'TRADE IN'!$F216=0,"",(VLOOKUP($C216,REV!$C:$AA,9,0)-'TRADE IN'!$F216))</f>
        <v>849</v>
      </c>
      <c r="L216" s="46">
        <f>IF(VLOOKUP($C216,REV!$C:$AA,10,0)-'TRADE IN'!$F216=0,"",(VLOOKUP($C216,REV!$C:$AA,10,0)-'TRADE IN'!$F216))</f>
        <v>749</v>
      </c>
      <c r="M216" s="46">
        <f>IF(VLOOKUP($C216,REV!$C:$AA,11,0)-'TRADE IN'!$F216=0,"",(VLOOKUP($C216,REV!$C:$AA,11,0)-'TRADE IN'!$F216))</f>
        <v>899</v>
      </c>
      <c r="N216" s="46">
        <f>IF(VLOOKUP($C216,REV!$C:$AA,12,0)-'TRADE IN'!$F216=0,"",(VLOOKUP($C216,REV!$C:$AA,12,0)-'TRADE IN'!$F216))</f>
        <v>849</v>
      </c>
      <c r="O216" s="46">
        <f>IF(VLOOKUP($C216,REV!$C:$AA,13,0)-'TRADE IN'!$F216=0,"",(VLOOKUP($C216,REV!$C:$AA,13,0)-'TRADE IN'!$F216))</f>
        <v>699</v>
      </c>
      <c r="P216" s="46">
        <f>IF(VLOOKUP($C216,REV!$C:$AA,14,0)-'TRADE IN'!$F216=0,"",(VLOOKUP($C216,REV!$C:$AA,14,0)-'TRADE IN'!$F216))</f>
        <v>699</v>
      </c>
      <c r="Q216" s="46">
        <f>IF(VLOOKUP($C216,REV!$C:$AA,15,0)-'TRADE IN'!$F216=0,"",(VLOOKUP($C216,REV!$C:$AA,15,0)-'TRADE IN'!$F216))</f>
        <v>699</v>
      </c>
      <c r="R216" s="46">
        <f>IF(VLOOKUP($C216,REV!$C:$AA,16,0)-'TRADE IN'!$F216=0,"",(VLOOKUP($C216,REV!$C:$AA,16,0)-'TRADE IN'!$F216))</f>
        <v>699</v>
      </c>
      <c r="S216" s="46">
        <f>IF(VLOOKUP($C216,REV!$C:$AA,17,0)-'TRADE IN'!$F216=0,"",(VLOOKUP($C216,REV!$C:$AA,17,0)-'TRADE IN'!$F216))</f>
        <v>699</v>
      </c>
      <c r="T216" s="46">
        <f>IF(VLOOKUP($C216,REV!$C:$AA,18,0)-'TRADE IN'!$F216=0,"",(VLOOKUP($C216,REV!$C:$AA,18,0)-'TRADE IN'!$F216))</f>
        <v>699</v>
      </c>
      <c r="U216" s="46">
        <f>IF(VLOOKUP($C216,REV!$C:$AA,19,0)-'TRADE IN'!$F216=0,"",(VLOOKUP($C216,REV!$C:$AA,19,0)-'TRADE IN'!$F216))</f>
        <v>699</v>
      </c>
      <c r="V216" s="46">
        <f>IF(VLOOKUP($C216,REV!$C:$AA,20,0)-'TRADE IN'!$F216=0,"",(VLOOKUP($C216,REV!$C:$AA,20,0)-'TRADE IN'!$F216))</f>
        <v>699</v>
      </c>
      <c r="W216" s="46">
        <f>IF(VLOOKUP($C216,REV!$C:$AA,21,0)-'TRADE IN'!$F216=0,"",(VLOOKUP($C216,REV!$C:$AA,21,0)-'TRADE IN'!$F216))</f>
        <v>699</v>
      </c>
      <c r="X216" s="46">
        <f>IF(VLOOKUP($C216,REV!$C:$AA,22,0)-'TRADE IN'!$F216=0,"",(VLOOKUP($C216,REV!$C:$AA,22,0)-'TRADE IN'!$F216))</f>
        <v>699</v>
      </c>
      <c r="Y216" s="46">
        <f>IF(VLOOKUP($C216,REV!$C:$AA,23,0)-'TRADE IN'!$F216=0,"",(VLOOKUP($C216,REV!$C:$AA,23,0)-'TRADE IN'!$F216))</f>
        <v>699</v>
      </c>
      <c r="Z216" s="46">
        <f>IF(VLOOKUP($C216,REV!$C:$AA,24,0)-'TRADE IN'!$F216=0,"",(VLOOKUP($C216,REV!$C:$AA,24,0)-'TRADE IN'!$F216))</f>
        <v>699</v>
      </c>
      <c r="AA216" s="46">
        <f>IF(VLOOKUP($C216,REV!$C:$AA,25,0)-'TRADE IN'!$F216=0,"",(VLOOKUP($C216,REV!$C:$AA,25,0)-'TRADE IN'!$F216))</f>
        <v>699</v>
      </c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5"/>
      <c r="AN216" s="45"/>
      <c r="AO216" s="45"/>
      <c r="AP216" s="45"/>
      <c r="AQ216" s="45"/>
      <c r="AR216" s="45"/>
      <c r="AS216" s="45"/>
      <c r="AT216" s="45"/>
      <c r="AU216" s="45"/>
      <c r="AV216" s="47"/>
      <c r="AW216" s="48" t="str">
        <f>REV!AW216</f>
        <v>13.08.2026</v>
      </c>
      <c r="AX216" s="149" t="s">
        <v>230</v>
      </c>
    </row>
    <row r="217" spans="1:50" ht="22.5" customHeight="1">
      <c r="A217" s="55" t="s">
        <v>222</v>
      </c>
      <c r="B217" s="42" t="s">
        <v>64</v>
      </c>
      <c r="C217" s="43">
        <v>4018003</v>
      </c>
      <c r="D217" s="56" t="s">
        <v>360</v>
      </c>
      <c r="E217" s="56" t="s">
        <v>361</v>
      </c>
      <c r="F217" s="45">
        <v>100</v>
      </c>
      <c r="G217" s="45"/>
      <c r="H217" s="45"/>
      <c r="I217" s="45"/>
      <c r="J217" s="46">
        <f>IF(VLOOKUP($C217,REV!$C:$AA,8,0)-'TRADE IN'!$F217=0,"",(VLOOKUP($C217,REV!$C:$AA,8,0)-'TRADE IN'!$F217))</f>
        <v>999</v>
      </c>
      <c r="K217" s="46">
        <f>IF(VLOOKUP($C217,REV!$C:$AA,9,0)-'TRADE IN'!$F217=0,"",(VLOOKUP($C217,REV!$C:$AA,9,0)-'TRADE IN'!$F217))</f>
        <v>899</v>
      </c>
      <c r="L217" s="46">
        <f>IF(VLOOKUP($C217,REV!$C:$AA,10,0)-'TRADE IN'!$F217=0,"",(VLOOKUP($C217,REV!$C:$AA,10,0)-'TRADE IN'!$F217))</f>
        <v>899</v>
      </c>
      <c r="M217" s="46">
        <f>IF(VLOOKUP($C217,REV!$C:$AA,11,0)-'TRADE IN'!$F217=0,"",(VLOOKUP($C217,REV!$C:$AA,11,0)-'TRADE IN'!$F217))</f>
        <v>999</v>
      </c>
      <c r="N217" s="46">
        <f>IF(VLOOKUP($C217,REV!$C:$AA,12,0)-'TRADE IN'!$F217=0,"",(VLOOKUP($C217,REV!$C:$AA,12,0)-'TRADE IN'!$F217))</f>
        <v>899</v>
      </c>
      <c r="O217" s="46">
        <f>IF(VLOOKUP($C217,REV!$C:$AA,13,0)-'TRADE IN'!$F217=0,"",(VLOOKUP($C217,REV!$C:$AA,13,0)-'TRADE IN'!$F217))</f>
        <v>849</v>
      </c>
      <c r="P217" s="46">
        <f>IF(VLOOKUP($C217,REV!$C:$AA,14,0)-'TRADE IN'!$F217=0,"",(VLOOKUP($C217,REV!$C:$AA,14,0)-'TRADE IN'!$F217))</f>
        <v>849</v>
      </c>
      <c r="Q217" s="46">
        <f>IF(VLOOKUP($C217,REV!$C:$AA,15,0)-'TRADE IN'!$F217=0,"",(VLOOKUP($C217,REV!$C:$AA,15,0)-'TRADE IN'!$F217))</f>
        <v>799</v>
      </c>
      <c r="R217" s="46">
        <f>IF(VLOOKUP($C217,REV!$C:$AA,16,0)-'TRADE IN'!$F217=0,"",(VLOOKUP($C217,REV!$C:$AA,16,0)-'TRADE IN'!$F217))</f>
        <v>849</v>
      </c>
      <c r="S217" s="46">
        <f>IF(VLOOKUP($C217,REV!$C:$AA,17,0)-'TRADE IN'!$F217=0,"",(VLOOKUP($C217,REV!$C:$AA,17,0)-'TRADE IN'!$F217))</f>
        <v>849</v>
      </c>
      <c r="T217" s="46">
        <f>IF(VLOOKUP($C217,REV!$C:$AA,18,0)-'TRADE IN'!$F217=0,"",(VLOOKUP($C217,REV!$C:$AA,18,0)-'TRADE IN'!$F217))</f>
        <v>799</v>
      </c>
      <c r="U217" s="46">
        <f>IF(VLOOKUP($C217,REV!$C:$AA,19,0)-'TRADE IN'!$F217=0,"",(VLOOKUP($C217,REV!$C:$AA,19,0)-'TRADE IN'!$F217))</f>
        <v>799</v>
      </c>
      <c r="V217" s="46">
        <f>IF(VLOOKUP($C217,REV!$C:$AA,20,0)-'TRADE IN'!$F217=0,"",(VLOOKUP($C217,REV!$C:$AA,20,0)-'TRADE IN'!$F217))</f>
        <v>799</v>
      </c>
      <c r="W217" s="46">
        <f>IF(VLOOKUP($C217,REV!$C:$AA,21,0)-'TRADE IN'!$F217=0,"",(VLOOKUP($C217,REV!$C:$AA,21,0)-'TRADE IN'!$F217))</f>
        <v>799</v>
      </c>
      <c r="X217" s="46">
        <f>IF(VLOOKUP($C217,REV!$C:$AA,22,0)-'TRADE IN'!$F217=0,"",(VLOOKUP($C217,REV!$C:$AA,22,0)-'TRADE IN'!$F217))</f>
        <v>799</v>
      </c>
      <c r="Y217" s="46">
        <f>IF(VLOOKUP($C217,REV!$C:$AA,23,0)-'TRADE IN'!$F217=0,"",(VLOOKUP($C217,REV!$C:$AA,23,0)-'TRADE IN'!$F217))</f>
        <v>699</v>
      </c>
      <c r="Z217" s="46">
        <f>IF(VLOOKUP($C217,REV!$C:$AA,24,0)-'TRADE IN'!$F217=0,"",(VLOOKUP($C217,REV!$C:$AA,24,0)-'TRADE IN'!$F217))</f>
        <v>699</v>
      </c>
      <c r="AA217" s="46">
        <f>IF(VLOOKUP($C217,REV!$C:$AA,25,0)-'TRADE IN'!$F217=0,"",(VLOOKUP($C217,REV!$C:$AA,25,0)-'TRADE IN'!$F217))</f>
        <v>699</v>
      </c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5"/>
      <c r="AN217" s="45"/>
      <c r="AO217" s="45"/>
      <c r="AP217" s="45"/>
      <c r="AQ217" s="45"/>
      <c r="AR217" s="45"/>
      <c r="AS217" s="45"/>
      <c r="AT217" s="45"/>
      <c r="AU217" s="45"/>
      <c r="AV217" s="47"/>
      <c r="AW217" s="48" t="str">
        <f>REV!AW217</f>
        <v>13.08.2026</v>
      </c>
      <c r="AX217" s="149" t="s">
        <v>68</v>
      </c>
    </row>
    <row r="218" spans="1:50" ht="22.5" customHeight="1">
      <c r="A218" s="55" t="s">
        <v>222</v>
      </c>
      <c r="B218" s="42" t="s">
        <v>64</v>
      </c>
      <c r="C218" s="43">
        <v>4014848</v>
      </c>
      <c r="D218" s="56" t="s">
        <v>362</v>
      </c>
      <c r="E218" s="56" t="s">
        <v>363</v>
      </c>
      <c r="F218" s="45">
        <v>100</v>
      </c>
      <c r="G218" s="45"/>
      <c r="H218" s="45"/>
      <c r="I218" s="45"/>
      <c r="J218" s="46">
        <f>IF(VLOOKUP($C218,REV!$C:$AA,8,0)-'TRADE IN'!$F218=0,"",(VLOOKUP($C218,REV!$C:$AA,8,0)-'TRADE IN'!$F218))</f>
        <v>399</v>
      </c>
      <c r="K218" s="46">
        <f>IF(VLOOKUP($C218,REV!$C:$AA,9,0)-'TRADE IN'!$F218=0,"",(VLOOKUP($C218,REV!$C:$AA,9,0)-'TRADE IN'!$F218))</f>
        <v>399</v>
      </c>
      <c r="L218" s="46">
        <f>IF(VLOOKUP($C218,REV!$C:$AA,10,0)-'TRADE IN'!$F218=0,"",(VLOOKUP($C218,REV!$C:$AA,10,0)-'TRADE IN'!$F218))</f>
        <v>399</v>
      </c>
      <c r="M218" s="46">
        <f>IF(VLOOKUP($C218,REV!$C:$AA,11,0)-'TRADE IN'!$F218=0,"",(VLOOKUP($C218,REV!$C:$AA,11,0)-'TRADE IN'!$F218))</f>
        <v>399</v>
      </c>
      <c r="N218" s="46">
        <f>IF(VLOOKUP($C218,REV!$C:$AA,12,0)-'TRADE IN'!$F218=0,"",(VLOOKUP($C218,REV!$C:$AA,12,0)-'TRADE IN'!$F218))</f>
        <v>399</v>
      </c>
      <c r="O218" s="46">
        <f>IF(VLOOKUP($C218,REV!$C:$AA,13,0)-'TRADE IN'!$F218=0,"",(VLOOKUP($C218,REV!$C:$AA,13,0)-'TRADE IN'!$F218))</f>
        <v>349</v>
      </c>
      <c r="P218" s="46">
        <f>IF(VLOOKUP($C218,REV!$C:$AA,14,0)-'TRADE IN'!$F218=0,"",(VLOOKUP($C218,REV!$C:$AA,14,0)-'TRADE IN'!$F218))</f>
        <v>349</v>
      </c>
      <c r="Q218" s="46">
        <f>IF(VLOOKUP($C218,REV!$C:$AA,15,0)-'TRADE IN'!$F218=0,"",(VLOOKUP($C218,REV!$C:$AA,15,0)-'TRADE IN'!$F218))</f>
        <v>299</v>
      </c>
      <c r="R218" s="46">
        <f>IF(VLOOKUP($C218,REV!$C:$AA,16,0)-'TRADE IN'!$F218=0,"",(VLOOKUP($C218,REV!$C:$AA,16,0)-'TRADE IN'!$F218))</f>
        <v>349</v>
      </c>
      <c r="S218" s="46">
        <f>IF(VLOOKUP($C218,REV!$C:$AA,17,0)-'TRADE IN'!$F218=0,"",(VLOOKUP($C218,REV!$C:$AA,17,0)-'TRADE IN'!$F218))</f>
        <v>349</v>
      </c>
      <c r="T218" s="46">
        <f>IF(VLOOKUP($C218,REV!$C:$AA,18,0)-'TRADE IN'!$F218=0,"",(VLOOKUP($C218,REV!$C:$AA,18,0)-'TRADE IN'!$F218))</f>
        <v>299</v>
      </c>
      <c r="U218" s="46">
        <f>IF(VLOOKUP($C218,REV!$C:$AA,19,0)-'TRADE IN'!$F218=0,"",(VLOOKUP($C218,REV!$C:$AA,19,0)-'TRADE IN'!$F218))</f>
        <v>299</v>
      </c>
      <c r="V218" s="46">
        <f>IF(VLOOKUP($C218,REV!$C:$AA,20,0)-'TRADE IN'!$F218=0,"",(VLOOKUP($C218,REV!$C:$AA,20,0)-'TRADE IN'!$F218))</f>
        <v>299</v>
      </c>
      <c r="W218" s="46">
        <f>IF(VLOOKUP($C218,REV!$C:$AA,21,0)-'TRADE IN'!$F218=0,"",(VLOOKUP($C218,REV!$C:$AA,21,0)-'TRADE IN'!$F218))</f>
        <v>299</v>
      </c>
      <c r="X218" s="46">
        <f>IF(VLOOKUP($C218,REV!$C:$AA,22,0)-'TRADE IN'!$F218=0,"",(VLOOKUP($C218,REV!$C:$AA,22,0)-'TRADE IN'!$F218))</f>
        <v>299</v>
      </c>
      <c r="Y218" s="46">
        <f>IF(VLOOKUP($C218,REV!$C:$AA,23,0)-'TRADE IN'!$F218=0,"",(VLOOKUP($C218,REV!$C:$AA,23,0)-'TRADE IN'!$F218))</f>
        <v>299</v>
      </c>
      <c r="Z218" s="46">
        <f>IF(VLOOKUP($C218,REV!$C:$AA,24,0)-'TRADE IN'!$F218=0,"",(VLOOKUP($C218,REV!$C:$AA,24,0)-'TRADE IN'!$F218))</f>
        <v>299</v>
      </c>
      <c r="AA218" s="46">
        <f>IF(VLOOKUP($C218,REV!$C:$AA,25,0)-'TRADE IN'!$F218=0,"",(VLOOKUP($C218,REV!$C:$AA,25,0)-'TRADE IN'!$F218))</f>
        <v>299</v>
      </c>
      <c r="AB218" s="45"/>
      <c r="AC218" s="45"/>
      <c r="AD218" s="45"/>
      <c r="AE218" s="45"/>
      <c r="AF218" s="45"/>
      <c r="AG218" s="45"/>
      <c r="AH218" s="45"/>
      <c r="AI218" s="45"/>
      <c r="AJ218" s="45"/>
      <c r="AK218" s="45"/>
      <c r="AL218" s="45"/>
      <c r="AM218" s="45"/>
      <c r="AN218" s="45"/>
      <c r="AO218" s="45"/>
      <c r="AP218" s="45"/>
      <c r="AQ218" s="45"/>
      <c r="AR218" s="45"/>
      <c r="AS218" s="45"/>
      <c r="AT218" s="45"/>
      <c r="AU218" s="45"/>
      <c r="AV218" s="47"/>
      <c r="AW218" s="48" t="str">
        <f>REV!AW218</f>
        <v>13.08.2026</v>
      </c>
      <c r="AX218" s="149" t="s">
        <v>230</v>
      </c>
    </row>
    <row r="219" spans="1:50" ht="22.5" customHeight="1">
      <c r="A219" s="55" t="s">
        <v>222</v>
      </c>
      <c r="B219" s="42" t="s">
        <v>64</v>
      </c>
      <c r="C219" s="43">
        <v>4014844</v>
      </c>
      <c r="D219" s="56" t="s">
        <v>362</v>
      </c>
      <c r="E219" s="56" t="s">
        <v>364</v>
      </c>
      <c r="F219" s="45">
        <v>100</v>
      </c>
      <c r="G219" s="45"/>
      <c r="H219" s="45"/>
      <c r="I219" s="45"/>
      <c r="J219" s="46">
        <f>IF(VLOOKUP($C219,REV!$C:$AA,8,0)-'TRADE IN'!$F219=0,"",(VLOOKUP($C219,REV!$C:$AA,8,0)-'TRADE IN'!$F219))</f>
        <v>399</v>
      </c>
      <c r="K219" s="46">
        <f>IF(VLOOKUP($C219,REV!$C:$AA,9,0)-'TRADE IN'!$F219=0,"",(VLOOKUP($C219,REV!$C:$AA,9,0)-'TRADE IN'!$F219))</f>
        <v>399</v>
      </c>
      <c r="L219" s="46">
        <f>IF(VLOOKUP($C219,REV!$C:$AA,10,0)-'TRADE IN'!$F219=0,"",(VLOOKUP($C219,REV!$C:$AA,10,0)-'TRADE IN'!$F219))</f>
        <v>399</v>
      </c>
      <c r="M219" s="46">
        <f>IF(VLOOKUP($C219,REV!$C:$AA,11,0)-'TRADE IN'!$F219=0,"",(VLOOKUP($C219,REV!$C:$AA,11,0)-'TRADE IN'!$F219))</f>
        <v>399</v>
      </c>
      <c r="N219" s="46">
        <f>IF(VLOOKUP($C219,REV!$C:$AA,12,0)-'TRADE IN'!$F219=0,"",(VLOOKUP($C219,REV!$C:$AA,12,0)-'TRADE IN'!$F219))</f>
        <v>399</v>
      </c>
      <c r="O219" s="46">
        <f>IF(VLOOKUP($C219,REV!$C:$AA,13,0)-'TRADE IN'!$F219=0,"",(VLOOKUP($C219,REV!$C:$AA,13,0)-'TRADE IN'!$F219))</f>
        <v>349</v>
      </c>
      <c r="P219" s="46">
        <f>IF(VLOOKUP($C219,REV!$C:$AA,14,0)-'TRADE IN'!$F219=0,"",(VLOOKUP($C219,REV!$C:$AA,14,0)-'TRADE IN'!$F219))</f>
        <v>349</v>
      </c>
      <c r="Q219" s="46">
        <f>IF(VLOOKUP($C219,REV!$C:$AA,15,0)-'TRADE IN'!$F219=0,"",(VLOOKUP($C219,REV!$C:$AA,15,0)-'TRADE IN'!$F219))</f>
        <v>299</v>
      </c>
      <c r="R219" s="46">
        <f>IF(VLOOKUP($C219,REV!$C:$AA,16,0)-'TRADE IN'!$F219=0,"",(VLOOKUP($C219,REV!$C:$AA,16,0)-'TRADE IN'!$F219))</f>
        <v>349</v>
      </c>
      <c r="S219" s="46">
        <f>IF(VLOOKUP($C219,REV!$C:$AA,17,0)-'TRADE IN'!$F219=0,"",(VLOOKUP($C219,REV!$C:$AA,17,0)-'TRADE IN'!$F219))</f>
        <v>349</v>
      </c>
      <c r="T219" s="46">
        <f>IF(VLOOKUP($C219,REV!$C:$AA,18,0)-'TRADE IN'!$F219=0,"",(VLOOKUP($C219,REV!$C:$AA,18,0)-'TRADE IN'!$F219))</f>
        <v>299</v>
      </c>
      <c r="U219" s="46">
        <f>IF(VLOOKUP($C219,REV!$C:$AA,19,0)-'TRADE IN'!$F219=0,"",(VLOOKUP($C219,REV!$C:$AA,19,0)-'TRADE IN'!$F219))</f>
        <v>299</v>
      </c>
      <c r="V219" s="46">
        <f>IF(VLOOKUP($C219,REV!$C:$AA,20,0)-'TRADE IN'!$F219=0,"",(VLOOKUP($C219,REV!$C:$AA,20,0)-'TRADE IN'!$F219))</f>
        <v>299</v>
      </c>
      <c r="W219" s="46">
        <f>IF(VLOOKUP($C219,REV!$C:$AA,21,0)-'TRADE IN'!$F219=0,"",(VLOOKUP($C219,REV!$C:$AA,21,0)-'TRADE IN'!$F219))</f>
        <v>299</v>
      </c>
      <c r="X219" s="46">
        <f>IF(VLOOKUP($C219,REV!$C:$AA,22,0)-'TRADE IN'!$F219=0,"",(VLOOKUP($C219,REV!$C:$AA,22,0)-'TRADE IN'!$F219))</f>
        <v>299</v>
      </c>
      <c r="Y219" s="46">
        <f>IF(VLOOKUP($C219,REV!$C:$AA,23,0)-'TRADE IN'!$F219=0,"",(VLOOKUP($C219,REV!$C:$AA,23,0)-'TRADE IN'!$F219))</f>
        <v>299</v>
      </c>
      <c r="Z219" s="46">
        <f>IF(VLOOKUP($C219,REV!$C:$AA,24,0)-'TRADE IN'!$F219=0,"",(VLOOKUP($C219,REV!$C:$AA,24,0)-'TRADE IN'!$F219))</f>
        <v>299</v>
      </c>
      <c r="AA219" s="46">
        <f>IF(VLOOKUP($C219,REV!$C:$AA,25,0)-'TRADE IN'!$F219=0,"",(VLOOKUP($C219,REV!$C:$AA,25,0)-'TRADE IN'!$F219))</f>
        <v>299</v>
      </c>
      <c r="AB219" s="45"/>
      <c r="AC219" s="45"/>
      <c r="AD219" s="45"/>
      <c r="AE219" s="45"/>
      <c r="AF219" s="45"/>
      <c r="AG219" s="45"/>
      <c r="AH219" s="45"/>
      <c r="AI219" s="45"/>
      <c r="AJ219" s="45"/>
      <c r="AK219" s="45"/>
      <c r="AL219" s="45"/>
      <c r="AM219" s="45"/>
      <c r="AN219" s="45"/>
      <c r="AO219" s="45"/>
      <c r="AP219" s="45"/>
      <c r="AQ219" s="45"/>
      <c r="AR219" s="45"/>
      <c r="AS219" s="45"/>
      <c r="AT219" s="45"/>
      <c r="AU219" s="45"/>
      <c r="AV219" s="47"/>
      <c r="AW219" s="48" t="str">
        <f>REV!AW219</f>
        <v>13.08.2026</v>
      </c>
      <c r="AX219" s="149" t="s">
        <v>230</v>
      </c>
    </row>
    <row r="220" spans="1:50" ht="22.5" customHeight="1">
      <c r="A220" s="55" t="s">
        <v>222</v>
      </c>
      <c r="B220" s="42" t="s">
        <v>64</v>
      </c>
      <c r="C220" s="43">
        <v>4015256</v>
      </c>
      <c r="D220" s="56" t="s">
        <v>365</v>
      </c>
      <c r="E220" s="56" t="s">
        <v>366</v>
      </c>
      <c r="F220" s="45">
        <v>100</v>
      </c>
      <c r="G220" s="45"/>
      <c r="H220" s="45"/>
      <c r="I220" s="45"/>
      <c r="J220" s="46">
        <f>IF(VLOOKUP($C220,REV!$C:$AA,8,0)-'TRADE IN'!$F220=0,"",(VLOOKUP($C220,REV!$C:$AA,8,0)-'TRADE IN'!$F220))</f>
        <v>499</v>
      </c>
      <c r="K220" s="46">
        <f>IF(VLOOKUP($C220,REV!$C:$AA,9,0)-'TRADE IN'!$F220=0,"",(VLOOKUP($C220,REV!$C:$AA,9,0)-'TRADE IN'!$F220))</f>
        <v>499</v>
      </c>
      <c r="L220" s="46">
        <f>IF(VLOOKUP($C220,REV!$C:$AA,10,0)-'TRADE IN'!$F220=0,"",(VLOOKUP($C220,REV!$C:$AA,10,0)-'TRADE IN'!$F220))</f>
        <v>499</v>
      </c>
      <c r="M220" s="46">
        <f>IF(VLOOKUP($C220,REV!$C:$AA,11,0)-'TRADE IN'!$F220=0,"",(VLOOKUP($C220,REV!$C:$AA,11,0)-'TRADE IN'!$F220))</f>
        <v>499</v>
      </c>
      <c r="N220" s="46">
        <f>IF(VLOOKUP($C220,REV!$C:$AA,12,0)-'TRADE IN'!$F220=0,"",(VLOOKUP($C220,REV!$C:$AA,12,0)-'TRADE IN'!$F220))</f>
        <v>499</v>
      </c>
      <c r="O220" s="46">
        <f>IF(VLOOKUP($C220,REV!$C:$AA,13,0)-'TRADE IN'!$F220=0,"",(VLOOKUP($C220,REV!$C:$AA,13,0)-'TRADE IN'!$F220))</f>
        <v>499</v>
      </c>
      <c r="P220" s="46">
        <f>IF(VLOOKUP($C220,REV!$C:$AA,14,0)-'TRADE IN'!$F220=0,"",(VLOOKUP($C220,REV!$C:$AA,14,0)-'TRADE IN'!$F220))</f>
        <v>499</v>
      </c>
      <c r="Q220" s="46">
        <f>IF(VLOOKUP($C220,REV!$C:$AA,15,0)-'TRADE IN'!$F220=0,"",(VLOOKUP($C220,REV!$C:$AA,15,0)-'TRADE IN'!$F220))</f>
        <v>499</v>
      </c>
      <c r="R220" s="46">
        <f>IF(VLOOKUP($C220,REV!$C:$AA,16,0)-'TRADE IN'!$F220=0,"",(VLOOKUP($C220,REV!$C:$AA,16,0)-'TRADE IN'!$F220))</f>
        <v>499</v>
      </c>
      <c r="S220" s="46">
        <f>IF(VLOOKUP($C220,REV!$C:$AA,17,0)-'TRADE IN'!$F220=0,"",(VLOOKUP($C220,REV!$C:$AA,17,0)-'TRADE IN'!$F220))</f>
        <v>499</v>
      </c>
      <c r="T220" s="46">
        <f>IF(VLOOKUP($C220,REV!$C:$AA,18,0)-'TRADE IN'!$F220=0,"",(VLOOKUP($C220,REV!$C:$AA,18,0)-'TRADE IN'!$F220))</f>
        <v>499</v>
      </c>
      <c r="U220" s="46">
        <f>IF(VLOOKUP($C220,REV!$C:$AA,19,0)-'TRADE IN'!$F220=0,"",(VLOOKUP($C220,REV!$C:$AA,19,0)-'TRADE IN'!$F220))</f>
        <v>499</v>
      </c>
      <c r="V220" s="46">
        <f>IF(VLOOKUP($C220,REV!$C:$AA,20,0)-'TRADE IN'!$F220=0,"",(VLOOKUP($C220,REV!$C:$AA,20,0)-'TRADE IN'!$F220))</f>
        <v>499</v>
      </c>
      <c r="W220" s="46">
        <f>IF(VLOOKUP($C220,REV!$C:$AA,21,0)-'TRADE IN'!$F220=0,"",(VLOOKUP($C220,REV!$C:$AA,21,0)-'TRADE IN'!$F220))</f>
        <v>499</v>
      </c>
      <c r="X220" s="46">
        <f>IF(VLOOKUP($C220,REV!$C:$AA,22,0)-'TRADE IN'!$F220=0,"",(VLOOKUP($C220,REV!$C:$AA,22,0)-'TRADE IN'!$F220))</f>
        <v>499</v>
      </c>
      <c r="Y220" s="46">
        <f>IF(VLOOKUP($C220,REV!$C:$AA,23,0)-'TRADE IN'!$F220=0,"",(VLOOKUP($C220,REV!$C:$AA,23,0)-'TRADE IN'!$F220))</f>
        <v>499</v>
      </c>
      <c r="Z220" s="46">
        <f>IF(VLOOKUP($C220,REV!$C:$AA,24,0)-'TRADE IN'!$F220=0,"",(VLOOKUP($C220,REV!$C:$AA,24,0)-'TRADE IN'!$F220))</f>
        <v>499</v>
      </c>
      <c r="AA220" s="46">
        <f>IF(VLOOKUP($C220,REV!$C:$AA,25,0)-'TRADE IN'!$F220=0,"",(VLOOKUP($C220,REV!$C:$AA,25,0)-'TRADE IN'!$F220))</f>
        <v>499</v>
      </c>
      <c r="AB220" s="45"/>
      <c r="AC220" s="45"/>
      <c r="AD220" s="45"/>
      <c r="AE220" s="45"/>
      <c r="AF220" s="45"/>
      <c r="AG220" s="45"/>
      <c r="AH220" s="45"/>
      <c r="AI220" s="45"/>
      <c r="AJ220" s="45"/>
      <c r="AK220" s="45"/>
      <c r="AL220" s="45"/>
      <c r="AM220" s="45"/>
      <c r="AN220" s="45"/>
      <c r="AO220" s="45"/>
      <c r="AP220" s="45"/>
      <c r="AQ220" s="45"/>
      <c r="AR220" s="45"/>
      <c r="AS220" s="45"/>
      <c r="AT220" s="45"/>
      <c r="AU220" s="45"/>
      <c r="AV220" s="47"/>
      <c r="AW220" s="48" t="str">
        <f>REV!AW220</f>
        <v>13.08.2026</v>
      </c>
      <c r="AX220" s="149" t="s">
        <v>68</v>
      </c>
    </row>
    <row r="221" spans="1:50" ht="22.5" customHeight="1">
      <c r="A221" s="55" t="s">
        <v>222</v>
      </c>
      <c r="B221" s="42" t="s">
        <v>64</v>
      </c>
      <c r="C221" s="43">
        <v>4015257</v>
      </c>
      <c r="D221" s="56" t="s">
        <v>365</v>
      </c>
      <c r="E221" s="56" t="s">
        <v>367</v>
      </c>
      <c r="F221" s="45">
        <v>100</v>
      </c>
      <c r="G221" s="45"/>
      <c r="H221" s="45"/>
      <c r="I221" s="45"/>
      <c r="J221" s="46">
        <f>IF(VLOOKUP($C221,REV!$C:$AA,8,0)-'TRADE IN'!$F221=0,"",(VLOOKUP($C221,REV!$C:$AA,8,0)-'TRADE IN'!$F221))</f>
        <v>499</v>
      </c>
      <c r="K221" s="46">
        <f>IF(VLOOKUP($C221,REV!$C:$AA,9,0)-'TRADE IN'!$F221=0,"",(VLOOKUP($C221,REV!$C:$AA,9,0)-'TRADE IN'!$F221))</f>
        <v>499</v>
      </c>
      <c r="L221" s="46">
        <f>IF(VLOOKUP($C221,REV!$C:$AA,10,0)-'TRADE IN'!$F221=0,"",(VLOOKUP($C221,REV!$C:$AA,10,0)-'TRADE IN'!$F221))</f>
        <v>499</v>
      </c>
      <c r="M221" s="46">
        <f>IF(VLOOKUP($C221,REV!$C:$AA,11,0)-'TRADE IN'!$F221=0,"",(VLOOKUP($C221,REV!$C:$AA,11,0)-'TRADE IN'!$F221))</f>
        <v>499</v>
      </c>
      <c r="N221" s="46">
        <f>IF(VLOOKUP($C221,REV!$C:$AA,12,0)-'TRADE IN'!$F221=0,"",(VLOOKUP($C221,REV!$C:$AA,12,0)-'TRADE IN'!$F221))</f>
        <v>499</v>
      </c>
      <c r="O221" s="46">
        <f>IF(VLOOKUP($C221,REV!$C:$AA,13,0)-'TRADE IN'!$F221=0,"",(VLOOKUP($C221,REV!$C:$AA,13,0)-'TRADE IN'!$F221))</f>
        <v>499</v>
      </c>
      <c r="P221" s="46">
        <f>IF(VLOOKUP($C221,REV!$C:$AA,14,0)-'TRADE IN'!$F221=0,"",(VLOOKUP($C221,REV!$C:$AA,14,0)-'TRADE IN'!$F221))</f>
        <v>499</v>
      </c>
      <c r="Q221" s="46">
        <f>IF(VLOOKUP($C221,REV!$C:$AA,15,0)-'TRADE IN'!$F221=0,"",(VLOOKUP($C221,REV!$C:$AA,15,0)-'TRADE IN'!$F221))</f>
        <v>499</v>
      </c>
      <c r="R221" s="46">
        <f>IF(VLOOKUP($C221,REV!$C:$AA,16,0)-'TRADE IN'!$F221=0,"",(VLOOKUP($C221,REV!$C:$AA,16,0)-'TRADE IN'!$F221))</f>
        <v>499</v>
      </c>
      <c r="S221" s="46">
        <f>IF(VLOOKUP($C221,REV!$C:$AA,17,0)-'TRADE IN'!$F221=0,"",(VLOOKUP($C221,REV!$C:$AA,17,0)-'TRADE IN'!$F221))</f>
        <v>499</v>
      </c>
      <c r="T221" s="46">
        <f>IF(VLOOKUP($C221,REV!$C:$AA,18,0)-'TRADE IN'!$F221=0,"",(VLOOKUP($C221,REV!$C:$AA,18,0)-'TRADE IN'!$F221))</f>
        <v>499</v>
      </c>
      <c r="U221" s="46">
        <f>IF(VLOOKUP($C221,REV!$C:$AA,19,0)-'TRADE IN'!$F221=0,"",(VLOOKUP($C221,REV!$C:$AA,19,0)-'TRADE IN'!$F221))</f>
        <v>499</v>
      </c>
      <c r="V221" s="46">
        <f>IF(VLOOKUP($C221,REV!$C:$AA,20,0)-'TRADE IN'!$F221=0,"",(VLOOKUP($C221,REV!$C:$AA,20,0)-'TRADE IN'!$F221))</f>
        <v>499</v>
      </c>
      <c r="W221" s="46">
        <f>IF(VLOOKUP($C221,REV!$C:$AA,21,0)-'TRADE IN'!$F221=0,"",(VLOOKUP($C221,REV!$C:$AA,21,0)-'TRADE IN'!$F221))</f>
        <v>499</v>
      </c>
      <c r="X221" s="46">
        <f>IF(VLOOKUP($C221,REV!$C:$AA,22,0)-'TRADE IN'!$F221=0,"",(VLOOKUP($C221,REV!$C:$AA,22,0)-'TRADE IN'!$F221))</f>
        <v>499</v>
      </c>
      <c r="Y221" s="46">
        <f>IF(VLOOKUP($C221,REV!$C:$AA,23,0)-'TRADE IN'!$F221=0,"",(VLOOKUP($C221,REV!$C:$AA,23,0)-'TRADE IN'!$F221))</f>
        <v>499</v>
      </c>
      <c r="Z221" s="46">
        <f>IF(VLOOKUP($C221,REV!$C:$AA,24,0)-'TRADE IN'!$F221=0,"",(VLOOKUP($C221,REV!$C:$AA,24,0)-'TRADE IN'!$F221))</f>
        <v>499</v>
      </c>
      <c r="AA221" s="46">
        <f>IF(VLOOKUP($C221,REV!$C:$AA,25,0)-'TRADE IN'!$F221=0,"",(VLOOKUP($C221,REV!$C:$AA,25,0)-'TRADE IN'!$F221))</f>
        <v>499</v>
      </c>
      <c r="AB221" s="45"/>
      <c r="AC221" s="45"/>
      <c r="AD221" s="45"/>
      <c r="AE221" s="45"/>
      <c r="AF221" s="45"/>
      <c r="AG221" s="45"/>
      <c r="AH221" s="45"/>
      <c r="AI221" s="45"/>
      <c r="AJ221" s="45"/>
      <c r="AK221" s="45"/>
      <c r="AL221" s="45"/>
      <c r="AM221" s="45"/>
      <c r="AN221" s="45"/>
      <c r="AO221" s="45"/>
      <c r="AP221" s="45"/>
      <c r="AQ221" s="45"/>
      <c r="AR221" s="45"/>
      <c r="AS221" s="45"/>
      <c r="AT221" s="45"/>
      <c r="AU221" s="45"/>
      <c r="AV221" s="47"/>
      <c r="AW221" s="48" t="str">
        <f>REV!AW221</f>
        <v>13.08.2026</v>
      </c>
      <c r="AX221" s="149" t="s">
        <v>68</v>
      </c>
    </row>
    <row r="222" spans="1:50" ht="22.5" customHeight="1">
      <c r="A222" s="55" t="s">
        <v>222</v>
      </c>
      <c r="B222" s="42" t="s">
        <v>64</v>
      </c>
      <c r="C222" s="43">
        <v>4015259</v>
      </c>
      <c r="D222" s="56" t="s">
        <v>365</v>
      </c>
      <c r="E222" s="56" t="s">
        <v>368</v>
      </c>
      <c r="F222" s="45">
        <v>100</v>
      </c>
      <c r="G222" s="45"/>
      <c r="H222" s="45"/>
      <c r="I222" s="45"/>
      <c r="J222" s="46">
        <f>IF(VLOOKUP($C222,REV!$C:$AA,8,0)-'TRADE IN'!$F222=0,"",(VLOOKUP($C222,REV!$C:$AA,8,0)-'TRADE IN'!$F222))</f>
        <v>499</v>
      </c>
      <c r="K222" s="46">
        <f>IF(VLOOKUP($C222,REV!$C:$AA,9,0)-'TRADE IN'!$F222=0,"",(VLOOKUP($C222,REV!$C:$AA,9,0)-'TRADE IN'!$F222))</f>
        <v>499</v>
      </c>
      <c r="L222" s="46">
        <f>IF(VLOOKUP($C222,REV!$C:$AA,10,0)-'TRADE IN'!$F222=0,"",(VLOOKUP($C222,REV!$C:$AA,10,0)-'TRADE IN'!$F222))</f>
        <v>499</v>
      </c>
      <c r="M222" s="46">
        <f>IF(VLOOKUP($C222,REV!$C:$AA,11,0)-'TRADE IN'!$F222=0,"",(VLOOKUP($C222,REV!$C:$AA,11,0)-'TRADE IN'!$F222))</f>
        <v>499</v>
      </c>
      <c r="N222" s="46">
        <f>IF(VLOOKUP($C222,REV!$C:$AA,12,0)-'TRADE IN'!$F222=0,"",(VLOOKUP($C222,REV!$C:$AA,12,0)-'TRADE IN'!$F222))</f>
        <v>499</v>
      </c>
      <c r="O222" s="46">
        <f>IF(VLOOKUP($C222,REV!$C:$AA,13,0)-'TRADE IN'!$F222=0,"",(VLOOKUP($C222,REV!$C:$AA,13,0)-'TRADE IN'!$F222))</f>
        <v>499</v>
      </c>
      <c r="P222" s="46">
        <f>IF(VLOOKUP($C222,REV!$C:$AA,14,0)-'TRADE IN'!$F222=0,"",(VLOOKUP($C222,REV!$C:$AA,14,0)-'TRADE IN'!$F222))</f>
        <v>499</v>
      </c>
      <c r="Q222" s="46">
        <f>IF(VLOOKUP($C222,REV!$C:$AA,15,0)-'TRADE IN'!$F222=0,"",(VLOOKUP($C222,REV!$C:$AA,15,0)-'TRADE IN'!$F222))</f>
        <v>499</v>
      </c>
      <c r="R222" s="46">
        <f>IF(VLOOKUP($C222,REV!$C:$AA,16,0)-'TRADE IN'!$F222=0,"",(VLOOKUP($C222,REV!$C:$AA,16,0)-'TRADE IN'!$F222))</f>
        <v>499</v>
      </c>
      <c r="S222" s="46">
        <f>IF(VLOOKUP($C222,REV!$C:$AA,17,0)-'TRADE IN'!$F222=0,"",(VLOOKUP($C222,REV!$C:$AA,17,0)-'TRADE IN'!$F222))</f>
        <v>499</v>
      </c>
      <c r="T222" s="46">
        <f>IF(VLOOKUP($C222,REV!$C:$AA,18,0)-'TRADE IN'!$F222=0,"",(VLOOKUP($C222,REV!$C:$AA,18,0)-'TRADE IN'!$F222))</f>
        <v>499</v>
      </c>
      <c r="U222" s="46">
        <f>IF(VLOOKUP($C222,REV!$C:$AA,19,0)-'TRADE IN'!$F222=0,"",(VLOOKUP($C222,REV!$C:$AA,19,0)-'TRADE IN'!$F222))</f>
        <v>499</v>
      </c>
      <c r="V222" s="46">
        <f>IF(VLOOKUP($C222,REV!$C:$AA,20,0)-'TRADE IN'!$F222=0,"",(VLOOKUP($C222,REV!$C:$AA,20,0)-'TRADE IN'!$F222))</f>
        <v>499</v>
      </c>
      <c r="W222" s="46">
        <f>IF(VLOOKUP($C222,REV!$C:$AA,21,0)-'TRADE IN'!$F222=0,"",(VLOOKUP($C222,REV!$C:$AA,21,0)-'TRADE IN'!$F222))</f>
        <v>499</v>
      </c>
      <c r="X222" s="46">
        <f>IF(VLOOKUP($C222,REV!$C:$AA,22,0)-'TRADE IN'!$F222=0,"",(VLOOKUP($C222,REV!$C:$AA,22,0)-'TRADE IN'!$F222))</f>
        <v>499</v>
      </c>
      <c r="Y222" s="46">
        <f>IF(VLOOKUP($C222,REV!$C:$AA,23,0)-'TRADE IN'!$F222=0,"",(VLOOKUP($C222,REV!$C:$AA,23,0)-'TRADE IN'!$F222))</f>
        <v>499</v>
      </c>
      <c r="Z222" s="46">
        <f>IF(VLOOKUP($C222,REV!$C:$AA,24,0)-'TRADE IN'!$F222=0,"",(VLOOKUP($C222,REV!$C:$AA,24,0)-'TRADE IN'!$F222))</f>
        <v>499</v>
      </c>
      <c r="AA222" s="46">
        <f>IF(VLOOKUP($C222,REV!$C:$AA,25,0)-'TRADE IN'!$F222=0,"",(VLOOKUP($C222,REV!$C:$AA,25,0)-'TRADE IN'!$F222))</f>
        <v>499</v>
      </c>
      <c r="AB222" s="45"/>
      <c r="AC222" s="45"/>
      <c r="AD222" s="45"/>
      <c r="AE222" s="45"/>
      <c r="AF222" s="45"/>
      <c r="AG222" s="45"/>
      <c r="AH222" s="45"/>
      <c r="AI222" s="45"/>
      <c r="AJ222" s="45"/>
      <c r="AK222" s="45"/>
      <c r="AL222" s="45"/>
      <c r="AM222" s="45"/>
      <c r="AN222" s="45"/>
      <c r="AO222" s="45"/>
      <c r="AP222" s="45"/>
      <c r="AQ222" s="45"/>
      <c r="AR222" s="45"/>
      <c r="AS222" s="45"/>
      <c r="AT222" s="45"/>
      <c r="AU222" s="45"/>
      <c r="AV222" s="47"/>
      <c r="AW222" s="48" t="str">
        <f>REV!AW222</f>
        <v>13.08.2026</v>
      </c>
      <c r="AX222" s="149" t="s">
        <v>68</v>
      </c>
    </row>
    <row r="223" spans="1:50" ht="22" customHeight="1">
      <c r="A223" s="55" t="s">
        <v>222</v>
      </c>
      <c r="B223" s="42" t="s">
        <v>64</v>
      </c>
      <c r="C223" s="43">
        <v>4015563</v>
      </c>
      <c r="D223" s="56" t="s">
        <v>369</v>
      </c>
      <c r="E223" s="56" t="s">
        <v>370</v>
      </c>
      <c r="F223" s="45">
        <v>100</v>
      </c>
      <c r="G223" s="45"/>
      <c r="H223" s="45"/>
      <c r="I223" s="45"/>
      <c r="J223" s="46">
        <f>IF(VLOOKUP($C223,REV!$C:$AA,8,0)-'TRADE IN'!$F223=0,"",(VLOOKUP($C223,REV!$C:$AA,8,0)-'TRADE IN'!$F223))</f>
        <v>499</v>
      </c>
      <c r="K223" s="46">
        <f>IF(VLOOKUP($C223,REV!$C:$AA,9,0)-'TRADE IN'!$F223=0,"",(VLOOKUP($C223,REV!$C:$AA,9,0)-'TRADE IN'!$F223))</f>
        <v>499</v>
      </c>
      <c r="L223" s="46">
        <f>IF(VLOOKUP($C223,REV!$C:$AA,10,0)-'TRADE IN'!$F223=0,"",(VLOOKUP($C223,REV!$C:$AA,10,0)-'TRADE IN'!$F223))</f>
        <v>499</v>
      </c>
      <c r="M223" s="46">
        <f>IF(VLOOKUP($C223,REV!$C:$AA,11,0)-'TRADE IN'!$F223=0,"",(VLOOKUP($C223,REV!$C:$AA,11,0)-'TRADE IN'!$F223))</f>
        <v>499</v>
      </c>
      <c r="N223" s="46">
        <f>IF(VLOOKUP($C223,REV!$C:$AA,12,0)-'TRADE IN'!$F223=0,"",(VLOOKUP($C223,REV!$C:$AA,12,0)-'TRADE IN'!$F223))</f>
        <v>499</v>
      </c>
      <c r="O223" s="46">
        <f>IF(VLOOKUP($C223,REV!$C:$AA,13,0)-'TRADE IN'!$F223=0,"",(VLOOKUP($C223,REV!$C:$AA,13,0)-'TRADE IN'!$F223))</f>
        <v>449</v>
      </c>
      <c r="P223" s="46">
        <f>IF(VLOOKUP($C223,REV!$C:$AA,14,0)-'TRADE IN'!$F223=0,"",(VLOOKUP($C223,REV!$C:$AA,14,0)-'TRADE IN'!$F223))</f>
        <v>449</v>
      </c>
      <c r="Q223" s="46">
        <f>IF(VLOOKUP($C223,REV!$C:$AA,15,0)-'TRADE IN'!$F223=0,"",(VLOOKUP($C223,REV!$C:$AA,15,0)-'TRADE IN'!$F223))</f>
        <v>399</v>
      </c>
      <c r="R223" s="46">
        <f>IF(VLOOKUP($C223,REV!$C:$AA,16,0)-'TRADE IN'!$F223=0,"",(VLOOKUP($C223,REV!$C:$AA,16,0)-'TRADE IN'!$F223))</f>
        <v>449</v>
      </c>
      <c r="S223" s="46">
        <f>IF(VLOOKUP($C223,REV!$C:$AA,17,0)-'TRADE IN'!$F223=0,"",(VLOOKUP($C223,REV!$C:$AA,17,0)-'TRADE IN'!$F223))</f>
        <v>449</v>
      </c>
      <c r="T223" s="46">
        <f>IF(VLOOKUP($C223,REV!$C:$AA,18,0)-'TRADE IN'!$F223=0,"",(VLOOKUP($C223,REV!$C:$AA,18,0)-'TRADE IN'!$F223))</f>
        <v>399</v>
      </c>
      <c r="U223" s="46">
        <f>IF(VLOOKUP($C223,REV!$C:$AA,19,0)-'TRADE IN'!$F223=0,"",(VLOOKUP($C223,REV!$C:$AA,19,0)-'TRADE IN'!$F223))</f>
        <v>399</v>
      </c>
      <c r="V223" s="46">
        <f>IF(VLOOKUP($C223,REV!$C:$AA,20,0)-'TRADE IN'!$F223=0,"",(VLOOKUP($C223,REV!$C:$AA,20,0)-'TRADE IN'!$F223))</f>
        <v>399</v>
      </c>
      <c r="W223" s="46">
        <f>IF(VLOOKUP($C223,REV!$C:$AA,21,0)-'TRADE IN'!$F223=0,"",(VLOOKUP($C223,REV!$C:$AA,21,0)-'TRADE IN'!$F223))</f>
        <v>399</v>
      </c>
      <c r="X223" s="46">
        <f>IF(VLOOKUP($C223,REV!$C:$AA,22,0)-'TRADE IN'!$F223=0,"",(VLOOKUP($C223,REV!$C:$AA,22,0)-'TRADE IN'!$F223))</f>
        <v>399</v>
      </c>
      <c r="Y223" s="46">
        <f>IF(VLOOKUP($C223,REV!$C:$AA,23,0)-'TRADE IN'!$F223=0,"",(VLOOKUP($C223,REV!$C:$AA,23,0)-'TRADE IN'!$F223))</f>
        <v>399</v>
      </c>
      <c r="Z223" s="46">
        <f>IF(VLOOKUP($C223,REV!$C:$AA,24,0)-'TRADE IN'!$F223=0,"",(VLOOKUP($C223,REV!$C:$AA,24,0)-'TRADE IN'!$F223))</f>
        <v>399</v>
      </c>
      <c r="AA223" s="46">
        <f>IF(VLOOKUP($C223,REV!$C:$AA,25,0)-'TRADE IN'!$F223=0,"",(VLOOKUP($C223,REV!$C:$AA,25,0)-'TRADE IN'!$F223))</f>
        <v>399</v>
      </c>
      <c r="AB223" s="45"/>
      <c r="AC223" s="45"/>
      <c r="AD223" s="45"/>
      <c r="AE223" s="45"/>
      <c r="AF223" s="45"/>
      <c r="AG223" s="45"/>
      <c r="AH223" s="45"/>
      <c r="AI223" s="45"/>
      <c r="AJ223" s="45"/>
      <c r="AK223" s="45"/>
      <c r="AL223" s="45"/>
      <c r="AM223" s="45"/>
      <c r="AN223" s="45"/>
      <c r="AO223" s="45"/>
      <c r="AP223" s="45"/>
      <c r="AQ223" s="45"/>
      <c r="AR223" s="45"/>
      <c r="AS223" s="45"/>
      <c r="AT223" s="45"/>
      <c r="AU223" s="45"/>
      <c r="AV223" s="47"/>
      <c r="AW223" s="48" t="str">
        <f>REV!AW223</f>
        <v>13.08.2026</v>
      </c>
      <c r="AX223" s="149" t="s">
        <v>68</v>
      </c>
    </row>
    <row r="224" spans="1:50" ht="22.5" customHeight="1">
      <c r="A224" s="55" t="s">
        <v>222</v>
      </c>
      <c r="B224" s="42" t="s">
        <v>64</v>
      </c>
      <c r="C224" s="43">
        <v>4015565</v>
      </c>
      <c r="D224" s="56" t="s">
        <v>369</v>
      </c>
      <c r="E224" s="56" t="s">
        <v>371</v>
      </c>
      <c r="F224" s="45">
        <v>100</v>
      </c>
      <c r="G224" s="45"/>
      <c r="H224" s="45"/>
      <c r="I224" s="45"/>
      <c r="J224" s="46">
        <f>IF(VLOOKUP($C224,REV!$C:$AA,8,0)-'TRADE IN'!$F224=0,"",(VLOOKUP($C224,REV!$C:$AA,8,0)-'TRADE IN'!$F224))</f>
        <v>499</v>
      </c>
      <c r="K224" s="46">
        <f>IF(VLOOKUP($C224,REV!$C:$AA,9,0)-'TRADE IN'!$F224=0,"",(VLOOKUP($C224,REV!$C:$AA,9,0)-'TRADE IN'!$F224))</f>
        <v>499</v>
      </c>
      <c r="L224" s="46">
        <f>IF(VLOOKUP($C224,REV!$C:$AA,10,0)-'TRADE IN'!$F224=0,"",(VLOOKUP($C224,REV!$C:$AA,10,0)-'TRADE IN'!$F224))</f>
        <v>499</v>
      </c>
      <c r="M224" s="46">
        <f>IF(VLOOKUP($C224,REV!$C:$AA,11,0)-'TRADE IN'!$F224=0,"",(VLOOKUP($C224,REV!$C:$AA,11,0)-'TRADE IN'!$F224))</f>
        <v>499</v>
      </c>
      <c r="N224" s="46">
        <f>IF(VLOOKUP($C224,REV!$C:$AA,12,0)-'TRADE IN'!$F224=0,"",(VLOOKUP($C224,REV!$C:$AA,12,0)-'TRADE IN'!$F224))</f>
        <v>499</v>
      </c>
      <c r="O224" s="46">
        <f>IF(VLOOKUP($C224,REV!$C:$AA,13,0)-'TRADE IN'!$F224=0,"",(VLOOKUP($C224,REV!$C:$AA,13,0)-'TRADE IN'!$F224))</f>
        <v>449</v>
      </c>
      <c r="P224" s="46">
        <f>IF(VLOOKUP($C224,REV!$C:$AA,14,0)-'TRADE IN'!$F224=0,"",(VLOOKUP($C224,REV!$C:$AA,14,0)-'TRADE IN'!$F224))</f>
        <v>449</v>
      </c>
      <c r="Q224" s="46">
        <f>IF(VLOOKUP($C224,REV!$C:$AA,15,0)-'TRADE IN'!$F224=0,"",(VLOOKUP($C224,REV!$C:$AA,15,0)-'TRADE IN'!$F224))</f>
        <v>399</v>
      </c>
      <c r="R224" s="46">
        <f>IF(VLOOKUP($C224,REV!$C:$AA,16,0)-'TRADE IN'!$F224=0,"",(VLOOKUP($C224,REV!$C:$AA,16,0)-'TRADE IN'!$F224))</f>
        <v>449</v>
      </c>
      <c r="S224" s="46">
        <f>IF(VLOOKUP($C224,REV!$C:$AA,17,0)-'TRADE IN'!$F224=0,"",(VLOOKUP($C224,REV!$C:$AA,17,0)-'TRADE IN'!$F224))</f>
        <v>449</v>
      </c>
      <c r="T224" s="46">
        <f>IF(VLOOKUP($C224,REV!$C:$AA,18,0)-'TRADE IN'!$F224=0,"",(VLOOKUP($C224,REV!$C:$AA,18,0)-'TRADE IN'!$F224))</f>
        <v>399</v>
      </c>
      <c r="U224" s="46">
        <f>IF(VLOOKUP($C224,REV!$C:$AA,19,0)-'TRADE IN'!$F224=0,"",(VLOOKUP($C224,REV!$C:$AA,19,0)-'TRADE IN'!$F224))</f>
        <v>399</v>
      </c>
      <c r="V224" s="46">
        <f>IF(VLOOKUP($C224,REV!$C:$AA,20,0)-'TRADE IN'!$F224=0,"",(VLOOKUP($C224,REV!$C:$AA,20,0)-'TRADE IN'!$F224))</f>
        <v>399</v>
      </c>
      <c r="W224" s="46">
        <f>IF(VLOOKUP($C224,REV!$C:$AA,21,0)-'TRADE IN'!$F224=0,"",(VLOOKUP($C224,REV!$C:$AA,21,0)-'TRADE IN'!$F224))</f>
        <v>399</v>
      </c>
      <c r="X224" s="46">
        <f>IF(VLOOKUP($C224,REV!$C:$AA,22,0)-'TRADE IN'!$F224=0,"",(VLOOKUP($C224,REV!$C:$AA,22,0)-'TRADE IN'!$F224))</f>
        <v>399</v>
      </c>
      <c r="Y224" s="46">
        <f>IF(VLOOKUP($C224,REV!$C:$AA,23,0)-'TRADE IN'!$F224=0,"",(VLOOKUP($C224,REV!$C:$AA,23,0)-'TRADE IN'!$F224))</f>
        <v>399</v>
      </c>
      <c r="Z224" s="46">
        <f>IF(VLOOKUP($C224,REV!$C:$AA,24,0)-'TRADE IN'!$F224=0,"",(VLOOKUP($C224,REV!$C:$AA,24,0)-'TRADE IN'!$F224))</f>
        <v>399</v>
      </c>
      <c r="AA224" s="46">
        <f>IF(VLOOKUP($C224,REV!$C:$AA,25,0)-'TRADE IN'!$F224=0,"",(VLOOKUP($C224,REV!$C:$AA,25,0)-'TRADE IN'!$F224))</f>
        <v>399</v>
      </c>
      <c r="AB224" s="45"/>
      <c r="AC224" s="45"/>
      <c r="AD224" s="45"/>
      <c r="AE224" s="45"/>
      <c r="AF224" s="45"/>
      <c r="AG224" s="45"/>
      <c r="AH224" s="45"/>
      <c r="AI224" s="45"/>
      <c r="AJ224" s="45"/>
      <c r="AK224" s="45"/>
      <c r="AL224" s="45"/>
      <c r="AM224" s="45"/>
      <c r="AN224" s="45"/>
      <c r="AO224" s="45"/>
      <c r="AP224" s="45"/>
      <c r="AQ224" s="45"/>
      <c r="AR224" s="45"/>
      <c r="AS224" s="45"/>
      <c r="AT224" s="45"/>
      <c r="AU224" s="45"/>
      <c r="AV224" s="47"/>
      <c r="AW224" s="48" t="str">
        <f>REV!AW224</f>
        <v>13.08.2026</v>
      </c>
      <c r="AX224" s="149" t="s">
        <v>68</v>
      </c>
    </row>
    <row r="225" spans="1:50" ht="22.5" customHeight="1">
      <c r="A225" s="55" t="s">
        <v>222</v>
      </c>
      <c r="B225" s="42" t="s">
        <v>64</v>
      </c>
      <c r="C225" s="43">
        <v>4015567</v>
      </c>
      <c r="D225" s="56" t="s">
        <v>369</v>
      </c>
      <c r="E225" s="56" t="s">
        <v>372</v>
      </c>
      <c r="F225" s="45">
        <v>100</v>
      </c>
      <c r="G225" s="45"/>
      <c r="H225" s="45"/>
      <c r="I225" s="45"/>
      <c r="J225" s="46">
        <f>IF(VLOOKUP($C225,REV!$C:$AA,8,0)-'TRADE IN'!$F225=0,"",(VLOOKUP($C225,REV!$C:$AA,8,0)-'TRADE IN'!$F225))</f>
        <v>499</v>
      </c>
      <c r="K225" s="46">
        <f>IF(VLOOKUP($C225,REV!$C:$AA,9,0)-'TRADE IN'!$F225=0,"",(VLOOKUP($C225,REV!$C:$AA,9,0)-'TRADE IN'!$F225))</f>
        <v>499</v>
      </c>
      <c r="L225" s="46">
        <f>IF(VLOOKUP($C225,REV!$C:$AA,10,0)-'TRADE IN'!$F225=0,"",(VLOOKUP($C225,REV!$C:$AA,10,0)-'TRADE IN'!$F225))</f>
        <v>499</v>
      </c>
      <c r="M225" s="46">
        <f>IF(VLOOKUP($C225,REV!$C:$AA,11,0)-'TRADE IN'!$F225=0,"",(VLOOKUP($C225,REV!$C:$AA,11,0)-'TRADE IN'!$F225))</f>
        <v>499</v>
      </c>
      <c r="N225" s="46">
        <f>IF(VLOOKUP($C225,REV!$C:$AA,12,0)-'TRADE IN'!$F225=0,"",(VLOOKUP($C225,REV!$C:$AA,12,0)-'TRADE IN'!$F225))</f>
        <v>499</v>
      </c>
      <c r="O225" s="46">
        <f>IF(VLOOKUP($C225,REV!$C:$AA,13,0)-'TRADE IN'!$F225=0,"",(VLOOKUP($C225,REV!$C:$AA,13,0)-'TRADE IN'!$F225))</f>
        <v>449</v>
      </c>
      <c r="P225" s="46">
        <f>IF(VLOOKUP($C225,REV!$C:$AA,14,0)-'TRADE IN'!$F225=0,"",(VLOOKUP($C225,REV!$C:$AA,14,0)-'TRADE IN'!$F225))</f>
        <v>449</v>
      </c>
      <c r="Q225" s="46">
        <f>IF(VLOOKUP($C225,REV!$C:$AA,15,0)-'TRADE IN'!$F225=0,"",(VLOOKUP($C225,REV!$C:$AA,15,0)-'TRADE IN'!$F225))</f>
        <v>399</v>
      </c>
      <c r="R225" s="46">
        <f>IF(VLOOKUP($C225,REV!$C:$AA,16,0)-'TRADE IN'!$F225=0,"",(VLOOKUP($C225,REV!$C:$AA,16,0)-'TRADE IN'!$F225))</f>
        <v>449</v>
      </c>
      <c r="S225" s="46">
        <f>IF(VLOOKUP($C225,REV!$C:$AA,17,0)-'TRADE IN'!$F225=0,"",(VLOOKUP($C225,REV!$C:$AA,17,0)-'TRADE IN'!$F225))</f>
        <v>449</v>
      </c>
      <c r="T225" s="46">
        <f>IF(VLOOKUP($C225,REV!$C:$AA,18,0)-'TRADE IN'!$F225=0,"",(VLOOKUP($C225,REV!$C:$AA,18,0)-'TRADE IN'!$F225))</f>
        <v>399</v>
      </c>
      <c r="U225" s="46">
        <f>IF(VLOOKUP($C225,REV!$C:$AA,19,0)-'TRADE IN'!$F225=0,"",(VLOOKUP($C225,REV!$C:$AA,19,0)-'TRADE IN'!$F225))</f>
        <v>399</v>
      </c>
      <c r="V225" s="46">
        <f>IF(VLOOKUP($C225,REV!$C:$AA,20,0)-'TRADE IN'!$F225=0,"",(VLOOKUP($C225,REV!$C:$AA,20,0)-'TRADE IN'!$F225))</f>
        <v>399</v>
      </c>
      <c r="W225" s="46">
        <f>IF(VLOOKUP($C225,REV!$C:$AA,21,0)-'TRADE IN'!$F225=0,"",(VLOOKUP($C225,REV!$C:$AA,21,0)-'TRADE IN'!$F225))</f>
        <v>399</v>
      </c>
      <c r="X225" s="46">
        <f>IF(VLOOKUP($C225,REV!$C:$AA,22,0)-'TRADE IN'!$F225=0,"",(VLOOKUP($C225,REV!$C:$AA,22,0)-'TRADE IN'!$F225))</f>
        <v>399</v>
      </c>
      <c r="Y225" s="46">
        <f>IF(VLOOKUP($C225,REV!$C:$AA,23,0)-'TRADE IN'!$F225=0,"",(VLOOKUP($C225,REV!$C:$AA,23,0)-'TRADE IN'!$F225))</f>
        <v>399</v>
      </c>
      <c r="Z225" s="46">
        <f>IF(VLOOKUP($C225,REV!$C:$AA,24,0)-'TRADE IN'!$F225=0,"",(VLOOKUP($C225,REV!$C:$AA,24,0)-'TRADE IN'!$F225))</f>
        <v>399</v>
      </c>
      <c r="AA225" s="46">
        <f>IF(VLOOKUP($C225,REV!$C:$AA,25,0)-'TRADE IN'!$F225=0,"",(VLOOKUP($C225,REV!$C:$AA,25,0)-'TRADE IN'!$F225))</f>
        <v>399</v>
      </c>
      <c r="AB225" s="45"/>
      <c r="AC225" s="45"/>
      <c r="AD225" s="45"/>
      <c r="AE225" s="45"/>
      <c r="AF225" s="45"/>
      <c r="AG225" s="45"/>
      <c r="AH225" s="45"/>
      <c r="AI225" s="45"/>
      <c r="AJ225" s="45"/>
      <c r="AK225" s="45"/>
      <c r="AL225" s="45"/>
      <c r="AM225" s="45"/>
      <c r="AN225" s="45"/>
      <c r="AO225" s="45"/>
      <c r="AP225" s="45"/>
      <c r="AQ225" s="45"/>
      <c r="AR225" s="45"/>
      <c r="AS225" s="45"/>
      <c r="AT225" s="45"/>
      <c r="AU225" s="45"/>
      <c r="AV225" s="47"/>
      <c r="AW225" s="48" t="str">
        <f>REV!AW225</f>
        <v>13.08.2026</v>
      </c>
      <c r="AX225" s="149" t="s">
        <v>68</v>
      </c>
    </row>
    <row r="226" spans="1:50" ht="22.5" customHeight="1">
      <c r="A226" s="55" t="s">
        <v>222</v>
      </c>
      <c r="B226" s="42" t="s">
        <v>64</v>
      </c>
      <c r="C226" s="43">
        <v>4015569</v>
      </c>
      <c r="D226" s="56" t="s">
        <v>369</v>
      </c>
      <c r="E226" s="56" t="s">
        <v>373</v>
      </c>
      <c r="F226" s="45">
        <v>100</v>
      </c>
      <c r="G226" s="45"/>
      <c r="H226" s="45"/>
      <c r="I226" s="45"/>
      <c r="J226" s="46">
        <f>IF(VLOOKUP($C226,REV!$C:$AA,8,0)-'TRADE IN'!$F226=0,"",(VLOOKUP($C226,REV!$C:$AA,8,0)-'TRADE IN'!$F226))</f>
        <v>499</v>
      </c>
      <c r="K226" s="46">
        <f>IF(VLOOKUP($C226,REV!$C:$AA,9,0)-'TRADE IN'!$F226=0,"",(VLOOKUP($C226,REV!$C:$AA,9,0)-'TRADE IN'!$F226))</f>
        <v>499</v>
      </c>
      <c r="L226" s="46">
        <f>IF(VLOOKUP($C226,REV!$C:$AA,10,0)-'TRADE IN'!$F226=0,"",(VLOOKUP($C226,REV!$C:$AA,10,0)-'TRADE IN'!$F226))</f>
        <v>499</v>
      </c>
      <c r="M226" s="46">
        <f>IF(VLOOKUP($C226,REV!$C:$AA,11,0)-'TRADE IN'!$F226=0,"",(VLOOKUP($C226,REV!$C:$AA,11,0)-'TRADE IN'!$F226))</f>
        <v>499</v>
      </c>
      <c r="N226" s="46">
        <f>IF(VLOOKUP($C226,REV!$C:$AA,12,0)-'TRADE IN'!$F226=0,"",(VLOOKUP($C226,REV!$C:$AA,12,0)-'TRADE IN'!$F226))</f>
        <v>499</v>
      </c>
      <c r="O226" s="46">
        <f>IF(VLOOKUP($C226,REV!$C:$AA,13,0)-'TRADE IN'!$F226=0,"",(VLOOKUP($C226,REV!$C:$AA,13,0)-'TRADE IN'!$F226))</f>
        <v>449</v>
      </c>
      <c r="P226" s="46">
        <f>IF(VLOOKUP($C226,REV!$C:$AA,14,0)-'TRADE IN'!$F226=0,"",(VLOOKUP($C226,REV!$C:$AA,14,0)-'TRADE IN'!$F226))</f>
        <v>449</v>
      </c>
      <c r="Q226" s="46">
        <f>IF(VLOOKUP($C226,REV!$C:$AA,15,0)-'TRADE IN'!$F226=0,"",(VLOOKUP($C226,REV!$C:$AA,15,0)-'TRADE IN'!$F226))</f>
        <v>399</v>
      </c>
      <c r="R226" s="46">
        <f>IF(VLOOKUP($C226,REV!$C:$AA,16,0)-'TRADE IN'!$F226=0,"",(VLOOKUP($C226,REV!$C:$AA,16,0)-'TRADE IN'!$F226))</f>
        <v>449</v>
      </c>
      <c r="S226" s="46">
        <f>IF(VLOOKUP($C226,REV!$C:$AA,17,0)-'TRADE IN'!$F226=0,"",(VLOOKUP($C226,REV!$C:$AA,17,0)-'TRADE IN'!$F226))</f>
        <v>449</v>
      </c>
      <c r="T226" s="46">
        <f>IF(VLOOKUP($C226,REV!$C:$AA,18,0)-'TRADE IN'!$F226=0,"",(VLOOKUP($C226,REV!$C:$AA,18,0)-'TRADE IN'!$F226))</f>
        <v>399</v>
      </c>
      <c r="U226" s="46">
        <f>IF(VLOOKUP($C226,REV!$C:$AA,19,0)-'TRADE IN'!$F226=0,"",(VLOOKUP($C226,REV!$C:$AA,19,0)-'TRADE IN'!$F226))</f>
        <v>399</v>
      </c>
      <c r="V226" s="46">
        <f>IF(VLOOKUP($C226,REV!$C:$AA,20,0)-'TRADE IN'!$F226=0,"",(VLOOKUP($C226,REV!$C:$AA,20,0)-'TRADE IN'!$F226))</f>
        <v>399</v>
      </c>
      <c r="W226" s="46">
        <f>IF(VLOOKUP($C226,REV!$C:$AA,21,0)-'TRADE IN'!$F226=0,"",(VLOOKUP($C226,REV!$C:$AA,21,0)-'TRADE IN'!$F226))</f>
        <v>399</v>
      </c>
      <c r="X226" s="46">
        <f>IF(VLOOKUP($C226,REV!$C:$AA,22,0)-'TRADE IN'!$F226=0,"",(VLOOKUP($C226,REV!$C:$AA,22,0)-'TRADE IN'!$F226))</f>
        <v>399</v>
      </c>
      <c r="Y226" s="46">
        <f>IF(VLOOKUP($C226,REV!$C:$AA,23,0)-'TRADE IN'!$F226=0,"",(VLOOKUP($C226,REV!$C:$AA,23,0)-'TRADE IN'!$F226))</f>
        <v>399</v>
      </c>
      <c r="Z226" s="46">
        <f>IF(VLOOKUP($C226,REV!$C:$AA,24,0)-'TRADE IN'!$F226=0,"",(VLOOKUP($C226,REV!$C:$AA,24,0)-'TRADE IN'!$F226))</f>
        <v>399</v>
      </c>
      <c r="AA226" s="46">
        <f>IF(VLOOKUP($C226,REV!$C:$AA,25,0)-'TRADE IN'!$F226=0,"",(VLOOKUP($C226,REV!$C:$AA,25,0)-'TRADE IN'!$F226))</f>
        <v>399</v>
      </c>
      <c r="AB226" s="45"/>
      <c r="AC226" s="45"/>
      <c r="AD226" s="45"/>
      <c r="AE226" s="45"/>
      <c r="AF226" s="45"/>
      <c r="AG226" s="45"/>
      <c r="AH226" s="45"/>
      <c r="AI226" s="45"/>
      <c r="AJ226" s="45"/>
      <c r="AK226" s="45"/>
      <c r="AL226" s="45"/>
      <c r="AM226" s="45"/>
      <c r="AN226" s="45"/>
      <c r="AO226" s="45"/>
      <c r="AP226" s="45"/>
      <c r="AQ226" s="45"/>
      <c r="AR226" s="45"/>
      <c r="AS226" s="45"/>
      <c r="AT226" s="45"/>
      <c r="AU226" s="45"/>
      <c r="AV226" s="47"/>
      <c r="AW226" s="48" t="str">
        <f>REV!AW226</f>
        <v>13.08.2026</v>
      </c>
      <c r="AX226" s="149" t="s">
        <v>68</v>
      </c>
    </row>
    <row r="227" spans="1:50" ht="22.5" customHeight="1">
      <c r="A227" s="55" t="s">
        <v>222</v>
      </c>
      <c r="B227" s="42" t="s">
        <v>64</v>
      </c>
      <c r="C227" s="43">
        <v>4016078</v>
      </c>
      <c r="D227" s="56" t="s">
        <v>374</v>
      </c>
      <c r="E227" s="56" t="s">
        <v>375</v>
      </c>
      <c r="F227" s="45">
        <v>100</v>
      </c>
      <c r="G227" s="45"/>
      <c r="H227" s="45"/>
      <c r="I227" s="45"/>
      <c r="J227" s="46">
        <f>IF(VLOOKUP($C227,REV!$C:$AA,8,0)-'TRADE IN'!$F227=0,"",(VLOOKUP($C227,REV!$C:$AA,8,0)-'TRADE IN'!$F227))</f>
        <v>409</v>
      </c>
      <c r="K227" s="46">
        <f>IF(VLOOKUP($C227,REV!$C:$AA,9,0)-'TRADE IN'!$F227=0,"",(VLOOKUP($C227,REV!$C:$AA,9,0)-'TRADE IN'!$F227))</f>
        <v>409</v>
      </c>
      <c r="L227" s="46">
        <f>IF(VLOOKUP($C227,REV!$C:$AA,10,0)-'TRADE IN'!$F227=0,"",(VLOOKUP($C227,REV!$C:$AA,10,0)-'TRADE IN'!$F227))</f>
        <v>409</v>
      </c>
      <c r="M227" s="46">
        <f>IF(VLOOKUP($C227,REV!$C:$AA,11,0)-'TRADE IN'!$F227=0,"",(VLOOKUP($C227,REV!$C:$AA,11,0)-'TRADE IN'!$F227))</f>
        <v>409</v>
      </c>
      <c r="N227" s="46">
        <f>IF(VLOOKUP($C227,REV!$C:$AA,12,0)-'TRADE IN'!$F227=0,"",(VLOOKUP($C227,REV!$C:$AA,12,0)-'TRADE IN'!$F227))</f>
        <v>409</v>
      </c>
      <c r="O227" s="46">
        <f>IF(VLOOKUP($C227,REV!$C:$AA,13,0)-'TRADE IN'!$F227=0,"",(VLOOKUP($C227,REV!$C:$AA,13,0)-'TRADE IN'!$F227))</f>
        <v>409</v>
      </c>
      <c r="P227" s="46">
        <f>IF(VLOOKUP($C227,REV!$C:$AA,14,0)-'TRADE IN'!$F227=0,"",(VLOOKUP($C227,REV!$C:$AA,14,0)-'TRADE IN'!$F227))</f>
        <v>409</v>
      </c>
      <c r="Q227" s="46">
        <f>IF(VLOOKUP($C227,REV!$C:$AA,15,0)-'TRADE IN'!$F227=0,"",(VLOOKUP($C227,REV!$C:$AA,15,0)-'TRADE IN'!$F227))</f>
        <v>409</v>
      </c>
      <c r="R227" s="46">
        <f>IF(VLOOKUP($C227,REV!$C:$AA,16,0)-'TRADE IN'!$F227=0,"",(VLOOKUP($C227,REV!$C:$AA,16,0)-'TRADE IN'!$F227))</f>
        <v>409</v>
      </c>
      <c r="S227" s="46">
        <f>IF(VLOOKUP($C227,REV!$C:$AA,17,0)-'TRADE IN'!$F227=0,"",(VLOOKUP($C227,REV!$C:$AA,17,0)-'TRADE IN'!$F227))</f>
        <v>409</v>
      </c>
      <c r="T227" s="46">
        <f>IF(VLOOKUP($C227,REV!$C:$AA,18,0)-'TRADE IN'!$F227=0,"",(VLOOKUP($C227,REV!$C:$AA,18,0)-'TRADE IN'!$F227))</f>
        <v>409</v>
      </c>
      <c r="U227" s="46">
        <f>IF(VLOOKUP($C227,REV!$C:$AA,19,0)-'TRADE IN'!$F227=0,"",(VLOOKUP($C227,REV!$C:$AA,19,0)-'TRADE IN'!$F227))</f>
        <v>409</v>
      </c>
      <c r="V227" s="46">
        <f>IF(VLOOKUP($C227,REV!$C:$AA,20,0)-'TRADE IN'!$F227=0,"",(VLOOKUP($C227,REV!$C:$AA,20,0)-'TRADE IN'!$F227))</f>
        <v>409</v>
      </c>
      <c r="W227" s="46">
        <f>IF(VLOOKUP($C227,REV!$C:$AA,21,0)-'TRADE IN'!$F227=0,"",(VLOOKUP($C227,REV!$C:$AA,21,0)-'TRADE IN'!$F227))</f>
        <v>409</v>
      </c>
      <c r="X227" s="46">
        <f>IF(VLOOKUP($C227,REV!$C:$AA,22,0)-'TRADE IN'!$F227=0,"",(VLOOKUP($C227,REV!$C:$AA,22,0)-'TRADE IN'!$F227))</f>
        <v>409</v>
      </c>
      <c r="Y227" s="46">
        <f>IF(VLOOKUP($C227,REV!$C:$AA,23,0)-'TRADE IN'!$F227=0,"",(VLOOKUP($C227,REV!$C:$AA,23,0)-'TRADE IN'!$F227))</f>
        <v>409</v>
      </c>
      <c r="Z227" s="46">
        <f>IF(VLOOKUP($C227,REV!$C:$AA,24,0)-'TRADE IN'!$F227=0,"",(VLOOKUP($C227,REV!$C:$AA,24,0)-'TRADE IN'!$F227))</f>
        <v>409</v>
      </c>
      <c r="AA227" s="46">
        <f>IF(VLOOKUP($C227,REV!$C:$AA,25,0)-'TRADE IN'!$F227=0,"",(VLOOKUP($C227,REV!$C:$AA,25,0)-'TRADE IN'!$F227))</f>
        <v>409</v>
      </c>
      <c r="AB227" s="45"/>
      <c r="AC227" s="45"/>
      <c r="AD227" s="45"/>
      <c r="AE227" s="45"/>
      <c r="AF227" s="45"/>
      <c r="AG227" s="45"/>
      <c r="AH227" s="45"/>
      <c r="AI227" s="45"/>
      <c r="AJ227" s="45"/>
      <c r="AK227" s="45"/>
      <c r="AL227" s="45"/>
      <c r="AM227" s="45"/>
      <c r="AN227" s="45"/>
      <c r="AO227" s="45"/>
      <c r="AP227" s="45"/>
      <c r="AQ227" s="45"/>
      <c r="AR227" s="45"/>
      <c r="AS227" s="45"/>
      <c r="AT227" s="45"/>
      <c r="AU227" s="45"/>
      <c r="AV227" s="47"/>
      <c r="AW227" s="48" t="str">
        <f>REV!AW227</f>
        <v>13.08.2026</v>
      </c>
      <c r="AX227" s="149" t="s">
        <v>68</v>
      </c>
    </row>
    <row r="228" spans="1:50" ht="22.5" customHeight="1">
      <c r="A228" s="55" t="s">
        <v>222</v>
      </c>
      <c r="B228" s="42" t="s">
        <v>64</v>
      </c>
      <c r="C228" s="43">
        <v>4016081</v>
      </c>
      <c r="D228" s="56" t="s">
        <v>374</v>
      </c>
      <c r="E228" s="56" t="s">
        <v>376</v>
      </c>
      <c r="F228" s="45">
        <v>100</v>
      </c>
      <c r="G228" s="45"/>
      <c r="H228" s="45"/>
      <c r="I228" s="45"/>
      <c r="J228" s="46">
        <f>IF(VLOOKUP($C228,REV!$C:$AA,8,0)-'TRADE IN'!$F228=0,"",(VLOOKUP($C228,REV!$C:$AA,8,0)-'TRADE IN'!$F228))</f>
        <v>409</v>
      </c>
      <c r="K228" s="46">
        <f>IF(VLOOKUP($C228,REV!$C:$AA,9,0)-'TRADE IN'!$F228=0,"",(VLOOKUP($C228,REV!$C:$AA,9,0)-'TRADE IN'!$F228))</f>
        <v>409</v>
      </c>
      <c r="L228" s="46">
        <f>IF(VLOOKUP($C228,REV!$C:$AA,10,0)-'TRADE IN'!$F228=0,"",(VLOOKUP($C228,REV!$C:$AA,10,0)-'TRADE IN'!$F228))</f>
        <v>409</v>
      </c>
      <c r="M228" s="46">
        <f>IF(VLOOKUP($C228,REV!$C:$AA,11,0)-'TRADE IN'!$F228=0,"",(VLOOKUP($C228,REV!$C:$AA,11,0)-'TRADE IN'!$F228))</f>
        <v>409</v>
      </c>
      <c r="N228" s="46">
        <f>IF(VLOOKUP($C228,REV!$C:$AA,12,0)-'TRADE IN'!$F228=0,"",(VLOOKUP($C228,REV!$C:$AA,12,0)-'TRADE IN'!$F228))</f>
        <v>409</v>
      </c>
      <c r="O228" s="46">
        <f>IF(VLOOKUP($C228,REV!$C:$AA,13,0)-'TRADE IN'!$F228=0,"",(VLOOKUP($C228,REV!$C:$AA,13,0)-'TRADE IN'!$F228))</f>
        <v>409</v>
      </c>
      <c r="P228" s="46">
        <f>IF(VLOOKUP($C228,REV!$C:$AA,14,0)-'TRADE IN'!$F228=0,"",(VLOOKUP($C228,REV!$C:$AA,14,0)-'TRADE IN'!$F228))</f>
        <v>409</v>
      </c>
      <c r="Q228" s="46">
        <f>IF(VLOOKUP($C228,REV!$C:$AA,15,0)-'TRADE IN'!$F228=0,"",(VLOOKUP($C228,REV!$C:$AA,15,0)-'TRADE IN'!$F228))</f>
        <v>409</v>
      </c>
      <c r="R228" s="46">
        <f>IF(VLOOKUP($C228,REV!$C:$AA,16,0)-'TRADE IN'!$F228=0,"",(VLOOKUP($C228,REV!$C:$AA,16,0)-'TRADE IN'!$F228))</f>
        <v>409</v>
      </c>
      <c r="S228" s="46">
        <f>IF(VLOOKUP($C228,REV!$C:$AA,17,0)-'TRADE IN'!$F228=0,"",(VLOOKUP($C228,REV!$C:$AA,17,0)-'TRADE IN'!$F228))</f>
        <v>409</v>
      </c>
      <c r="T228" s="46">
        <f>IF(VLOOKUP($C228,REV!$C:$AA,18,0)-'TRADE IN'!$F228=0,"",(VLOOKUP($C228,REV!$C:$AA,18,0)-'TRADE IN'!$F228))</f>
        <v>409</v>
      </c>
      <c r="U228" s="46">
        <f>IF(VLOOKUP($C228,REV!$C:$AA,19,0)-'TRADE IN'!$F228=0,"",(VLOOKUP($C228,REV!$C:$AA,19,0)-'TRADE IN'!$F228))</f>
        <v>409</v>
      </c>
      <c r="V228" s="46">
        <f>IF(VLOOKUP($C228,REV!$C:$AA,20,0)-'TRADE IN'!$F228=0,"",(VLOOKUP($C228,REV!$C:$AA,20,0)-'TRADE IN'!$F228))</f>
        <v>409</v>
      </c>
      <c r="W228" s="46">
        <f>IF(VLOOKUP($C228,REV!$C:$AA,21,0)-'TRADE IN'!$F228=0,"",(VLOOKUP($C228,REV!$C:$AA,21,0)-'TRADE IN'!$F228))</f>
        <v>409</v>
      </c>
      <c r="X228" s="46">
        <f>IF(VLOOKUP($C228,REV!$C:$AA,22,0)-'TRADE IN'!$F228=0,"",(VLOOKUP($C228,REV!$C:$AA,22,0)-'TRADE IN'!$F228))</f>
        <v>409</v>
      </c>
      <c r="Y228" s="46">
        <f>IF(VLOOKUP($C228,REV!$C:$AA,23,0)-'TRADE IN'!$F228=0,"",(VLOOKUP($C228,REV!$C:$AA,23,0)-'TRADE IN'!$F228))</f>
        <v>409</v>
      </c>
      <c r="Z228" s="46">
        <f>IF(VLOOKUP($C228,REV!$C:$AA,24,0)-'TRADE IN'!$F228=0,"",(VLOOKUP($C228,REV!$C:$AA,24,0)-'TRADE IN'!$F228))</f>
        <v>409</v>
      </c>
      <c r="AA228" s="46">
        <f>IF(VLOOKUP($C228,REV!$C:$AA,25,0)-'TRADE IN'!$F228=0,"",(VLOOKUP($C228,REV!$C:$AA,25,0)-'TRADE IN'!$F228))</f>
        <v>409</v>
      </c>
      <c r="AB228" s="45"/>
      <c r="AC228" s="45"/>
      <c r="AD228" s="45"/>
      <c r="AE228" s="45"/>
      <c r="AF228" s="45"/>
      <c r="AG228" s="45"/>
      <c r="AH228" s="45"/>
      <c r="AI228" s="45"/>
      <c r="AJ228" s="45"/>
      <c r="AK228" s="45"/>
      <c r="AL228" s="45"/>
      <c r="AM228" s="45"/>
      <c r="AN228" s="45"/>
      <c r="AO228" s="45"/>
      <c r="AP228" s="45"/>
      <c r="AQ228" s="45"/>
      <c r="AR228" s="45"/>
      <c r="AS228" s="45"/>
      <c r="AT228" s="45"/>
      <c r="AU228" s="45"/>
      <c r="AV228" s="47"/>
      <c r="AW228" s="48" t="str">
        <f>REV!AW228</f>
        <v>13.08.2026</v>
      </c>
      <c r="AX228" s="149" t="s">
        <v>68</v>
      </c>
    </row>
    <row r="229" spans="1:50" ht="22.5" customHeight="1">
      <c r="A229" s="55" t="s">
        <v>222</v>
      </c>
      <c r="B229" s="42" t="s">
        <v>64</v>
      </c>
      <c r="C229" s="43">
        <v>4016080</v>
      </c>
      <c r="D229" s="56" t="s">
        <v>374</v>
      </c>
      <c r="E229" s="56" t="s">
        <v>377</v>
      </c>
      <c r="F229" s="45">
        <v>100</v>
      </c>
      <c r="G229" s="45"/>
      <c r="H229" s="45"/>
      <c r="I229" s="45"/>
      <c r="J229" s="46">
        <f>IF(VLOOKUP($C229,REV!$C:$AA,8,0)-'TRADE IN'!$F229=0,"",(VLOOKUP($C229,REV!$C:$AA,8,0)-'TRADE IN'!$F229))</f>
        <v>409</v>
      </c>
      <c r="K229" s="46">
        <f>IF(VLOOKUP($C229,REV!$C:$AA,9,0)-'TRADE IN'!$F229=0,"",(VLOOKUP($C229,REV!$C:$AA,9,0)-'TRADE IN'!$F229))</f>
        <v>409</v>
      </c>
      <c r="L229" s="46">
        <f>IF(VLOOKUP($C229,REV!$C:$AA,10,0)-'TRADE IN'!$F229=0,"",(VLOOKUP($C229,REV!$C:$AA,10,0)-'TRADE IN'!$F229))</f>
        <v>409</v>
      </c>
      <c r="M229" s="46">
        <f>IF(VLOOKUP($C229,REV!$C:$AA,11,0)-'TRADE IN'!$F229=0,"",(VLOOKUP($C229,REV!$C:$AA,11,0)-'TRADE IN'!$F229))</f>
        <v>409</v>
      </c>
      <c r="N229" s="46">
        <f>IF(VLOOKUP($C229,REV!$C:$AA,12,0)-'TRADE IN'!$F229=0,"",(VLOOKUP($C229,REV!$C:$AA,12,0)-'TRADE IN'!$F229))</f>
        <v>409</v>
      </c>
      <c r="O229" s="46">
        <f>IF(VLOOKUP($C229,REV!$C:$AA,13,0)-'TRADE IN'!$F229=0,"",(VLOOKUP($C229,REV!$C:$AA,13,0)-'TRADE IN'!$F229))</f>
        <v>409</v>
      </c>
      <c r="P229" s="46">
        <f>IF(VLOOKUP($C229,REV!$C:$AA,14,0)-'TRADE IN'!$F229=0,"",(VLOOKUP($C229,REV!$C:$AA,14,0)-'TRADE IN'!$F229))</f>
        <v>409</v>
      </c>
      <c r="Q229" s="46">
        <f>IF(VLOOKUP($C229,REV!$C:$AA,15,0)-'TRADE IN'!$F229=0,"",(VLOOKUP($C229,REV!$C:$AA,15,0)-'TRADE IN'!$F229))</f>
        <v>409</v>
      </c>
      <c r="R229" s="46">
        <f>IF(VLOOKUP($C229,REV!$C:$AA,16,0)-'TRADE IN'!$F229=0,"",(VLOOKUP($C229,REV!$C:$AA,16,0)-'TRADE IN'!$F229))</f>
        <v>409</v>
      </c>
      <c r="S229" s="46">
        <f>IF(VLOOKUP($C229,REV!$C:$AA,17,0)-'TRADE IN'!$F229=0,"",(VLOOKUP($C229,REV!$C:$AA,17,0)-'TRADE IN'!$F229))</f>
        <v>409</v>
      </c>
      <c r="T229" s="46">
        <f>IF(VLOOKUP($C229,REV!$C:$AA,18,0)-'TRADE IN'!$F229=0,"",(VLOOKUP($C229,REV!$C:$AA,18,0)-'TRADE IN'!$F229))</f>
        <v>409</v>
      </c>
      <c r="U229" s="46">
        <f>IF(VLOOKUP($C229,REV!$C:$AA,19,0)-'TRADE IN'!$F229=0,"",(VLOOKUP($C229,REV!$C:$AA,19,0)-'TRADE IN'!$F229))</f>
        <v>409</v>
      </c>
      <c r="V229" s="46">
        <f>IF(VLOOKUP($C229,REV!$C:$AA,20,0)-'TRADE IN'!$F229=0,"",(VLOOKUP($C229,REV!$C:$AA,20,0)-'TRADE IN'!$F229))</f>
        <v>409</v>
      </c>
      <c r="W229" s="46">
        <f>IF(VLOOKUP($C229,REV!$C:$AA,21,0)-'TRADE IN'!$F229=0,"",(VLOOKUP($C229,REV!$C:$AA,21,0)-'TRADE IN'!$F229))</f>
        <v>409</v>
      </c>
      <c r="X229" s="46">
        <f>IF(VLOOKUP($C229,REV!$C:$AA,22,0)-'TRADE IN'!$F229=0,"",(VLOOKUP($C229,REV!$C:$AA,22,0)-'TRADE IN'!$F229))</f>
        <v>409</v>
      </c>
      <c r="Y229" s="46">
        <f>IF(VLOOKUP($C229,REV!$C:$AA,23,0)-'TRADE IN'!$F229=0,"",(VLOOKUP($C229,REV!$C:$AA,23,0)-'TRADE IN'!$F229))</f>
        <v>409</v>
      </c>
      <c r="Z229" s="46">
        <f>IF(VLOOKUP($C229,REV!$C:$AA,24,0)-'TRADE IN'!$F229=0,"",(VLOOKUP($C229,REV!$C:$AA,24,0)-'TRADE IN'!$F229))</f>
        <v>409</v>
      </c>
      <c r="AA229" s="46">
        <f>IF(VLOOKUP($C229,REV!$C:$AA,25,0)-'TRADE IN'!$F229=0,"",(VLOOKUP($C229,REV!$C:$AA,25,0)-'TRADE IN'!$F229))</f>
        <v>409</v>
      </c>
      <c r="AB229" s="45"/>
      <c r="AC229" s="45"/>
      <c r="AD229" s="45"/>
      <c r="AE229" s="45"/>
      <c r="AF229" s="45"/>
      <c r="AG229" s="45"/>
      <c r="AH229" s="45"/>
      <c r="AI229" s="45"/>
      <c r="AJ229" s="45"/>
      <c r="AK229" s="45"/>
      <c r="AL229" s="45"/>
      <c r="AM229" s="45"/>
      <c r="AN229" s="45"/>
      <c r="AO229" s="45"/>
      <c r="AP229" s="45"/>
      <c r="AQ229" s="45"/>
      <c r="AR229" s="45"/>
      <c r="AS229" s="45"/>
      <c r="AT229" s="45"/>
      <c r="AU229" s="45"/>
      <c r="AV229" s="47"/>
      <c r="AW229" s="48" t="str">
        <f>REV!AW229</f>
        <v>13.08.2026</v>
      </c>
      <c r="AX229" s="149" t="s">
        <v>68</v>
      </c>
    </row>
    <row r="230" spans="1:50" ht="22.5" customHeight="1">
      <c r="A230" s="55" t="s">
        <v>222</v>
      </c>
      <c r="B230" s="42" t="s">
        <v>64</v>
      </c>
      <c r="C230" s="43">
        <v>4016086</v>
      </c>
      <c r="D230" s="56" t="s">
        <v>378</v>
      </c>
      <c r="E230" s="56" t="s">
        <v>379</v>
      </c>
      <c r="F230" s="45">
        <v>100</v>
      </c>
      <c r="G230" s="45"/>
      <c r="H230" s="45"/>
      <c r="I230" s="45"/>
      <c r="J230" s="46">
        <f>IF(VLOOKUP($C230,REV!$C:$AA,8,0)-'TRADE IN'!$F230=0,"",(VLOOKUP($C230,REV!$C:$AA,8,0)-'TRADE IN'!$F230))</f>
        <v>489</v>
      </c>
      <c r="K230" s="46">
        <f>IF(VLOOKUP($C230,REV!$C:$AA,9,0)-'TRADE IN'!$F230=0,"",(VLOOKUP($C230,REV!$C:$AA,9,0)-'TRADE IN'!$F230))</f>
        <v>489</v>
      </c>
      <c r="L230" s="46">
        <f>IF(VLOOKUP($C230,REV!$C:$AA,10,0)-'TRADE IN'!$F230=0,"",(VLOOKUP($C230,REV!$C:$AA,10,0)-'TRADE IN'!$F230))</f>
        <v>489</v>
      </c>
      <c r="M230" s="46">
        <f>IF(VLOOKUP($C230,REV!$C:$AA,11,0)-'TRADE IN'!$F230=0,"",(VLOOKUP($C230,REV!$C:$AA,11,0)-'TRADE IN'!$F230))</f>
        <v>489</v>
      </c>
      <c r="N230" s="46">
        <f>IF(VLOOKUP($C230,REV!$C:$AA,12,0)-'TRADE IN'!$F230=0,"",(VLOOKUP($C230,REV!$C:$AA,12,0)-'TRADE IN'!$F230))</f>
        <v>489</v>
      </c>
      <c r="O230" s="46">
        <f>IF(VLOOKUP($C230,REV!$C:$AA,13,0)-'TRADE IN'!$F230=0,"",(VLOOKUP($C230,REV!$C:$AA,13,0)-'TRADE IN'!$F230))</f>
        <v>489</v>
      </c>
      <c r="P230" s="46">
        <f>IF(VLOOKUP($C230,REV!$C:$AA,14,0)-'TRADE IN'!$F230=0,"",(VLOOKUP($C230,REV!$C:$AA,14,0)-'TRADE IN'!$F230))</f>
        <v>489</v>
      </c>
      <c r="Q230" s="46">
        <f>IF(VLOOKUP($C230,REV!$C:$AA,15,0)-'TRADE IN'!$F230=0,"",(VLOOKUP($C230,REV!$C:$AA,15,0)-'TRADE IN'!$F230))</f>
        <v>489</v>
      </c>
      <c r="R230" s="46">
        <f>IF(VLOOKUP($C230,REV!$C:$AA,16,0)-'TRADE IN'!$F230=0,"",(VLOOKUP($C230,REV!$C:$AA,16,0)-'TRADE IN'!$F230))</f>
        <v>489</v>
      </c>
      <c r="S230" s="46">
        <f>IF(VLOOKUP($C230,REV!$C:$AA,17,0)-'TRADE IN'!$F230=0,"",(VLOOKUP($C230,REV!$C:$AA,17,0)-'TRADE IN'!$F230))</f>
        <v>489</v>
      </c>
      <c r="T230" s="46">
        <f>IF(VLOOKUP($C230,REV!$C:$AA,18,0)-'TRADE IN'!$F230=0,"",(VLOOKUP($C230,REV!$C:$AA,18,0)-'TRADE IN'!$F230))</f>
        <v>489</v>
      </c>
      <c r="U230" s="46">
        <f>IF(VLOOKUP($C230,REV!$C:$AA,19,0)-'TRADE IN'!$F230=0,"",(VLOOKUP($C230,REV!$C:$AA,19,0)-'TRADE IN'!$F230))</f>
        <v>489</v>
      </c>
      <c r="V230" s="46">
        <f>IF(VLOOKUP($C230,REV!$C:$AA,20,0)-'TRADE IN'!$F230=0,"",(VLOOKUP($C230,REV!$C:$AA,20,0)-'TRADE IN'!$F230))</f>
        <v>489</v>
      </c>
      <c r="W230" s="46">
        <f>IF(VLOOKUP($C230,REV!$C:$AA,21,0)-'TRADE IN'!$F230=0,"",(VLOOKUP($C230,REV!$C:$AA,21,0)-'TRADE IN'!$F230))</f>
        <v>489</v>
      </c>
      <c r="X230" s="46">
        <f>IF(VLOOKUP($C230,REV!$C:$AA,22,0)-'TRADE IN'!$F230=0,"",(VLOOKUP($C230,REV!$C:$AA,22,0)-'TRADE IN'!$F230))</f>
        <v>489</v>
      </c>
      <c r="Y230" s="46">
        <f>IF(VLOOKUP($C230,REV!$C:$AA,23,0)-'TRADE IN'!$F230=0,"",(VLOOKUP($C230,REV!$C:$AA,23,0)-'TRADE IN'!$F230))</f>
        <v>489</v>
      </c>
      <c r="Z230" s="46">
        <f>IF(VLOOKUP($C230,REV!$C:$AA,24,0)-'TRADE IN'!$F230=0,"",(VLOOKUP($C230,REV!$C:$AA,24,0)-'TRADE IN'!$F230))</f>
        <v>489</v>
      </c>
      <c r="AA230" s="46">
        <f>IF(VLOOKUP($C230,REV!$C:$AA,25,0)-'TRADE IN'!$F230=0,"",(VLOOKUP($C230,REV!$C:$AA,25,0)-'TRADE IN'!$F230))</f>
        <v>489</v>
      </c>
      <c r="AB230" s="45"/>
      <c r="AC230" s="45"/>
      <c r="AD230" s="45"/>
      <c r="AE230" s="45"/>
      <c r="AF230" s="45"/>
      <c r="AG230" s="45"/>
      <c r="AH230" s="45"/>
      <c r="AI230" s="45"/>
      <c r="AJ230" s="45"/>
      <c r="AK230" s="45"/>
      <c r="AL230" s="45"/>
      <c r="AM230" s="45"/>
      <c r="AN230" s="45"/>
      <c r="AO230" s="45"/>
      <c r="AP230" s="45"/>
      <c r="AQ230" s="45"/>
      <c r="AR230" s="45"/>
      <c r="AS230" s="45"/>
      <c r="AT230" s="45"/>
      <c r="AU230" s="45"/>
      <c r="AV230" s="47"/>
      <c r="AW230" s="48" t="str">
        <f>REV!AW230</f>
        <v>13.08.2026</v>
      </c>
      <c r="AX230" s="149" t="s">
        <v>68</v>
      </c>
    </row>
    <row r="231" spans="1:50" ht="22.5" customHeight="1">
      <c r="A231" s="55" t="s">
        <v>222</v>
      </c>
      <c r="B231" s="42" t="s">
        <v>64</v>
      </c>
      <c r="C231" s="43">
        <v>4016089</v>
      </c>
      <c r="D231" s="56" t="s">
        <v>378</v>
      </c>
      <c r="E231" s="56" t="s">
        <v>380</v>
      </c>
      <c r="F231" s="45">
        <v>100</v>
      </c>
      <c r="G231" s="45"/>
      <c r="H231" s="45"/>
      <c r="I231" s="45"/>
      <c r="J231" s="46">
        <f>IF(VLOOKUP($C231,REV!$C:$AA,8,0)-'TRADE IN'!$F231=0,"",(VLOOKUP($C231,REV!$C:$AA,8,0)-'TRADE IN'!$F231))</f>
        <v>489</v>
      </c>
      <c r="K231" s="46">
        <f>IF(VLOOKUP($C231,REV!$C:$AA,9,0)-'TRADE IN'!$F231=0,"",(VLOOKUP($C231,REV!$C:$AA,9,0)-'TRADE IN'!$F231))</f>
        <v>489</v>
      </c>
      <c r="L231" s="46">
        <f>IF(VLOOKUP($C231,REV!$C:$AA,10,0)-'TRADE IN'!$F231=0,"",(VLOOKUP($C231,REV!$C:$AA,10,0)-'TRADE IN'!$F231))</f>
        <v>489</v>
      </c>
      <c r="M231" s="46">
        <f>IF(VLOOKUP($C231,REV!$C:$AA,11,0)-'TRADE IN'!$F231=0,"",(VLOOKUP($C231,REV!$C:$AA,11,0)-'TRADE IN'!$F231))</f>
        <v>489</v>
      </c>
      <c r="N231" s="46">
        <f>IF(VLOOKUP($C231,REV!$C:$AA,12,0)-'TRADE IN'!$F231=0,"",(VLOOKUP($C231,REV!$C:$AA,12,0)-'TRADE IN'!$F231))</f>
        <v>489</v>
      </c>
      <c r="O231" s="46">
        <f>IF(VLOOKUP($C231,REV!$C:$AA,13,0)-'TRADE IN'!$F231=0,"",(VLOOKUP($C231,REV!$C:$AA,13,0)-'TRADE IN'!$F231))</f>
        <v>489</v>
      </c>
      <c r="P231" s="46">
        <f>IF(VLOOKUP($C231,REV!$C:$AA,14,0)-'TRADE IN'!$F231=0,"",(VLOOKUP($C231,REV!$C:$AA,14,0)-'TRADE IN'!$F231))</f>
        <v>489</v>
      </c>
      <c r="Q231" s="46">
        <f>IF(VLOOKUP($C231,REV!$C:$AA,15,0)-'TRADE IN'!$F231=0,"",(VLOOKUP($C231,REV!$C:$AA,15,0)-'TRADE IN'!$F231))</f>
        <v>489</v>
      </c>
      <c r="R231" s="46">
        <f>IF(VLOOKUP($C231,REV!$C:$AA,16,0)-'TRADE IN'!$F231=0,"",(VLOOKUP($C231,REV!$C:$AA,16,0)-'TRADE IN'!$F231))</f>
        <v>489</v>
      </c>
      <c r="S231" s="46">
        <f>IF(VLOOKUP($C231,REV!$C:$AA,17,0)-'TRADE IN'!$F231=0,"",(VLOOKUP($C231,REV!$C:$AA,17,0)-'TRADE IN'!$F231))</f>
        <v>489</v>
      </c>
      <c r="T231" s="46">
        <f>IF(VLOOKUP($C231,REV!$C:$AA,18,0)-'TRADE IN'!$F231=0,"",(VLOOKUP($C231,REV!$C:$AA,18,0)-'TRADE IN'!$F231))</f>
        <v>489</v>
      </c>
      <c r="U231" s="46">
        <f>IF(VLOOKUP($C231,REV!$C:$AA,19,0)-'TRADE IN'!$F231=0,"",(VLOOKUP($C231,REV!$C:$AA,19,0)-'TRADE IN'!$F231))</f>
        <v>489</v>
      </c>
      <c r="V231" s="46">
        <f>IF(VLOOKUP($C231,REV!$C:$AA,20,0)-'TRADE IN'!$F231=0,"",(VLOOKUP($C231,REV!$C:$AA,20,0)-'TRADE IN'!$F231))</f>
        <v>489</v>
      </c>
      <c r="W231" s="46">
        <f>IF(VLOOKUP($C231,REV!$C:$AA,21,0)-'TRADE IN'!$F231=0,"",(VLOOKUP($C231,REV!$C:$AA,21,0)-'TRADE IN'!$F231))</f>
        <v>489</v>
      </c>
      <c r="X231" s="46">
        <f>IF(VLOOKUP($C231,REV!$C:$AA,22,0)-'TRADE IN'!$F231=0,"",(VLOOKUP($C231,REV!$C:$AA,22,0)-'TRADE IN'!$F231))</f>
        <v>489</v>
      </c>
      <c r="Y231" s="46">
        <f>IF(VLOOKUP($C231,REV!$C:$AA,23,0)-'TRADE IN'!$F231=0,"",(VLOOKUP($C231,REV!$C:$AA,23,0)-'TRADE IN'!$F231))</f>
        <v>489</v>
      </c>
      <c r="Z231" s="46">
        <f>IF(VLOOKUP($C231,REV!$C:$AA,24,0)-'TRADE IN'!$F231=0,"",(VLOOKUP($C231,REV!$C:$AA,24,0)-'TRADE IN'!$F231))</f>
        <v>489</v>
      </c>
      <c r="AA231" s="46">
        <f>IF(VLOOKUP($C231,REV!$C:$AA,25,0)-'TRADE IN'!$F231=0,"",(VLOOKUP($C231,REV!$C:$AA,25,0)-'TRADE IN'!$F231))</f>
        <v>489</v>
      </c>
      <c r="AB231" s="45"/>
      <c r="AC231" s="45"/>
      <c r="AD231" s="45"/>
      <c r="AE231" s="45"/>
      <c r="AF231" s="45"/>
      <c r="AG231" s="45"/>
      <c r="AH231" s="45"/>
      <c r="AI231" s="45"/>
      <c r="AJ231" s="45"/>
      <c r="AK231" s="45"/>
      <c r="AL231" s="45"/>
      <c r="AM231" s="45"/>
      <c r="AN231" s="45"/>
      <c r="AO231" s="45"/>
      <c r="AP231" s="45"/>
      <c r="AQ231" s="45"/>
      <c r="AR231" s="45"/>
      <c r="AS231" s="45"/>
      <c r="AT231" s="45"/>
      <c r="AU231" s="45"/>
      <c r="AV231" s="47"/>
      <c r="AW231" s="48" t="str">
        <f>REV!AW231</f>
        <v>13.08.2026</v>
      </c>
      <c r="AX231" s="149" t="s">
        <v>68</v>
      </c>
    </row>
    <row r="232" spans="1:50" ht="22.5" customHeight="1">
      <c r="A232" s="55" t="s">
        <v>222</v>
      </c>
      <c r="B232" s="42" t="s">
        <v>64</v>
      </c>
      <c r="C232" s="43">
        <v>4016084</v>
      </c>
      <c r="D232" s="56" t="s">
        <v>378</v>
      </c>
      <c r="E232" s="56" t="s">
        <v>381</v>
      </c>
      <c r="F232" s="45">
        <v>100</v>
      </c>
      <c r="G232" s="45"/>
      <c r="H232" s="45"/>
      <c r="I232" s="45"/>
      <c r="J232" s="46">
        <f>IF(VLOOKUP($C232,REV!$C:$AA,8,0)-'TRADE IN'!$F232=0,"",(VLOOKUP($C232,REV!$C:$AA,8,0)-'TRADE IN'!$F232))</f>
        <v>489</v>
      </c>
      <c r="K232" s="46">
        <f>IF(VLOOKUP($C232,REV!$C:$AA,9,0)-'TRADE IN'!$F232=0,"",(VLOOKUP($C232,REV!$C:$AA,9,0)-'TRADE IN'!$F232))</f>
        <v>489</v>
      </c>
      <c r="L232" s="46">
        <f>IF(VLOOKUP($C232,REV!$C:$AA,10,0)-'TRADE IN'!$F232=0,"",(VLOOKUP($C232,REV!$C:$AA,10,0)-'TRADE IN'!$F232))</f>
        <v>489</v>
      </c>
      <c r="M232" s="46">
        <f>IF(VLOOKUP($C232,REV!$C:$AA,11,0)-'TRADE IN'!$F232=0,"",(VLOOKUP($C232,REV!$C:$AA,11,0)-'TRADE IN'!$F232))</f>
        <v>489</v>
      </c>
      <c r="N232" s="46">
        <f>IF(VLOOKUP($C232,REV!$C:$AA,12,0)-'TRADE IN'!$F232=0,"",(VLOOKUP($C232,REV!$C:$AA,12,0)-'TRADE IN'!$F232))</f>
        <v>489</v>
      </c>
      <c r="O232" s="46">
        <f>IF(VLOOKUP($C232,REV!$C:$AA,13,0)-'TRADE IN'!$F232=0,"",(VLOOKUP($C232,REV!$C:$AA,13,0)-'TRADE IN'!$F232))</f>
        <v>489</v>
      </c>
      <c r="P232" s="46">
        <f>IF(VLOOKUP($C232,REV!$C:$AA,14,0)-'TRADE IN'!$F232=0,"",(VLOOKUP($C232,REV!$C:$AA,14,0)-'TRADE IN'!$F232))</f>
        <v>489</v>
      </c>
      <c r="Q232" s="46">
        <f>IF(VLOOKUP($C232,REV!$C:$AA,15,0)-'TRADE IN'!$F232=0,"",(VLOOKUP($C232,REV!$C:$AA,15,0)-'TRADE IN'!$F232))</f>
        <v>489</v>
      </c>
      <c r="R232" s="46">
        <f>IF(VLOOKUP($C232,REV!$C:$AA,16,0)-'TRADE IN'!$F232=0,"",(VLOOKUP($C232,REV!$C:$AA,16,0)-'TRADE IN'!$F232))</f>
        <v>489</v>
      </c>
      <c r="S232" s="46">
        <f>IF(VLOOKUP($C232,REV!$C:$AA,17,0)-'TRADE IN'!$F232=0,"",(VLOOKUP($C232,REV!$C:$AA,17,0)-'TRADE IN'!$F232))</f>
        <v>489</v>
      </c>
      <c r="T232" s="46">
        <f>IF(VLOOKUP($C232,REV!$C:$AA,18,0)-'TRADE IN'!$F232=0,"",(VLOOKUP($C232,REV!$C:$AA,18,0)-'TRADE IN'!$F232))</f>
        <v>489</v>
      </c>
      <c r="U232" s="46">
        <f>IF(VLOOKUP($C232,REV!$C:$AA,19,0)-'TRADE IN'!$F232=0,"",(VLOOKUP($C232,REV!$C:$AA,19,0)-'TRADE IN'!$F232))</f>
        <v>489</v>
      </c>
      <c r="V232" s="46">
        <f>IF(VLOOKUP($C232,REV!$C:$AA,20,0)-'TRADE IN'!$F232=0,"",(VLOOKUP($C232,REV!$C:$AA,20,0)-'TRADE IN'!$F232))</f>
        <v>489</v>
      </c>
      <c r="W232" s="46">
        <f>IF(VLOOKUP($C232,REV!$C:$AA,21,0)-'TRADE IN'!$F232=0,"",(VLOOKUP($C232,REV!$C:$AA,21,0)-'TRADE IN'!$F232))</f>
        <v>489</v>
      </c>
      <c r="X232" s="46">
        <f>IF(VLOOKUP($C232,REV!$C:$AA,22,0)-'TRADE IN'!$F232=0,"",(VLOOKUP($C232,REV!$C:$AA,22,0)-'TRADE IN'!$F232))</f>
        <v>489</v>
      </c>
      <c r="Y232" s="46">
        <f>IF(VLOOKUP($C232,REV!$C:$AA,23,0)-'TRADE IN'!$F232=0,"",(VLOOKUP($C232,REV!$C:$AA,23,0)-'TRADE IN'!$F232))</f>
        <v>489</v>
      </c>
      <c r="Z232" s="46">
        <f>IF(VLOOKUP($C232,REV!$C:$AA,24,0)-'TRADE IN'!$F232=0,"",(VLOOKUP($C232,REV!$C:$AA,24,0)-'TRADE IN'!$F232))</f>
        <v>489</v>
      </c>
      <c r="AA232" s="46">
        <f>IF(VLOOKUP($C232,REV!$C:$AA,25,0)-'TRADE IN'!$F232=0,"",(VLOOKUP($C232,REV!$C:$AA,25,0)-'TRADE IN'!$F232))</f>
        <v>489</v>
      </c>
      <c r="AB232" s="45"/>
      <c r="AC232" s="45"/>
      <c r="AD232" s="45"/>
      <c r="AE232" s="45"/>
      <c r="AF232" s="45"/>
      <c r="AG232" s="45"/>
      <c r="AH232" s="45"/>
      <c r="AI232" s="45"/>
      <c r="AJ232" s="45"/>
      <c r="AK232" s="45"/>
      <c r="AL232" s="45"/>
      <c r="AM232" s="45"/>
      <c r="AN232" s="45"/>
      <c r="AO232" s="45"/>
      <c r="AP232" s="45"/>
      <c r="AQ232" s="45"/>
      <c r="AR232" s="45"/>
      <c r="AS232" s="45"/>
      <c r="AT232" s="45"/>
      <c r="AU232" s="45"/>
      <c r="AV232" s="47"/>
      <c r="AW232" s="48" t="str">
        <f>REV!AW232</f>
        <v>13.08.2026</v>
      </c>
      <c r="AX232" s="149" t="s">
        <v>68</v>
      </c>
    </row>
    <row r="233" spans="1:50" ht="22.5" customHeight="1">
      <c r="A233" s="55" t="s">
        <v>222</v>
      </c>
      <c r="B233" s="42" t="s">
        <v>64</v>
      </c>
      <c r="C233" s="43">
        <v>4016087</v>
      </c>
      <c r="D233" s="56" t="s">
        <v>378</v>
      </c>
      <c r="E233" s="56" t="s">
        <v>382</v>
      </c>
      <c r="F233" s="45">
        <v>100</v>
      </c>
      <c r="G233" s="45"/>
      <c r="H233" s="45"/>
      <c r="I233" s="45"/>
      <c r="J233" s="46">
        <f>IF(VLOOKUP($C233,REV!$C:$AA,8,0)-'TRADE IN'!$F233=0,"",(VLOOKUP($C233,REV!$C:$AA,8,0)-'TRADE IN'!$F233))</f>
        <v>489</v>
      </c>
      <c r="K233" s="46">
        <f>IF(VLOOKUP($C233,REV!$C:$AA,9,0)-'TRADE IN'!$F233=0,"",(VLOOKUP($C233,REV!$C:$AA,9,0)-'TRADE IN'!$F233))</f>
        <v>489</v>
      </c>
      <c r="L233" s="46">
        <f>IF(VLOOKUP($C233,REV!$C:$AA,10,0)-'TRADE IN'!$F233=0,"",(VLOOKUP($C233,REV!$C:$AA,10,0)-'TRADE IN'!$F233))</f>
        <v>489</v>
      </c>
      <c r="M233" s="46">
        <f>IF(VLOOKUP($C233,REV!$C:$AA,11,0)-'TRADE IN'!$F233=0,"",(VLOOKUP($C233,REV!$C:$AA,11,0)-'TRADE IN'!$F233))</f>
        <v>489</v>
      </c>
      <c r="N233" s="46">
        <f>IF(VLOOKUP($C233,REV!$C:$AA,12,0)-'TRADE IN'!$F233=0,"",(VLOOKUP($C233,REV!$C:$AA,12,0)-'TRADE IN'!$F233))</f>
        <v>489</v>
      </c>
      <c r="O233" s="46">
        <f>IF(VLOOKUP($C233,REV!$C:$AA,13,0)-'TRADE IN'!$F233=0,"",(VLOOKUP($C233,REV!$C:$AA,13,0)-'TRADE IN'!$F233))</f>
        <v>489</v>
      </c>
      <c r="P233" s="46">
        <f>IF(VLOOKUP($C233,REV!$C:$AA,14,0)-'TRADE IN'!$F233=0,"",(VLOOKUP($C233,REV!$C:$AA,14,0)-'TRADE IN'!$F233))</f>
        <v>489</v>
      </c>
      <c r="Q233" s="46">
        <f>IF(VLOOKUP($C233,REV!$C:$AA,15,0)-'TRADE IN'!$F233=0,"",(VLOOKUP($C233,REV!$C:$AA,15,0)-'TRADE IN'!$F233))</f>
        <v>489</v>
      </c>
      <c r="R233" s="46">
        <f>IF(VLOOKUP($C233,REV!$C:$AA,16,0)-'TRADE IN'!$F233=0,"",(VLOOKUP($C233,REV!$C:$AA,16,0)-'TRADE IN'!$F233))</f>
        <v>489</v>
      </c>
      <c r="S233" s="46">
        <f>IF(VLOOKUP($C233,REV!$C:$AA,17,0)-'TRADE IN'!$F233=0,"",(VLOOKUP($C233,REV!$C:$AA,17,0)-'TRADE IN'!$F233))</f>
        <v>489</v>
      </c>
      <c r="T233" s="46">
        <f>IF(VLOOKUP($C233,REV!$C:$AA,18,0)-'TRADE IN'!$F233=0,"",(VLOOKUP($C233,REV!$C:$AA,18,0)-'TRADE IN'!$F233))</f>
        <v>489</v>
      </c>
      <c r="U233" s="46">
        <f>IF(VLOOKUP($C233,REV!$C:$AA,19,0)-'TRADE IN'!$F233=0,"",(VLOOKUP($C233,REV!$C:$AA,19,0)-'TRADE IN'!$F233))</f>
        <v>489</v>
      </c>
      <c r="V233" s="46">
        <f>IF(VLOOKUP($C233,REV!$C:$AA,20,0)-'TRADE IN'!$F233=0,"",(VLOOKUP($C233,REV!$C:$AA,20,0)-'TRADE IN'!$F233))</f>
        <v>489</v>
      </c>
      <c r="W233" s="46">
        <f>IF(VLOOKUP($C233,REV!$C:$AA,21,0)-'TRADE IN'!$F233=0,"",(VLOOKUP($C233,REV!$C:$AA,21,0)-'TRADE IN'!$F233))</f>
        <v>489</v>
      </c>
      <c r="X233" s="46">
        <f>IF(VLOOKUP($C233,REV!$C:$AA,22,0)-'TRADE IN'!$F233=0,"",(VLOOKUP($C233,REV!$C:$AA,22,0)-'TRADE IN'!$F233))</f>
        <v>489</v>
      </c>
      <c r="Y233" s="46">
        <f>IF(VLOOKUP($C233,REV!$C:$AA,23,0)-'TRADE IN'!$F233=0,"",(VLOOKUP($C233,REV!$C:$AA,23,0)-'TRADE IN'!$F233))</f>
        <v>489</v>
      </c>
      <c r="Z233" s="46">
        <f>IF(VLOOKUP($C233,REV!$C:$AA,24,0)-'TRADE IN'!$F233=0,"",(VLOOKUP($C233,REV!$C:$AA,24,0)-'TRADE IN'!$F233))</f>
        <v>489</v>
      </c>
      <c r="AA233" s="46">
        <f>IF(VLOOKUP($C233,REV!$C:$AA,25,0)-'TRADE IN'!$F233=0,"",(VLOOKUP($C233,REV!$C:$AA,25,0)-'TRADE IN'!$F233))</f>
        <v>489</v>
      </c>
      <c r="AB233" s="45"/>
      <c r="AC233" s="45"/>
      <c r="AD233" s="45"/>
      <c r="AE233" s="45"/>
      <c r="AF233" s="45"/>
      <c r="AG233" s="45"/>
      <c r="AH233" s="45"/>
      <c r="AI233" s="45"/>
      <c r="AJ233" s="45"/>
      <c r="AK233" s="45"/>
      <c r="AL233" s="45"/>
      <c r="AM233" s="45"/>
      <c r="AN233" s="45"/>
      <c r="AO233" s="45"/>
      <c r="AP233" s="45"/>
      <c r="AQ233" s="45"/>
      <c r="AR233" s="45"/>
      <c r="AS233" s="45"/>
      <c r="AT233" s="45"/>
      <c r="AU233" s="45"/>
      <c r="AV233" s="47"/>
      <c r="AW233" s="48" t="str">
        <f>REV!AW233</f>
        <v>13.08.2026</v>
      </c>
      <c r="AX233" s="149" t="s">
        <v>68</v>
      </c>
    </row>
    <row r="234" spans="1:50" ht="22.5" customHeight="1">
      <c r="A234" s="55" t="s">
        <v>222</v>
      </c>
      <c r="B234" s="42" t="s">
        <v>64</v>
      </c>
      <c r="C234" s="43">
        <v>4016668</v>
      </c>
      <c r="D234" s="56" t="s">
        <v>383</v>
      </c>
      <c r="E234" s="56" t="s">
        <v>384</v>
      </c>
      <c r="F234" s="45">
        <v>100</v>
      </c>
      <c r="G234" s="45"/>
      <c r="H234" s="45"/>
      <c r="I234" s="45"/>
      <c r="J234" s="46">
        <f>IF(VLOOKUP($C234,REV!$C:$AA,8,0)-'TRADE IN'!$F234=0,"",(VLOOKUP($C234,REV!$C:$AA,8,0)-'TRADE IN'!$F234))</f>
        <v>899</v>
      </c>
      <c r="K234" s="46">
        <f>IF(VLOOKUP($C234,REV!$C:$AA,9,0)-'TRADE IN'!$F234=0,"",(VLOOKUP($C234,REV!$C:$AA,9,0)-'TRADE IN'!$F234))</f>
        <v>699</v>
      </c>
      <c r="L234" s="46">
        <f>IF(VLOOKUP($C234,REV!$C:$AA,10,0)-'TRADE IN'!$F234=0,"",(VLOOKUP($C234,REV!$C:$AA,10,0)-'TRADE IN'!$F234))</f>
        <v>699</v>
      </c>
      <c r="M234" s="46">
        <f>IF(VLOOKUP($C234,REV!$C:$AA,11,0)-'TRADE IN'!$F234=0,"",(VLOOKUP($C234,REV!$C:$AA,11,0)-'TRADE IN'!$F234))</f>
        <v>899</v>
      </c>
      <c r="N234" s="46">
        <f>IF(VLOOKUP($C234,REV!$C:$AA,12,0)-'TRADE IN'!$F234=0,"",(VLOOKUP($C234,REV!$C:$AA,12,0)-'TRADE IN'!$F234))</f>
        <v>699</v>
      </c>
      <c r="O234" s="46">
        <f>IF(VLOOKUP($C234,REV!$C:$AA,13,0)-'TRADE IN'!$F234=0,"",(VLOOKUP($C234,REV!$C:$AA,13,0)-'TRADE IN'!$F234))</f>
        <v>699</v>
      </c>
      <c r="P234" s="46">
        <f>IF(VLOOKUP($C234,REV!$C:$AA,14,0)-'TRADE IN'!$F234=0,"",(VLOOKUP($C234,REV!$C:$AA,14,0)-'TRADE IN'!$F234))</f>
        <v>699</v>
      </c>
      <c r="Q234" s="46">
        <f>IF(VLOOKUP($C234,REV!$C:$AA,15,0)-'TRADE IN'!$F234=0,"",(VLOOKUP($C234,REV!$C:$AA,15,0)-'TRADE IN'!$F234))</f>
        <v>599</v>
      </c>
      <c r="R234" s="46">
        <f>IF(VLOOKUP($C234,REV!$C:$AA,16,0)-'TRADE IN'!$F234=0,"",(VLOOKUP($C234,REV!$C:$AA,16,0)-'TRADE IN'!$F234))</f>
        <v>699</v>
      </c>
      <c r="S234" s="46">
        <f>IF(VLOOKUP($C234,REV!$C:$AA,17,0)-'TRADE IN'!$F234=0,"",(VLOOKUP($C234,REV!$C:$AA,17,0)-'TRADE IN'!$F234))</f>
        <v>699</v>
      </c>
      <c r="T234" s="46">
        <f>IF(VLOOKUP($C234,REV!$C:$AA,18,0)-'TRADE IN'!$F234=0,"",(VLOOKUP($C234,REV!$C:$AA,18,0)-'TRADE IN'!$F234))</f>
        <v>599</v>
      </c>
      <c r="U234" s="46">
        <f>IF(VLOOKUP($C234,REV!$C:$AA,19,0)-'TRADE IN'!$F234=0,"",(VLOOKUP($C234,REV!$C:$AA,19,0)-'TRADE IN'!$F234))</f>
        <v>599</v>
      </c>
      <c r="V234" s="46">
        <f>IF(VLOOKUP($C234,REV!$C:$AA,20,0)-'TRADE IN'!$F234=0,"",(VLOOKUP($C234,REV!$C:$AA,20,0)-'TRADE IN'!$F234))</f>
        <v>599</v>
      </c>
      <c r="W234" s="46">
        <f>IF(VLOOKUP($C234,REV!$C:$AA,21,0)-'TRADE IN'!$F234=0,"",(VLOOKUP($C234,REV!$C:$AA,21,0)-'TRADE IN'!$F234))</f>
        <v>599</v>
      </c>
      <c r="X234" s="46">
        <f>IF(VLOOKUP($C234,REV!$C:$AA,22,0)-'TRADE IN'!$F234=0,"",(VLOOKUP($C234,REV!$C:$AA,22,0)-'TRADE IN'!$F234))</f>
        <v>599</v>
      </c>
      <c r="Y234" s="46">
        <f>IF(VLOOKUP($C234,REV!$C:$AA,23,0)-'TRADE IN'!$F234=0,"",(VLOOKUP($C234,REV!$C:$AA,23,0)-'TRADE IN'!$F234))</f>
        <v>599</v>
      </c>
      <c r="Z234" s="46">
        <f>IF(VLOOKUP($C234,REV!$C:$AA,24,0)-'TRADE IN'!$F234=0,"",(VLOOKUP($C234,REV!$C:$AA,24,0)-'TRADE IN'!$F234))</f>
        <v>599</v>
      </c>
      <c r="AA234" s="46">
        <f>IF(VLOOKUP($C234,REV!$C:$AA,25,0)-'TRADE IN'!$F234=0,"",(VLOOKUP($C234,REV!$C:$AA,25,0)-'TRADE IN'!$F234))</f>
        <v>599</v>
      </c>
      <c r="AB234" s="45"/>
      <c r="AC234" s="45"/>
      <c r="AD234" s="45"/>
      <c r="AE234" s="45"/>
      <c r="AF234" s="45"/>
      <c r="AG234" s="45"/>
      <c r="AH234" s="45"/>
      <c r="AI234" s="45"/>
      <c r="AJ234" s="45"/>
      <c r="AK234" s="45"/>
      <c r="AL234" s="45"/>
      <c r="AM234" s="45"/>
      <c r="AN234" s="45"/>
      <c r="AO234" s="45"/>
      <c r="AP234" s="45"/>
      <c r="AQ234" s="45"/>
      <c r="AR234" s="45"/>
      <c r="AS234" s="45"/>
      <c r="AT234" s="45"/>
      <c r="AU234" s="45"/>
      <c r="AV234" s="47"/>
      <c r="AW234" s="48" t="str">
        <f>REV!AW234</f>
        <v>13.08.2026</v>
      </c>
      <c r="AX234" s="149" t="s">
        <v>68</v>
      </c>
    </row>
    <row r="235" spans="1:50" ht="22.5" customHeight="1">
      <c r="A235" s="55" t="s">
        <v>222</v>
      </c>
      <c r="B235" s="42" t="s">
        <v>64</v>
      </c>
      <c r="C235" s="43">
        <v>4016714</v>
      </c>
      <c r="D235" s="56" t="s">
        <v>383</v>
      </c>
      <c r="E235" s="56" t="s">
        <v>385</v>
      </c>
      <c r="F235" s="45">
        <v>100</v>
      </c>
      <c r="G235" s="45"/>
      <c r="H235" s="45"/>
      <c r="I235" s="45"/>
      <c r="J235" s="46">
        <f>IF(VLOOKUP($C235,REV!$C:$AA,8,0)-'TRADE IN'!$F235=0,"",(VLOOKUP($C235,REV!$C:$AA,8,0)-'TRADE IN'!$F235))</f>
        <v>899</v>
      </c>
      <c r="K235" s="46">
        <f>IF(VLOOKUP($C235,REV!$C:$AA,9,0)-'TRADE IN'!$F235=0,"",(VLOOKUP($C235,REV!$C:$AA,9,0)-'TRADE IN'!$F235))</f>
        <v>699</v>
      </c>
      <c r="L235" s="46">
        <f>IF(VLOOKUP($C235,REV!$C:$AA,10,0)-'TRADE IN'!$F235=0,"",(VLOOKUP($C235,REV!$C:$AA,10,0)-'TRADE IN'!$F235))</f>
        <v>699</v>
      </c>
      <c r="M235" s="46">
        <f>IF(VLOOKUP($C235,REV!$C:$AA,11,0)-'TRADE IN'!$F235=0,"",(VLOOKUP($C235,REV!$C:$AA,11,0)-'TRADE IN'!$F235))</f>
        <v>899</v>
      </c>
      <c r="N235" s="46">
        <f>IF(VLOOKUP($C235,REV!$C:$AA,12,0)-'TRADE IN'!$F235=0,"",(VLOOKUP($C235,REV!$C:$AA,12,0)-'TRADE IN'!$F235))</f>
        <v>699</v>
      </c>
      <c r="O235" s="46">
        <f>IF(VLOOKUP($C235,REV!$C:$AA,13,0)-'TRADE IN'!$F235=0,"",(VLOOKUP($C235,REV!$C:$AA,13,0)-'TRADE IN'!$F235))</f>
        <v>699</v>
      </c>
      <c r="P235" s="46">
        <f>IF(VLOOKUP($C235,REV!$C:$AA,14,0)-'TRADE IN'!$F235=0,"",(VLOOKUP($C235,REV!$C:$AA,14,0)-'TRADE IN'!$F235))</f>
        <v>699</v>
      </c>
      <c r="Q235" s="46">
        <f>IF(VLOOKUP($C235,REV!$C:$AA,15,0)-'TRADE IN'!$F235=0,"",(VLOOKUP($C235,REV!$C:$AA,15,0)-'TRADE IN'!$F235))</f>
        <v>599</v>
      </c>
      <c r="R235" s="46">
        <f>IF(VLOOKUP($C235,REV!$C:$AA,16,0)-'TRADE IN'!$F235=0,"",(VLOOKUP($C235,REV!$C:$AA,16,0)-'TRADE IN'!$F235))</f>
        <v>699</v>
      </c>
      <c r="S235" s="46">
        <f>IF(VLOOKUP($C235,REV!$C:$AA,17,0)-'TRADE IN'!$F235=0,"",(VLOOKUP($C235,REV!$C:$AA,17,0)-'TRADE IN'!$F235))</f>
        <v>699</v>
      </c>
      <c r="T235" s="46">
        <f>IF(VLOOKUP($C235,REV!$C:$AA,18,0)-'TRADE IN'!$F235=0,"",(VLOOKUP($C235,REV!$C:$AA,18,0)-'TRADE IN'!$F235))</f>
        <v>599</v>
      </c>
      <c r="U235" s="46">
        <f>IF(VLOOKUP($C235,REV!$C:$AA,19,0)-'TRADE IN'!$F235=0,"",(VLOOKUP($C235,REV!$C:$AA,19,0)-'TRADE IN'!$F235))</f>
        <v>599</v>
      </c>
      <c r="V235" s="46">
        <f>IF(VLOOKUP($C235,REV!$C:$AA,20,0)-'TRADE IN'!$F235=0,"",(VLOOKUP($C235,REV!$C:$AA,20,0)-'TRADE IN'!$F235))</f>
        <v>599</v>
      </c>
      <c r="W235" s="46">
        <f>IF(VLOOKUP($C235,REV!$C:$AA,21,0)-'TRADE IN'!$F235=0,"",(VLOOKUP($C235,REV!$C:$AA,21,0)-'TRADE IN'!$F235))</f>
        <v>599</v>
      </c>
      <c r="X235" s="46">
        <f>IF(VLOOKUP($C235,REV!$C:$AA,22,0)-'TRADE IN'!$F235=0,"",(VLOOKUP($C235,REV!$C:$AA,22,0)-'TRADE IN'!$F235))</f>
        <v>599</v>
      </c>
      <c r="Y235" s="46">
        <f>IF(VLOOKUP($C235,REV!$C:$AA,23,0)-'TRADE IN'!$F235=0,"",(VLOOKUP($C235,REV!$C:$AA,23,0)-'TRADE IN'!$F235))</f>
        <v>599</v>
      </c>
      <c r="Z235" s="46">
        <f>IF(VLOOKUP($C235,REV!$C:$AA,24,0)-'TRADE IN'!$F235=0,"",(VLOOKUP($C235,REV!$C:$AA,24,0)-'TRADE IN'!$F235))</f>
        <v>599</v>
      </c>
      <c r="AA235" s="46">
        <f>IF(VLOOKUP($C235,REV!$C:$AA,25,0)-'TRADE IN'!$F235=0,"",(VLOOKUP($C235,REV!$C:$AA,25,0)-'TRADE IN'!$F235))</f>
        <v>599</v>
      </c>
      <c r="AB235" s="45"/>
      <c r="AC235" s="45"/>
      <c r="AD235" s="45"/>
      <c r="AE235" s="45"/>
      <c r="AF235" s="45"/>
      <c r="AG235" s="45"/>
      <c r="AH235" s="45"/>
      <c r="AI235" s="45"/>
      <c r="AJ235" s="45"/>
      <c r="AK235" s="45"/>
      <c r="AL235" s="45"/>
      <c r="AM235" s="45"/>
      <c r="AN235" s="45"/>
      <c r="AO235" s="45"/>
      <c r="AP235" s="45"/>
      <c r="AQ235" s="45"/>
      <c r="AR235" s="45"/>
      <c r="AS235" s="45"/>
      <c r="AT235" s="45"/>
      <c r="AU235" s="45"/>
      <c r="AV235" s="47"/>
      <c r="AW235" s="48" t="str">
        <f>REV!AW235</f>
        <v>13.08.2026</v>
      </c>
      <c r="AX235" s="149" t="s">
        <v>68</v>
      </c>
    </row>
    <row r="236" spans="1:50" ht="22.5" customHeight="1">
      <c r="A236" s="55" t="s">
        <v>222</v>
      </c>
      <c r="B236" s="42" t="s">
        <v>64</v>
      </c>
      <c r="C236" s="43">
        <v>4016710</v>
      </c>
      <c r="D236" s="56" t="s">
        <v>383</v>
      </c>
      <c r="E236" s="56" t="s">
        <v>386</v>
      </c>
      <c r="F236" s="45">
        <v>100</v>
      </c>
      <c r="G236" s="45"/>
      <c r="H236" s="45"/>
      <c r="I236" s="45"/>
      <c r="J236" s="46">
        <f>IF(VLOOKUP($C236,REV!$C:$AA,8,0)-'TRADE IN'!$F236=0,"",(VLOOKUP($C236,REV!$C:$AA,8,0)-'TRADE IN'!$F236))</f>
        <v>899</v>
      </c>
      <c r="K236" s="46">
        <f>IF(VLOOKUP($C236,REV!$C:$AA,9,0)-'TRADE IN'!$F236=0,"",(VLOOKUP($C236,REV!$C:$AA,9,0)-'TRADE IN'!$F236))</f>
        <v>699</v>
      </c>
      <c r="L236" s="46">
        <f>IF(VLOOKUP($C236,REV!$C:$AA,10,0)-'TRADE IN'!$F236=0,"",(VLOOKUP($C236,REV!$C:$AA,10,0)-'TRADE IN'!$F236))</f>
        <v>699</v>
      </c>
      <c r="M236" s="46">
        <f>IF(VLOOKUP($C236,REV!$C:$AA,11,0)-'TRADE IN'!$F236=0,"",(VLOOKUP($C236,REV!$C:$AA,11,0)-'TRADE IN'!$F236))</f>
        <v>899</v>
      </c>
      <c r="N236" s="46">
        <f>IF(VLOOKUP($C236,REV!$C:$AA,12,0)-'TRADE IN'!$F236=0,"",(VLOOKUP($C236,REV!$C:$AA,12,0)-'TRADE IN'!$F236))</f>
        <v>699</v>
      </c>
      <c r="O236" s="46">
        <f>IF(VLOOKUP($C236,REV!$C:$AA,13,0)-'TRADE IN'!$F236=0,"",(VLOOKUP($C236,REV!$C:$AA,13,0)-'TRADE IN'!$F236))</f>
        <v>699</v>
      </c>
      <c r="P236" s="46">
        <f>IF(VLOOKUP($C236,REV!$C:$AA,14,0)-'TRADE IN'!$F236=0,"",(VLOOKUP($C236,REV!$C:$AA,14,0)-'TRADE IN'!$F236))</f>
        <v>699</v>
      </c>
      <c r="Q236" s="46">
        <f>IF(VLOOKUP($C236,REV!$C:$AA,15,0)-'TRADE IN'!$F236=0,"",(VLOOKUP($C236,REV!$C:$AA,15,0)-'TRADE IN'!$F236))</f>
        <v>599</v>
      </c>
      <c r="R236" s="46">
        <f>IF(VLOOKUP($C236,REV!$C:$AA,16,0)-'TRADE IN'!$F236=0,"",(VLOOKUP($C236,REV!$C:$AA,16,0)-'TRADE IN'!$F236))</f>
        <v>699</v>
      </c>
      <c r="S236" s="46">
        <f>IF(VLOOKUP($C236,REV!$C:$AA,17,0)-'TRADE IN'!$F236=0,"",(VLOOKUP($C236,REV!$C:$AA,17,0)-'TRADE IN'!$F236))</f>
        <v>699</v>
      </c>
      <c r="T236" s="46">
        <f>IF(VLOOKUP($C236,REV!$C:$AA,18,0)-'TRADE IN'!$F236=0,"",(VLOOKUP($C236,REV!$C:$AA,18,0)-'TRADE IN'!$F236))</f>
        <v>599</v>
      </c>
      <c r="U236" s="46">
        <f>IF(VLOOKUP($C236,REV!$C:$AA,19,0)-'TRADE IN'!$F236=0,"",(VLOOKUP($C236,REV!$C:$AA,19,0)-'TRADE IN'!$F236))</f>
        <v>599</v>
      </c>
      <c r="V236" s="46">
        <f>IF(VLOOKUP($C236,REV!$C:$AA,20,0)-'TRADE IN'!$F236=0,"",(VLOOKUP($C236,REV!$C:$AA,20,0)-'TRADE IN'!$F236))</f>
        <v>599</v>
      </c>
      <c r="W236" s="46">
        <f>IF(VLOOKUP($C236,REV!$C:$AA,21,0)-'TRADE IN'!$F236=0,"",(VLOOKUP($C236,REV!$C:$AA,21,0)-'TRADE IN'!$F236))</f>
        <v>599</v>
      </c>
      <c r="X236" s="46">
        <f>IF(VLOOKUP($C236,REV!$C:$AA,22,0)-'TRADE IN'!$F236=0,"",(VLOOKUP($C236,REV!$C:$AA,22,0)-'TRADE IN'!$F236))</f>
        <v>599</v>
      </c>
      <c r="Y236" s="46">
        <f>IF(VLOOKUP($C236,REV!$C:$AA,23,0)-'TRADE IN'!$F236=0,"",(VLOOKUP($C236,REV!$C:$AA,23,0)-'TRADE IN'!$F236))</f>
        <v>599</v>
      </c>
      <c r="Z236" s="46">
        <f>IF(VLOOKUP($C236,REV!$C:$AA,24,0)-'TRADE IN'!$F236=0,"",(VLOOKUP($C236,REV!$C:$AA,24,0)-'TRADE IN'!$F236))</f>
        <v>599</v>
      </c>
      <c r="AA236" s="46">
        <f>IF(VLOOKUP($C236,REV!$C:$AA,25,0)-'TRADE IN'!$F236=0,"",(VLOOKUP($C236,REV!$C:$AA,25,0)-'TRADE IN'!$F236))</f>
        <v>599</v>
      </c>
      <c r="AB236" s="45"/>
      <c r="AC236" s="45"/>
      <c r="AD236" s="45"/>
      <c r="AE236" s="45"/>
      <c r="AF236" s="45"/>
      <c r="AG236" s="45"/>
      <c r="AH236" s="45"/>
      <c r="AI236" s="45"/>
      <c r="AJ236" s="45"/>
      <c r="AK236" s="45"/>
      <c r="AL236" s="45"/>
      <c r="AM236" s="45"/>
      <c r="AN236" s="45"/>
      <c r="AO236" s="45"/>
      <c r="AP236" s="45"/>
      <c r="AQ236" s="45"/>
      <c r="AR236" s="45"/>
      <c r="AS236" s="45"/>
      <c r="AT236" s="45"/>
      <c r="AU236" s="45"/>
      <c r="AV236" s="47"/>
      <c r="AW236" s="48" t="str">
        <f>REV!AW236</f>
        <v>13.08.2026</v>
      </c>
      <c r="AX236" s="149" t="s">
        <v>68</v>
      </c>
    </row>
    <row r="237" spans="1:50" ht="22.5" customHeight="1">
      <c r="A237" s="55" t="s">
        <v>222</v>
      </c>
      <c r="B237" s="42" t="s">
        <v>64</v>
      </c>
      <c r="C237" s="43">
        <v>4016716</v>
      </c>
      <c r="D237" s="56" t="s">
        <v>383</v>
      </c>
      <c r="E237" s="56" t="s">
        <v>387</v>
      </c>
      <c r="F237" s="45">
        <v>100</v>
      </c>
      <c r="G237" s="45"/>
      <c r="H237" s="45"/>
      <c r="I237" s="45"/>
      <c r="J237" s="46">
        <f>IF(VLOOKUP($C237,REV!$C:$AA,8,0)-'TRADE IN'!$F237=0,"",(VLOOKUP($C237,REV!$C:$AA,8,0)-'TRADE IN'!$F237))</f>
        <v>899</v>
      </c>
      <c r="K237" s="46">
        <f>IF(VLOOKUP($C237,REV!$C:$AA,9,0)-'TRADE IN'!$F237=0,"",(VLOOKUP($C237,REV!$C:$AA,9,0)-'TRADE IN'!$F237))</f>
        <v>699</v>
      </c>
      <c r="L237" s="46">
        <f>IF(VLOOKUP($C237,REV!$C:$AA,10,0)-'TRADE IN'!$F237=0,"",(VLOOKUP($C237,REV!$C:$AA,10,0)-'TRADE IN'!$F237))</f>
        <v>699</v>
      </c>
      <c r="M237" s="46">
        <f>IF(VLOOKUP($C237,REV!$C:$AA,11,0)-'TRADE IN'!$F237=0,"",(VLOOKUP($C237,REV!$C:$AA,11,0)-'TRADE IN'!$F237))</f>
        <v>899</v>
      </c>
      <c r="N237" s="46">
        <f>IF(VLOOKUP($C237,REV!$C:$AA,12,0)-'TRADE IN'!$F237=0,"",(VLOOKUP($C237,REV!$C:$AA,12,0)-'TRADE IN'!$F237))</f>
        <v>699</v>
      </c>
      <c r="O237" s="46">
        <f>IF(VLOOKUP($C237,REV!$C:$AA,13,0)-'TRADE IN'!$F237=0,"",(VLOOKUP($C237,REV!$C:$AA,13,0)-'TRADE IN'!$F237))</f>
        <v>699</v>
      </c>
      <c r="P237" s="46">
        <f>IF(VLOOKUP($C237,REV!$C:$AA,14,0)-'TRADE IN'!$F237=0,"",(VLOOKUP($C237,REV!$C:$AA,14,0)-'TRADE IN'!$F237))</f>
        <v>699</v>
      </c>
      <c r="Q237" s="46">
        <f>IF(VLOOKUP($C237,REV!$C:$AA,15,0)-'TRADE IN'!$F237=0,"",(VLOOKUP($C237,REV!$C:$AA,15,0)-'TRADE IN'!$F237))</f>
        <v>599</v>
      </c>
      <c r="R237" s="46">
        <f>IF(VLOOKUP($C237,REV!$C:$AA,16,0)-'TRADE IN'!$F237=0,"",(VLOOKUP($C237,REV!$C:$AA,16,0)-'TRADE IN'!$F237))</f>
        <v>699</v>
      </c>
      <c r="S237" s="46">
        <f>IF(VLOOKUP($C237,REV!$C:$AA,17,0)-'TRADE IN'!$F237=0,"",(VLOOKUP($C237,REV!$C:$AA,17,0)-'TRADE IN'!$F237))</f>
        <v>699</v>
      </c>
      <c r="T237" s="46">
        <f>IF(VLOOKUP($C237,REV!$C:$AA,18,0)-'TRADE IN'!$F237=0,"",(VLOOKUP($C237,REV!$C:$AA,18,0)-'TRADE IN'!$F237))</f>
        <v>599</v>
      </c>
      <c r="U237" s="46">
        <f>IF(VLOOKUP($C237,REV!$C:$AA,19,0)-'TRADE IN'!$F237=0,"",(VLOOKUP($C237,REV!$C:$AA,19,0)-'TRADE IN'!$F237))</f>
        <v>599</v>
      </c>
      <c r="V237" s="46">
        <f>IF(VLOOKUP($C237,REV!$C:$AA,20,0)-'TRADE IN'!$F237=0,"",(VLOOKUP($C237,REV!$C:$AA,20,0)-'TRADE IN'!$F237))</f>
        <v>599</v>
      </c>
      <c r="W237" s="46">
        <f>IF(VLOOKUP($C237,REV!$C:$AA,21,0)-'TRADE IN'!$F237=0,"",(VLOOKUP($C237,REV!$C:$AA,21,0)-'TRADE IN'!$F237))</f>
        <v>599</v>
      </c>
      <c r="X237" s="46">
        <f>IF(VLOOKUP($C237,REV!$C:$AA,22,0)-'TRADE IN'!$F237=0,"",(VLOOKUP($C237,REV!$C:$AA,22,0)-'TRADE IN'!$F237))</f>
        <v>599</v>
      </c>
      <c r="Y237" s="46">
        <f>IF(VLOOKUP($C237,REV!$C:$AA,23,0)-'TRADE IN'!$F237=0,"",(VLOOKUP($C237,REV!$C:$AA,23,0)-'TRADE IN'!$F237))</f>
        <v>599</v>
      </c>
      <c r="Z237" s="46">
        <f>IF(VLOOKUP($C237,REV!$C:$AA,24,0)-'TRADE IN'!$F237=0,"",(VLOOKUP($C237,REV!$C:$AA,24,0)-'TRADE IN'!$F237))</f>
        <v>599</v>
      </c>
      <c r="AA237" s="46">
        <f>IF(VLOOKUP($C237,REV!$C:$AA,25,0)-'TRADE IN'!$F237=0,"",(VLOOKUP($C237,REV!$C:$AA,25,0)-'TRADE IN'!$F237))</f>
        <v>599</v>
      </c>
      <c r="AB237" s="45"/>
      <c r="AC237" s="45"/>
      <c r="AD237" s="45"/>
      <c r="AE237" s="45"/>
      <c r="AF237" s="45"/>
      <c r="AG237" s="45"/>
      <c r="AH237" s="45"/>
      <c r="AI237" s="45"/>
      <c r="AJ237" s="45"/>
      <c r="AK237" s="45"/>
      <c r="AL237" s="45"/>
      <c r="AM237" s="45"/>
      <c r="AN237" s="45"/>
      <c r="AO237" s="45"/>
      <c r="AP237" s="45"/>
      <c r="AQ237" s="45"/>
      <c r="AR237" s="45"/>
      <c r="AS237" s="45"/>
      <c r="AT237" s="45"/>
      <c r="AU237" s="45"/>
      <c r="AV237" s="47"/>
      <c r="AW237" s="48" t="str">
        <f>REV!AW237</f>
        <v>13.08.2026</v>
      </c>
      <c r="AX237" s="149" t="s">
        <v>68</v>
      </c>
    </row>
    <row r="238" spans="1:50" ht="22.5" customHeight="1">
      <c r="A238" s="55" t="s">
        <v>222</v>
      </c>
      <c r="B238" s="42" t="s">
        <v>64</v>
      </c>
      <c r="C238" s="43">
        <v>4016753</v>
      </c>
      <c r="D238" s="56" t="s">
        <v>383</v>
      </c>
      <c r="E238" s="56" t="s">
        <v>388</v>
      </c>
      <c r="F238" s="45">
        <v>100</v>
      </c>
      <c r="G238" s="45"/>
      <c r="H238" s="45"/>
      <c r="I238" s="45"/>
      <c r="J238" s="46">
        <f>IF(VLOOKUP($C238,REV!$C:$AA,8,0)-'TRADE IN'!$F238=0,"",(VLOOKUP($C238,REV!$C:$AA,8,0)-'TRADE IN'!$F238))</f>
        <v>899</v>
      </c>
      <c r="K238" s="46">
        <f>IF(VLOOKUP($C238,REV!$C:$AA,9,0)-'TRADE IN'!$F238=0,"",(VLOOKUP($C238,REV!$C:$AA,9,0)-'TRADE IN'!$F238))</f>
        <v>699</v>
      </c>
      <c r="L238" s="46">
        <f>IF(VLOOKUP($C238,REV!$C:$AA,10,0)-'TRADE IN'!$F238=0,"",(VLOOKUP($C238,REV!$C:$AA,10,0)-'TRADE IN'!$F238))</f>
        <v>699</v>
      </c>
      <c r="M238" s="46">
        <f>IF(VLOOKUP($C238,REV!$C:$AA,11,0)-'TRADE IN'!$F238=0,"",(VLOOKUP($C238,REV!$C:$AA,11,0)-'TRADE IN'!$F238))</f>
        <v>899</v>
      </c>
      <c r="N238" s="46">
        <f>IF(VLOOKUP($C238,REV!$C:$AA,12,0)-'TRADE IN'!$F238=0,"",(VLOOKUP($C238,REV!$C:$AA,12,0)-'TRADE IN'!$F238))</f>
        <v>699</v>
      </c>
      <c r="O238" s="46">
        <f>IF(VLOOKUP($C238,REV!$C:$AA,13,0)-'TRADE IN'!$F238=0,"",(VLOOKUP($C238,REV!$C:$AA,13,0)-'TRADE IN'!$F238))</f>
        <v>699</v>
      </c>
      <c r="P238" s="46">
        <f>IF(VLOOKUP($C238,REV!$C:$AA,14,0)-'TRADE IN'!$F238=0,"",(VLOOKUP($C238,REV!$C:$AA,14,0)-'TRADE IN'!$F238))</f>
        <v>699</v>
      </c>
      <c r="Q238" s="46">
        <f>IF(VLOOKUP($C238,REV!$C:$AA,15,0)-'TRADE IN'!$F238=0,"",(VLOOKUP($C238,REV!$C:$AA,15,0)-'TRADE IN'!$F238))</f>
        <v>599</v>
      </c>
      <c r="R238" s="46">
        <f>IF(VLOOKUP($C238,REV!$C:$AA,16,0)-'TRADE IN'!$F238=0,"",(VLOOKUP($C238,REV!$C:$AA,16,0)-'TRADE IN'!$F238))</f>
        <v>699</v>
      </c>
      <c r="S238" s="46">
        <f>IF(VLOOKUP($C238,REV!$C:$AA,17,0)-'TRADE IN'!$F238=0,"",(VLOOKUP($C238,REV!$C:$AA,17,0)-'TRADE IN'!$F238))</f>
        <v>699</v>
      </c>
      <c r="T238" s="46">
        <f>IF(VLOOKUP($C238,REV!$C:$AA,18,0)-'TRADE IN'!$F238=0,"",(VLOOKUP($C238,REV!$C:$AA,18,0)-'TRADE IN'!$F238))</f>
        <v>599</v>
      </c>
      <c r="U238" s="46">
        <f>IF(VLOOKUP($C238,REV!$C:$AA,19,0)-'TRADE IN'!$F238=0,"",(VLOOKUP($C238,REV!$C:$AA,19,0)-'TRADE IN'!$F238))</f>
        <v>599</v>
      </c>
      <c r="V238" s="46">
        <f>IF(VLOOKUP($C238,REV!$C:$AA,20,0)-'TRADE IN'!$F238=0,"",(VLOOKUP($C238,REV!$C:$AA,20,0)-'TRADE IN'!$F238))</f>
        <v>599</v>
      </c>
      <c r="W238" s="46">
        <f>IF(VLOOKUP($C238,REV!$C:$AA,21,0)-'TRADE IN'!$F238=0,"",(VLOOKUP($C238,REV!$C:$AA,21,0)-'TRADE IN'!$F238))</f>
        <v>599</v>
      </c>
      <c r="X238" s="46">
        <f>IF(VLOOKUP($C238,REV!$C:$AA,22,0)-'TRADE IN'!$F238=0,"",(VLOOKUP($C238,REV!$C:$AA,22,0)-'TRADE IN'!$F238))</f>
        <v>599</v>
      </c>
      <c r="Y238" s="46">
        <f>IF(VLOOKUP($C238,REV!$C:$AA,23,0)-'TRADE IN'!$F238=0,"",(VLOOKUP($C238,REV!$C:$AA,23,0)-'TRADE IN'!$F238))</f>
        <v>599</v>
      </c>
      <c r="Z238" s="46">
        <f>IF(VLOOKUP($C238,REV!$C:$AA,24,0)-'TRADE IN'!$F238=0,"",(VLOOKUP($C238,REV!$C:$AA,24,0)-'TRADE IN'!$F238))</f>
        <v>599</v>
      </c>
      <c r="AA238" s="46">
        <f>IF(VLOOKUP($C238,REV!$C:$AA,25,0)-'TRADE IN'!$F238=0,"",(VLOOKUP($C238,REV!$C:$AA,25,0)-'TRADE IN'!$F238))</f>
        <v>599</v>
      </c>
      <c r="AB238" s="45"/>
      <c r="AC238" s="45"/>
      <c r="AD238" s="45"/>
      <c r="AE238" s="45"/>
      <c r="AF238" s="45"/>
      <c r="AG238" s="45"/>
      <c r="AH238" s="45"/>
      <c r="AI238" s="45"/>
      <c r="AJ238" s="45"/>
      <c r="AK238" s="45"/>
      <c r="AL238" s="45"/>
      <c r="AM238" s="45"/>
      <c r="AN238" s="45"/>
      <c r="AO238" s="45"/>
      <c r="AP238" s="45"/>
      <c r="AQ238" s="45"/>
      <c r="AR238" s="45"/>
      <c r="AS238" s="45"/>
      <c r="AT238" s="45"/>
      <c r="AU238" s="45"/>
      <c r="AV238" s="47"/>
      <c r="AW238" s="48" t="str">
        <f>REV!AW238</f>
        <v>13.08.2026</v>
      </c>
      <c r="AX238" s="149" t="s">
        <v>68</v>
      </c>
    </row>
    <row r="239" spans="1:50" ht="22.5" customHeight="1">
      <c r="A239" s="55" t="s">
        <v>222</v>
      </c>
      <c r="B239" s="42" t="s">
        <v>64</v>
      </c>
      <c r="C239" s="43">
        <v>4016762</v>
      </c>
      <c r="D239" s="56" t="s">
        <v>383</v>
      </c>
      <c r="E239" s="56" t="s">
        <v>389</v>
      </c>
      <c r="F239" s="45">
        <v>100</v>
      </c>
      <c r="G239" s="45"/>
      <c r="H239" s="45"/>
      <c r="I239" s="45"/>
      <c r="J239" s="46">
        <f>IF(VLOOKUP($C239,REV!$C:$AA,8,0)-'TRADE IN'!$F239=0,"",(VLOOKUP($C239,REV!$C:$AA,8,0)-'TRADE IN'!$F239))</f>
        <v>899</v>
      </c>
      <c r="K239" s="46">
        <f>IF(VLOOKUP($C239,REV!$C:$AA,9,0)-'TRADE IN'!$F239=0,"",(VLOOKUP($C239,REV!$C:$AA,9,0)-'TRADE IN'!$F239))</f>
        <v>699</v>
      </c>
      <c r="L239" s="46">
        <f>IF(VLOOKUP($C239,REV!$C:$AA,10,0)-'TRADE IN'!$F239=0,"",(VLOOKUP($C239,REV!$C:$AA,10,0)-'TRADE IN'!$F239))</f>
        <v>699</v>
      </c>
      <c r="M239" s="46">
        <f>IF(VLOOKUP($C239,REV!$C:$AA,11,0)-'TRADE IN'!$F239=0,"",(VLOOKUP($C239,REV!$C:$AA,11,0)-'TRADE IN'!$F239))</f>
        <v>899</v>
      </c>
      <c r="N239" s="46">
        <f>IF(VLOOKUP($C239,REV!$C:$AA,12,0)-'TRADE IN'!$F239=0,"",(VLOOKUP($C239,REV!$C:$AA,12,0)-'TRADE IN'!$F239))</f>
        <v>699</v>
      </c>
      <c r="O239" s="46">
        <f>IF(VLOOKUP($C239,REV!$C:$AA,13,0)-'TRADE IN'!$F239=0,"",(VLOOKUP($C239,REV!$C:$AA,13,0)-'TRADE IN'!$F239))</f>
        <v>699</v>
      </c>
      <c r="P239" s="46">
        <f>IF(VLOOKUP($C239,REV!$C:$AA,14,0)-'TRADE IN'!$F239=0,"",(VLOOKUP($C239,REV!$C:$AA,14,0)-'TRADE IN'!$F239))</f>
        <v>699</v>
      </c>
      <c r="Q239" s="46">
        <f>IF(VLOOKUP($C239,REV!$C:$AA,15,0)-'TRADE IN'!$F239=0,"",(VLOOKUP($C239,REV!$C:$AA,15,0)-'TRADE IN'!$F239))</f>
        <v>599</v>
      </c>
      <c r="R239" s="46">
        <f>IF(VLOOKUP($C239,REV!$C:$AA,16,0)-'TRADE IN'!$F239=0,"",(VLOOKUP($C239,REV!$C:$AA,16,0)-'TRADE IN'!$F239))</f>
        <v>699</v>
      </c>
      <c r="S239" s="46">
        <f>IF(VLOOKUP($C239,REV!$C:$AA,17,0)-'TRADE IN'!$F239=0,"",(VLOOKUP($C239,REV!$C:$AA,17,0)-'TRADE IN'!$F239))</f>
        <v>699</v>
      </c>
      <c r="T239" s="46">
        <f>IF(VLOOKUP($C239,REV!$C:$AA,18,0)-'TRADE IN'!$F239=0,"",(VLOOKUP($C239,REV!$C:$AA,18,0)-'TRADE IN'!$F239))</f>
        <v>599</v>
      </c>
      <c r="U239" s="46">
        <f>IF(VLOOKUP($C239,REV!$C:$AA,19,0)-'TRADE IN'!$F239=0,"",(VLOOKUP($C239,REV!$C:$AA,19,0)-'TRADE IN'!$F239))</f>
        <v>599</v>
      </c>
      <c r="V239" s="46">
        <f>IF(VLOOKUP($C239,REV!$C:$AA,20,0)-'TRADE IN'!$F239=0,"",(VLOOKUP($C239,REV!$C:$AA,20,0)-'TRADE IN'!$F239))</f>
        <v>599</v>
      </c>
      <c r="W239" s="46">
        <f>IF(VLOOKUP($C239,REV!$C:$AA,21,0)-'TRADE IN'!$F239=0,"",(VLOOKUP($C239,REV!$C:$AA,21,0)-'TRADE IN'!$F239))</f>
        <v>599</v>
      </c>
      <c r="X239" s="46">
        <f>IF(VLOOKUP($C239,REV!$C:$AA,22,0)-'TRADE IN'!$F239=0,"",(VLOOKUP($C239,REV!$C:$AA,22,0)-'TRADE IN'!$F239))</f>
        <v>599</v>
      </c>
      <c r="Y239" s="46">
        <f>IF(VLOOKUP($C239,REV!$C:$AA,23,0)-'TRADE IN'!$F239=0,"",(VLOOKUP($C239,REV!$C:$AA,23,0)-'TRADE IN'!$F239))</f>
        <v>599</v>
      </c>
      <c r="Z239" s="46">
        <f>IF(VLOOKUP($C239,REV!$C:$AA,24,0)-'TRADE IN'!$F239=0,"",(VLOOKUP($C239,REV!$C:$AA,24,0)-'TRADE IN'!$F239))</f>
        <v>599</v>
      </c>
      <c r="AA239" s="46">
        <f>IF(VLOOKUP($C239,REV!$C:$AA,25,0)-'TRADE IN'!$F239=0,"",(VLOOKUP($C239,REV!$C:$AA,25,0)-'TRADE IN'!$F239))</f>
        <v>599</v>
      </c>
      <c r="AB239" s="45"/>
      <c r="AC239" s="45"/>
      <c r="AD239" s="45"/>
      <c r="AE239" s="45"/>
      <c r="AF239" s="45"/>
      <c r="AG239" s="45"/>
      <c r="AH239" s="45"/>
      <c r="AI239" s="45"/>
      <c r="AJ239" s="45"/>
      <c r="AK239" s="45"/>
      <c r="AL239" s="45"/>
      <c r="AM239" s="45"/>
      <c r="AN239" s="45"/>
      <c r="AO239" s="45"/>
      <c r="AP239" s="45"/>
      <c r="AQ239" s="45"/>
      <c r="AR239" s="45"/>
      <c r="AS239" s="45"/>
      <c r="AT239" s="45"/>
      <c r="AU239" s="45"/>
      <c r="AV239" s="47"/>
      <c r="AW239" s="48" t="str">
        <f>REV!AW239</f>
        <v>13.08.2026</v>
      </c>
      <c r="AX239" s="149" t="s">
        <v>68</v>
      </c>
    </row>
    <row r="240" spans="1:50" ht="22.5" customHeight="1">
      <c r="A240" s="55" t="s">
        <v>222</v>
      </c>
      <c r="B240" s="42" t="s">
        <v>64</v>
      </c>
      <c r="C240" s="43">
        <v>4016667</v>
      </c>
      <c r="D240" s="56" t="s">
        <v>390</v>
      </c>
      <c r="E240" s="56" t="s">
        <v>391</v>
      </c>
      <c r="F240" s="45">
        <v>100</v>
      </c>
      <c r="G240" s="45"/>
      <c r="H240" s="45"/>
      <c r="I240" s="45"/>
      <c r="J240" s="46">
        <f>IF(VLOOKUP($C240,REV!$C:$AA,8,0)-'TRADE IN'!$F240=0,"",(VLOOKUP($C240,REV!$C:$AA,8,0)-'TRADE IN'!$F240))</f>
        <v>1299</v>
      </c>
      <c r="K240" s="46">
        <f>IF(VLOOKUP($C240,REV!$C:$AA,9,0)-'TRADE IN'!$F240=0,"",(VLOOKUP($C240,REV!$C:$AA,9,0)-'TRADE IN'!$F240))</f>
        <v>1199</v>
      </c>
      <c r="L240" s="46">
        <f>IF(VLOOKUP($C240,REV!$C:$AA,10,0)-'TRADE IN'!$F240=0,"",(VLOOKUP($C240,REV!$C:$AA,10,0)-'TRADE IN'!$F240))</f>
        <v>1199</v>
      </c>
      <c r="M240" s="46">
        <f>IF(VLOOKUP($C240,REV!$C:$AA,11,0)-'TRADE IN'!$F240=0,"",(VLOOKUP($C240,REV!$C:$AA,11,0)-'TRADE IN'!$F240))</f>
        <v>1299</v>
      </c>
      <c r="N240" s="46">
        <f>IF(VLOOKUP($C240,REV!$C:$AA,12,0)-'TRADE IN'!$F240=0,"",(VLOOKUP($C240,REV!$C:$AA,12,0)-'TRADE IN'!$F240))</f>
        <v>1199</v>
      </c>
      <c r="O240" s="46">
        <f>IF(VLOOKUP($C240,REV!$C:$AA,13,0)-'TRADE IN'!$F240=0,"",(VLOOKUP($C240,REV!$C:$AA,13,0)-'TRADE IN'!$F240))</f>
        <v>1149</v>
      </c>
      <c r="P240" s="46">
        <f>IF(VLOOKUP($C240,REV!$C:$AA,14,0)-'TRADE IN'!$F240=0,"",(VLOOKUP($C240,REV!$C:$AA,14,0)-'TRADE IN'!$F240))</f>
        <v>1099</v>
      </c>
      <c r="Q240" s="46">
        <f>IF(VLOOKUP($C240,REV!$C:$AA,15,0)-'TRADE IN'!$F240=0,"",(VLOOKUP($C240,REV!$C:$AA,15,0)-'TRADE IN'!$F240))</f>
        <v>899</v>
      </c>
      <c r="R240" s="46">
        <f>IF(VLOOKUP($C240,REV!$C:$AA,16,0)-'TRADE IN'!$F240=0,"",(VLOOKUP($C240,REV!$C:$AA,16,0)-'TRADE IN'!$F240))</f>
        <v>1149</v>
      </c>
      <c r="S240" s="46">
        <f>IF(VLOOKUP($C240,REV!$C:$AA,17,0)-'TRADE IN'!$F240=0,"",(VLOOKUP($C240,REV!$C:$AA,17,0)-'TRADE IN'!$F240))</f>
        <v>1099</v>
      </c>
      <c r="T240" s="46">
        <f>IF(VLOOKUP($C240,REV!$C:$AA,18,0)-'TRADE IN'!$F240=0,"",(VLOOKUP($C240,REV!$C:$AA,18,0)-'TRADE IN'!$F240))</f>
        <v>899</v>
      </c>
      <c r="U240" s="46">
        <f>IF(VLOOKUP($C240,REV!$C:$AA,19,0)-'TRADE IN'!$F240=0,"",(VLOOKUP($C240,REV!$C:$AA,19,0)-'TRADE IN'!$F240))</f>
        <v>899</v>
      </c>
      <c r="V240" s="46">
        <f>IF(VLOOKUP($C240,REV!$C:$AA,20,0)-'TRADE IN'!$F240=0,"",(VLOOKUP($C240,REV!$C:$AA,20,0)-'TRADE IN'!$F240))</f>
        <v>899</v>
      </c>
      <c r="W240" s="46">
        <f>IF(VLOOKUP($C240,REV!$C:$AA,21,0)-'TRADE IN'!$F240=0,"",(VLOOKUP($C240,REV!$C:$AA,21,0)-'TRADE IN'!$F240))</f>
        <v>899</v>
      </c>
      <c r="X240" s="46">
        <f>IF(VLOOKUP($C240,REV!$C:$AA,22,0)-'TRADE IN'!$F240=0,"",(VLOOKUP($C240,REV!$C:$AA,22,0)-'TRADE IN'!$F240))</f>
        <v>899</v>
      </c>
      <c r="Y240" s="46">
        <f>IF(VLOOKUP($C240,REV!$C:$AA,23,0)-'TRADE IN'!$F240=0,"",(VLOOKUP($C240,REV!$C:$AA,23,0)-'TRADE IN'!$F240))</f>
        <v>899</v>
      </c>
      <c r="Z240" s="46">
        <f>IF(VLOOKUP($C240,REV!$C:$AA,24,0)-'TRADE IN'!$F240=0,"",(VLOOKUP($C240,REV!$C:$AA,24,0)-'TRADE IN'!$F240))</f>
        <v>899</v>
      </c>
      <c r="AA240" s="46">
        <f>IF(VLOOKUP($C240,REV!$C:$AA,25,0)-'TRADE IN'!$F240=0,"",(VLOOKUP($C240,REV!$C:$AA,25,0)-'TRADE IN'!$F240))</f>
        <v>899</v>
      </c>
      <c r="AB240" s="45"/>
      <c r="AC240" s="45"/>
      <c r="AD240" s="45"/>
      <c r="AE240" s="45"/>
      <c r="AF240" s="45"/>
      <c r="AG240" s="45"/>
      <c r="AH240" s="45"/>
      <c r="AI240" s="45"/>
      <c r="AJ240" s="45"/>
      <c r="AK240" s="45"/>
      <c r="AL240" s="45"/>
      <c r="AM240" s="45"/>
      <c r="AN240" s="45"/>
      <c r="AO240" s="45"/>
      <c r="AP240" s="45"/>
      <c r="AQ240" s="45"/>
      <c r="AR240" s="45"/>
      <c r="AS240" s="45"/>
      <c r="AT240" s="45"/>
      <c r="AU240" s="45"/>
      <c r="AV240" s="47"/>
      <c r="AW240" s="48" t="str">
        <f>REV!AW240</f>
        <v>13.08.2026</v>
      </c>
      <c r="AX240" s="149" t="s">
        <v>68</v>
      </c>
    </row>
    <row r="241" spans="1:50" ht="22.5" customHeight="1">
      <c r="A241" s="55" t="s">
        <v>222</v>
      </c>
      <c r="B241" s="42" t="s">
        <v>64</v>
      </c>
      <c r="C241" s="43">
        <v>4016713</v>
      </c>
      <c r="D241" s="56" t="s">
        <v>390</v>
      </c>
      <c r="E241" s="56" t="s">
        <v>392</v>
      </c>
      <c r="F241" s="45">
        <v>100</v>
      </c>
      <c r="G241" s="45"/>
      <c r="H241" s="45"/>
      <c r="I241" s="45"/>
      <c r="J241" s="46">
        <f>IF(VLOOKUP($C241,REV!$C:$AA,8,0)-'TRADE IN'!$F241=0,"",(VLOOKUP($C241,REV!$C:$AA,8,0)-'TRADE IN'!$F241))</f>
        <v>1299</v>
      </c>
      <c r="K241" s="46">
        <f>IF(VLOOKUP($C241,REV!$C:$AA,9,0)-'TRADE IN'!$F241=0,"",(VLOOKUP($C241,REV!$C:$AA,9,0)-'TRADE IN'!$F241))</f>
        <v>1199</v>
      </c>
      <c r="L241" s="46">
        <f>IF(VLOOKUP($C241,REV!$C:$AA,10,0)-'TRADE IN'!$F241=0,"",(VLOOKUP($C241,REV!$C:$AA,10,0)-'TRADE IN'!$F241))</f>
        <v>1199</v>
      </c>
      <c r="M241" s="46">
        <f>IF(VLOOKUP($C241,REV!$C:$AA,11,0)-'TRADE IN'!$F241=0,"",(VLOOKUP($C241,REV!$C:$AA,11,0)-'TRADE IN'!$F241))</f>
        <v>1299</v>
      </c>
      <c r="N241" s="46">
        <f>IF(VLOOKUP($C241,REV!$C:$AA,12,0)-'TRADE IN'!$F241=0,"",(VLOOKUP($C241,REV!$C:$AA,12,0)-'TRADE IN'!$F241))</f>
        <v>1199</v>
      </c>
      <c r="O241" s="46">
        <f>IF(VLOOKUP($C241,REV!$C:$AA,13,0)-'TRADE IN'!$F241=0,"",(VLOOKUP($C241,REV!$C:$AA,13,0)-'TRADE IN'!$F241))</f>
        <v>1149</v>
      </c>
      <c r="P241" s="46">
        <f>IF(VLOOKUP($C241,REV!$C:$AA,14,0)-'TRADE IN'!$F241=0,"",(VLOOKUP($C241,REV!$C:$AA,14,0)-'TRADE IN'!$F241))</f>
        <v>1099</v>
      </c>
      <c r="Q241" s="46">
        <f>IF(VLOOKUP($C241,REV!$C:$AA,15,0)-'TRADE IN'!$F241=0,"",(VLOOKUP($C241,REV!$C:$AA,15,0)-'TRADE IN'!$F241))</f>
        <v>899</v>
      </c>
      <c r="R241" s="46">
        <f>IF(VLOOKUP($C241,REV!$C:$AA,16,0)-'TRADE IN'!$F241=0,"",(VLOOKUP($C241,REV!$C:$AA,16,0)-'TRADE IN'!$F241))</f>
        <v>1149</v>
      </c>
      <c r="S241" s="46">
        <f>IF(VLOOKUP($C241,REV!$C:$AA,17,0)-'TRADE IN'!$F241=0,"",(VLOOKUP($C241,REV!$C:$AA,17,0)-'TRADE IN'!$F241))</f>
        <v>1099</v>
      </c>
      <c r="T241" s="46">
        <f>IF(VLOOKUP($C241,REV!$C:$AA,18,0)-'TRADE IN'!$F241=0,"",(VLOOKUP($C241,REV!$C:$AA,18,0)-'TRADE IN'!$F241))</f>
        <v>899</v>
      </c>
      <c r="U241" s="46">
        <f>IF(VLOOKUP($C241,REV!$C:$AA,19,0)-'TRADE IN'!$F241=0,"",(VLOOKUP($C241,REV!$C:$AA,19,0)-'TRADE IN'!$F241))</f>
        <v>899</v>
      </c>
      <c r="V241" s="46">
        <f>IF(VLOOKUP($C241,REV!$C:$AA,20,0)-'TRADE IN'!$F241=0,"",(VLOOKUP($C241,REV!$C:$AA,20,0)-'TRADE IN'!$F241))</f>
        <v>899</v>
      </c>
      <c r="W241" s="46">
        <f>IF(VLOOKUP($C241,REV!$C:$AA,21,0)-'TRADE IN'!$F241=0,"",(VLOOKUP($C241,REV!$C:$AA,21,0)-'TRADE IN'!$F241))</f>
        <v>899</v>
      </c>
      <c r="X241" s="46">
        <f>IF(VLOOKUP($C241,REV!$C:$AA,22,0)-'TRADE IN'!$F241=0,"",(VLOOKUP($C241,REV!$C:$AA,22,0)-'TRADE IN'!$F241))</f>
        <v>899</v>
      </c>
      <c r="Y241" s="46">
        <f>IF(VLOOKUP($C241,REV!$C:$AA,23,0)-'TRADE IN'!$F241=0,"",(VLOOKUP($C241,REV!$C:$AA,23,0)-'TRADE IN'!$F241))</f>
        <v>899</v>
      </c>
      <c r="Z241" s="46">
        <f>IF(VLOOKUP($C241,REV!$C:$AA,24,0)-'TRADE IN'!$F241=0,"",(VLOOKUP($C241,REV!$C:$AA,24,0)-'TRADE IN'!$F241))</f>
        <v>899</v>
      </c>
      <c r="AA241" s="46">
        <f>IF(VLOOKUP($C241,REV!$C:$AA,25,0)-'TRADE IN'!$F241=0,"",(VLOOKUP($C241,REV!$C:$AA,25,0)-'TRADE IN'!$F241))</f>
        <v>899</v>
      </c>
      <c r="AB241" s="45"/>
      <c r="AC241" s="45"/>
      <c r="AD241" s="45"/>
      <c r="AE241" s="45"/>
      <c r="AF241" s="45"/>
      <c r="AG241" s="45"/>
      <c r="AH241" s="45"/>
      <c r="AI241" s="45"/>
      <c r="AJ241" s="45"/>
      <c r="AK241" s="45"/>
      <c r="AL241" s="45"/>
      <c r="AM241" s="45"/>
      <c r="AN241" s="45"/>
      <c r="AO241" s="45"/>
      <c r="AP241" s="45"/>
      <c r="AQ241" s="45"/>
      <c r="AR241" s="45"/>
      <c r="AS241" s="45"/>
      <c r="AT241" s="45"/>
      <c r="AU241" s="45"/>
      <c r="AV241" s="47"/>
      <c r="AW241" s="48" t="str">
        <f>REV!AW241</f>
        <v>13.08.2026</v>
      </c>
      <c r="AX241" s="149" t="s">
        <v>68</v>
      </c>
    </row>
    <row r="242" spans="1:50" ht="22.5" customHeight="1">
      <c r="A242" s="55" t="s">
        <v>222</v>
      </c>
      <c r="B242" s="42" t="s">
        <v>64</v>
      </c>
      <c r="C242" s="43">
        <v>4016669</v>
      </c>
      <c r="D242" s="56" t="s">
        <v>390</v>
      </c>
      <c r="E242" s="56" t="s">
        <v>393</v>
      </c>
      <c r="F242" s="45">
        <v>100</v>
      </c>
      <c r="G242" s="45"/>
      <c r="H242" s="45"/>
      <c r="I242" s="45"/>
      <c r="J242" s="46">
        <f>IF(VLOOKUP($C242,REV!$C:$AA,8,0)-'TRADE IN'!$F242=0,"",(VLOOKUP($C242,REV!$C:$AA,8,0)-'TRADE IN'!$F242))</f>
        <v>1299</v>
      </c>
      <c r="K242" s="46">
        <f>IF(VLOOKUP($C242,REV!$C:$AA,9,0)-'TRADE IN'!$F242=0,"",(VLOOKUP($C242,REV!$C:$AA,9,0)-'TRADE IN'!$F242))</f>
        <v>1199</v>
      </c>
      <c r="L242" s="46">
        <f>IF(VLOOKUP($C242,REV!$C:$AA,10,0)-'TRADE IN'!$F242=0,"",(VLOOKUP($C242,REV!$C:$AA,10,0)-'TRADE IN'!$F242))</f>
        <v>1199</v>
      </c>
      <c r="M242" s="46">
        <f>IF(VLOOKUP($C242,REV!$C:$AA,11,0)-'TRADE IN'!$F242=0,"",(VLOOKUP($C242,REV!$C:$AA,11,0)-'TRADE IN'!$F242))</f>
        <v>1299</v>
      </c>
      <c r="N242" s="46">
        <f>IF(VLOOKUP($C242,REV!$C:$AA,12,0)-'TRADE IN'!$F242=0,"",(VLOOKUP($C242,REV!$C:$AA,12,0)-'TRADE IN'!$F242))</f>
        <v>1199</v>
      </c>
      <c r="O242" s="46">
        <f>IF(VLOOKUP($C242,REV!$C:$AA,13,0)-'TRADE IN'!$F242=0,"",(VLOOKUP($C242,REV!$C:$AA,13,0)-'TRADE IN'!$F242))</f>
        <v>1149</v>
      </c>
      <c r="P242" s="46">
        <f>IF(VLOOKUP($C242,REV!$C:$AA,14,0)-'TRADE IN'!$F242=0,"",(VLOOKUP($C242,REV!$C:$AA,14,0)-'TRADE IN'!$F242))</f>
        <v>1099</v>
      </c>
      <c r="Q242" s="46">
        <f>IF(VLOOKUP($C242,REV!$C:$AA,15,0)-'TRADE IN'!$F242=0,"",(VLOOKUP($C242,REV!$C:$AA,15,0)-'TRADE IN'!$F242))</f>
        <v>899</v>
      </c>
      <c r="R242" s="46">
        <f>IF(VLOOKUP($C242,REV!$C:$AA,16,0)-'TRADE IN'!$F242=0,"",(VLOOKUP($C242,REV!$C:$AA,16,0)-'TRADE IN'!$F242))</f>
        <v>1149</v>
      </c>
      <c r="S242" s="46">
        <f>IF(VLOOKUP($C242,REV!$C:$AA,17,0)-'TRADE IN'!$F242=0,"",(VLOOKUP($C242,REV!$C:$AA,17,0)-'TRADE IN'!$F242))</f>
        <v>1099</v>
      </c>
      <c r="T242" s="46">
        <f>IF(VLOOKUP($C242,REV!$C:$AA,18,0)-'TRADE IN'!$F242=0,"",(VLOOKUP($C242,REV!$C:$AA,18,0)-'TRADE IN'!$F242))</f>
        <v>899</v>
      </c>
      <c r="U242" s="46">
        <f>IF(VLOOKUP($C242,REV!$C:$AA,19,0)-'TRADE IN'!$F242=0,"",(VLOOKUP($C242,REV!$C:$AA,19,0)-'TRADE IN'!$F242))</f>
        <v>899</v>
      </c>
      <c r="V242" s="46">
        <f>IF(VLOOKUP($C242,REV!$C:$AA,20,0)-'TRADE IN'!$F242=0,"",(VLOOKUP($C242,REV!$C:$AA,20,0)-'TRADE IN'!$F242))</f>
        <v>899</v>
      </c>
      <c r="W242" s="46">
        <f>IF(VLOOKUP($C242,REV!$C:$AA,21,0)-'TRADE IN'!$F242=0,"",(VLOOKUP($C242,REV!$C:$AA,21,0)-'TRADE IN'!$F242))</f>
        <v>899</v>
      </c>
      <c r="X242" s="46">
        <f>IF(VLOOKUP($C242,REV!$C:$AA,22,0)-'TRADE IN'!$F242=0,"",(VLOOKUP($C242,REV!$C:$AA,22,0)-'TRADE IN'!$F242))</f>
        <v>899</v>
      </c>
      <c r="Y242" s="46">
        <f>IF(VLOOKUP($C242,REV!$C:$AA,23,0)-'TRADE IN'!$F242=0,"",(VLOOKUP($C242,REV!$C:$AA,23,0)-'TRADE IN'!$F242))</f>
        <v>899</v>
      </c>
      <c r="Z242" s="46">
        <f>IF(VLOOKUP($C242,REV!$C:$AA,24,0)-'TRADE IN'!$F242=0,"",(VLOOKUP($C242,REV!$C:$AA,24,0)-'TRADE IN'!$F242))</f>
        <v>899</v>
      </c>
      <c r="AA242" s="46">
        <f>IF(VLOOKUP($C242,REV!$C:$AA,25,0)-'TRADE IN'!$F242=0,"",(VLOOKUP($C242,REV!$C:$AA,25,0)-'TRADE IN'!$F242))</f>
        <v>899</v>
      </c>
      <c r="AB242" s="45"/>
      <c r="AC242" s="45"/>
      <c r="AD242" s="45"/>
      <c r="AE242" s="45"/>
      <c r="AF242" s="45"/>
      <c r="AG242" s="45"/>
      <c r="AH242" s="45"/>
      <c r="AI242" s="45"/>
      <c r="AJ242" s="45"/>
      <c r="AK242" s="45"/>
      <c r="AL242" s="45"/>
      <c r="AM242" s="45"/>
      <c r="AN242" s="45"/>
      <c r="AO242" s="45"/>
      <c r="AP242" s="45"/>
      <c r="AQ242" s="45"/>
      <c r="AR242" s="45"/>
      <c r="AS242" s="45"/>
      <c r="AT242" s="45"/>
      <c r="AU242" s="45"/>
      <c r="AV242" s="47"/>
      <c r="AW242" s="48" t="str">
        <f>REV!AW242</f>
        <v>13.08.2026</v>
      </c>
      <c r="AX242" s="149" t="s">
        <v>68</v>
      </c>
    </row>
    <row r="243" spans="1:50" ht="22.5" customHeight="1">
      <c r="A243" s="55" t="s">
        <v>222</v>
      </c>
      <c r="B243" s="42" t="s">
        <v>64</v>
      </c>
      <c r="C243" s="43">
        <v>4016715</v>
      </c>
      <c r="D243" s="56" t="s">
        <v>390</v>
      </c>
      <c r="E243" s="56" t="s">
        <v>394</v>
      </c>
      <c r="F243" s="45">
        <v>100</v>
      </c>
      <c r="G243" s="45"/>
      <c r="H243" s="45"/>
      <c r="I243" s="45"/>
      <c r="J243" s="46">
        <f>IF(VLOOKUP($C243,REV!$C:$AA,8,0)-'TRADE IN'!$F243=0,"",(VLOOKUP($C243,REV!$C:$AA,8,0)-'TRADE IN'!$F243))</f>
        <v>1299</v>
      </c>
      <c r="K243" s="46">
        <f>IF(VLOOKUP($C243,REV!$C:$AA,9,0)-'TRADE IN'!$F243=0,"",(VLOOKUP($C243,REV!$C:$AA,9,0)-'TRADE IN'!$F243))</f>
        <v>1199</v>
      </c>
      <c r="L243" s="46">
        <f>IF(VLOOKUP($C243,REV!$C:$AA,10,0)-'TRADE IN'!$F243=0,"",(VLOOKUP($C243,REV!$C:$AA,10,0)-'TRADE IN'!$F243))</f>
        <v>1199</v>
      </c>
      <c r="M243" s="46">
        <f>IF(VLOOKUP($C243,REV!$C:$AA,11,0)-'TRADE IN'!$F243=0,"",(VLOOKUP($C243,REV!$C:$AA,11,0)-'TRADE IN'!$F243))</f>
        <v>1299</v>
      </c>
      <c r="N243" s="46">
        <f>IF(VLOOKUP($C243,REV!$C:$AA,12,0)-'TRADE IN'!$F243=0,"",(VLOOKUP($C243,REV!$C:$AA,12,0)-'TRADE IN'!$F243))</f>
        <v>1199</v>
      </c>
      <c r="O243" s="46">
        <f>IF(VLOOKUP($C243,REV!$C:$AA,13,0)-'TRADE IN'!$F243=0,"",(VLOOKUP($C243,REV!$C:$AA,13,0)-'TRADE IN'!$F243))</f>
        <v>1149</v>
      </c>
      <c r="P243" s="46">
        <f>IF(VLOOKUP($C243,REV!$C:$AA,14,0)-'TRADE IN'!$F243=0,"",(VLOOKUP($C243,REV!$C:$AA,14,0)-'TRADE IN'!$F243))</f>
        <v>1099</v>
      </c>
      <c r="Q243" s="46">
        <f>IF(VLOOKUP($C243,REV!$C:$AA,15,0)-'TRADE IN'!$F243=0,"",(VLOOKUP($C243,REV!$C:$AA,15,0)-'TRADE IN'!$F243))</f>
        <v>899</v>
      </c>
      <c r="R243" s="46">
        <f>IF(VLOOKUP($C243,REV!$C:$AA,16,0)-'TRADE IN'!$F243=0,"",(VLOOKUP($C243,REV!$C:$AA,16,0)-'TRADE IN'!$F243))</f>
        <v>1149</v>
      </c>
      <c r="S243" s="46">
        <f>IF(VLOOKUP($C243,REV!$C:$AA,17,0)-'TRADE IN'!$F243=0,"",(VLOOKUP($C243,REV!$C:$AA,17,0)-'TRADE IN'!$F243))</f>
        <v>1099</v>
      </c>
      <c r="T243" s="46">
        <f>IF(VLOOKUP($C243,REV!$C:$AA,18,0)-'TRADE IN'!$F243=0,"",(VLOOKUP($C243,REV!$C:$AA,18,0)-'TRADE IN'!$F243))</f>
        <v>899</v>
      </c>
      <c r="U243" s="46">
        <f>IF(VLOOKUP($C243,REV!$C:$AA,19,0)-'TRADE IN'!$F243=0,"",(VLOOKUP($C243,REV!$C:$AA,19,0)-'TRADE IN'!$F243))</f>
        <v>899</v>
      </c>
      <c r="V243" s="46">
        <f>IF(VLOOKUP($C243,REV!$C:$AA,20,0)-'TRADE IN'!$F243=0,"",(VLOOKUP($C243,REV!$C:$AA,20,0)-'TRADE IN'!$F243))</f>
        <v>899</v>
      </c>
      <c r="W243" s="46">
        <f>IF(VLOOKUP($C243,REV!$C:$AA,21,0)-'TRADE IN'!$F243=0,"",(VLOOKUP($C243,REV!$C:$AA,21,0)-'TRADE IN'!$F243))</f>
        <v>899</v>
      </c>
      <c r="X243" s="46">
        <f>IF(VLOOKUP($C243,REV!$C:$AA,22,0)-'TRADE IN'!$F243=0,"",(VLOOKUP($C243,REV!$C:$AA,22,0)-'TRADE IN'!$F243))</f>
        <v>899</v>
      </c>
      <c r="Y243" s="46">
        <f>IF(VLOOKUP($C243,REV!$C:$AA,23,0)-'TRADE IN'!$F243=0,"",(VLOOKUP($C243,REV!$C:$AA,23,0)-'TRADE IN'!$F243))</f>
        <v>899</v>
      </c>
      <c r="Z243" s="46">
        <f>IF(VLOOKUP($C243,REV!$C:$AA,24,0)-'TRADE IN'!$F243=0,"",(VLOOKUP($C243,REV!$C:$AA,24,0)-'TRADE IN'!$F243))</f>
        <v>899</v>
      </c>
      <c r="AA243" s="46">
        <f>IF(VLOOKUP($C243,REV!$C:$AA,25,0)-'TRADE IN'!$F243=0,"",(VLOOKUP($C243,REV!$C:$AA,25,0)-'TRADE IN'!$F243))</f>
        <v>899</v>
      </c>
      <c r="AB243" s="45"/>
      <c r="AC243" s="45"/>
      <c r="AD243" s="45"/>
      <c r="AE243" s="45"/>
      <c r="AF243" s="45"/>
      <c r="AG243" s="45"/>
      <c r="AH243" s="45"/>
      <c r="AI243" s="45"/>
      <c r="AJ243" s="45"/>
      <c r="AK243" s="45"/>
      <c r="AL243" s="45"/>
      <c r="AM243" s="45"/>
      <c r="AN243" s="45"/>
      <c r="AO243" s="45"/>
      <c r="AP243" s="45"/>
      <c r="AQ243" s="45"/>
      <c r="AR243" s="45"/>
      <c r="AS243" s="45"/>
      <c r="AT243" s="45"/>
      <c r="AU243" s="45"/>
      <c r="AV243" s="47"/>
      <c r="AW243" s="48" t="str">
        <f>REV!AW243</f>
        <v>13.08.2026</v>
      </c>
      <c r="AX243" s="149" t="s">
        <v>68</v>
      </c>
    </row>
    <row r="244" spans="1:50" ht="22.5" customHeight="1">
      <c r="A244" s="55" t="s">
        <v>222</v>
      </c>
      <c r="B244" s="42" t="s">
        <v>64</v>
      </c>
      <c r="C244" s="43">
        <v>4017357</v>
      </c>
      <c r="D244" s="56" t="s">
        <v>395</v>
      </c>
      <c r="E244" s="56" t="s">
        <v>396</v>
      </c>
      <c r="F244" s="45">
        <v>100</v>
      </c>
      <c r="G244" s="45"/>
      <c r="H244" s="45"/>
      <c r="I244" s="45"/>
      <c r="J244" s="46">
        <f>IF(VLOOKUP($C244,REV!$C:$AA,8,0)-'TRADE IN'!$F244=0,"",(VLOOKUP($C244,REV!$C:$AA,8,0)-'TRADE IN'!$F244))</f>
        <v>1049</v>
      </c>
      <c r="K244" s="46">
        <f>IF(VLOOKUP($C244,REV!$C:$AA,9,0)-'TRADE IN'!$F244=0,"",(VLOOKUP($C244,REV!$C:$AA,9,0)-'TRADE IN'!$F244))</f>
        <v>849</v>
      </c>
      <c r="L244" s="46">
        <f>IF(VLOOKUP($C244,REV!$C:$AA,10,0)-'TRADE IN'!$F244=0,"",(VLOOKUP($C244,REV!$C:$AA,10,0)-'TRADE IN'!$F244))</f>
        <v>849</v>
      </c>
      <c r="M244" s="46">
        <f>IF(VLOOKUP($C244,REV!$C:$AA,11,0)-'TRADE IN'!$F244=0,"",(VLOOKUP($C244,REV!$C:$AA,11,0)-'TRADE IN'!$F244))</f>
        <v>1049</v>
      </c>
      <c r="N244" s="46">
        <f>IF(VLOOKUP($C244,REV!$C:$AA,12,0)-'TRADE IN'!$F244=0,"",(VLOOKUP($C244,REV!$C:$AA,12,0)-'TRADE IN'!$F244))</f>
        <v>849</v>
      </c>
      <c r="O244" s="46">
        <f>IF(VLOOKUP($C244,REV!$C:$AA,13,0)-'TRADE IN'!$F244=0,"",(VLOOKUP($C244,REV!$C:$AA,13,0)-'TRADE IN'!$F244))</f>
        <v>799</v>
      </c>
      <c r="P244" s="46">
        <f>IF(VLOOKUP($C244,REV!$C:$AA,14,0)-'TRADE IN'!$F244=0,"",(VLOOKUP($C244,REV!$C:$AA,14,0)-'TRADE IN'!$F244))</f>
        <v>799</v>
      </c>
      <c r="Q244" s="46">
        <f>IF(VLOOKUP($C244,REV!$C:$AA,15,0)-'TRADE IN'!$F244=0,"",(VLOOKUP($C244,REV!$C:$AA,15,0)-'TRADE IN'!$F244))</f>
        <v>799</v>
      </c>
      <c r="R244" s="46">
        <f>IF(VLOOKUP($C244,REV!$C:$AA,16,0)-'TRADE IN'!$F244=0,"",(VLOOKUP($C244,REV!$C:$AA,16,0)-'TRADE IN'!$F244))</f>
        <v>799</v>
      </c>
      <c r="S244" s="46">
        <f>IF(VLOOKUP($C244,REV!$C:$AA,17,0)-'TRADE IN'!$F244=0,"",(VLOOKUP($C244,REV!$C:$AA,17,0)-'TRADE IN'!$F244))</f>
        <v>799</v>
      </c>
      <c r="T244" s="46">
        <f>IF(VLOOKUP($C244,REV!$C:$AA,18,0)-'TRADE IN'!$F244=0,"",(VLOOKUP($C244,REV!$C:$AA,18,0)-'TRADE IN'!$F244))</f>
        <v>799</v>
      </c>
      <c r="U244" s="46">
        <f>IF(VLOOKUP($C244,REV!$C:$AA,19,0)-'TRADE IN'!$F244=0,"",(VLOOKUP($C244,REV!$C:$AA,19,0)-'TRADE IN'!$F244))</f>
        <v>799</v>
      </c>
      <c r="V244" s="46">
        <f>IF(VLOOKUP($C244,REV!$C:$AA,20,0)-'TRADE IN'!$F244=0,"",(VLOOKUP($C244,REV!$C:$AA,20,0)-'TRADE IN'!$F244))</f>
        <v>799</v>
      </c>
      <c r="W244" s="46">
        <f>IF(VLOOKUP($C244,REV!$C:$AA,21,0)-'TRADE IN'!$F244=0,"",(VLOOKUP($C244,REV!$C:$AA,21,0)-'TRADE IN'!$F244))</f>
        <v>799</v>
      </c>
      <c r="X244" s="46">
        <f>IF(VLOOKUP($C244,REV!$C:$AA,22,0)-'TRADE IN'!$F244=0,"",(VLOOKUP($C244,REV!$C:$AA,22,0)-'TRADE IN'!$F244))</f>
        <v>799</v>
      </c>
      <c r="Y244" s="46">
        <f>IF(VLOOKUP($C244,REV!$C:$AA,23,0)-'TRADE IN'!$F244=0,"",(VLOOKUP($C244,REV!$C:$AA,23,0)-'TRADE IN'!$F244))</f>
        <v>699</v>
      </c>
      <c r="Z244" s="46">
        <f>IF(VLOOKUP($C244,REV!$C:$AA,24,0)-'TRADE IN'!$F244=0,"",(VLOOKUP($C244,REV!$C:$AA,24,0)-'TRADE IN'!$F244))</f>
        <v>699</v>
      </c>
      <c r="AA244" s="46">
        <f>IF(VLOOKUP($C244,REV!$C:$AA,25,0)-'TRADE IN'!$F244=0,"",(VLOOKUP($C244,REV!$C:$AA,25,0)-'TRADE IN'!$F244))</f>
        <v>699</v>
      </c>
      <c r="AB244" s="45"/>
      <c r="AC244" s="45"/>
      <c r="AD244" s="45"/>
      <c r="AE244" s="45"/>
      <c r="AF244" s="45"/>
      <c r="AG244" s="45"/>
      <c r="AH244" s="45"/>
      <c r="AI244" s="45"/>
      <c r="AJ244" s="45"/>
      <c r="AK244" s="45"/>
      <c r="AL244" s="45"/>
      <c r="AM244" s="45"/>
      <c r="AN244" s="45"/>
      <c r="AO244" s="45"/>
      <c r="AP244" s="45"/>
      <c r="AQ244" s="45"/>
      <c r="AR244" s="45"/>
      <c r="AS244" s="45"/>
      <c r="AT244" s="45"/>
      <c r="AU244" s="45"/>
      <c r="AV244" s="47"/>
      <c r="AW244" s="48" t="str">
        <f>REV!AW244</f>
        <v>13.08.2026</v>
      </c>
      <c r="AX244" s="149" t="s">
        <v>230</v>
      </c>
    </row>
    <row r="245" spans="1:50" ht="22.5" customHeight="1">
      <c r="A245" s="55" t="s">
        <v>222</v>
      </c>
      <c r="B245" s="42" t="s">
        <v>64</v>
      </c>
      <c r="C245" s="43">
        <v>4017377</v>
      </c>
      <c r="D245" s="56" t="s">
        <v>395</v>
      </c>
      <c r="E245" s="56" t="s">
        <v>397</v>
      </c>
      <c r="F245" s="45">
        <v>100</v>
      </c>
      <c r="G245" s="45"/>
      <c r="H245" s="45"/>
      <c r="I245" s="45"/>
      <c r="J245" s="46">
        <f>IF(VLOOKUP($C245,REV!$C:$AA,8,0)-'TRADE IN'!$F245=0,"",(VLOOKUP($C245,REV!$C:$AA,8,0)-'TRADE IN'!$F245))</f>
        <v>1049</v>
      </c>
      <c r="K245" s="46">
        <f>IF(VLOOKUP($C245,REV!$C:$AA,9,0)-'TRADE IN'!$F245=0,"",(VLOOKUP($C245,REV!$C:$AA,9,0)-'TRADE IN'!$F245))</f>
        <v>849</v>
      </c>
      <c r="L245" s="46">
        <f>IF(VLOOKUP($C245,REV!$C:$AA,10,0)-'TRADE IN'!$F245=0,"",(VLOOKUP($C245,REV!$C:$AA,10,0)-'TRADE IN'!$F245))</f>
        <v>849</v>
      </c>
      <c r="M245" s="46">
        <f>IF(VLOOKUP($C245,REV!$C:$AA,11,0)-'TRADE IN'!$F245=0,"",(VLOOKUP($C245,REV!$C:$AA,11,0)-'TRADE IN'!$F245))</f>
        <v>1049</v>
      </c>
      <c r="N245" s="46">
        <f>IF(VLOOKUP($C245,REV!$C:$AA,12,0)-'TRADE IN'!$F245=0,"",(VLOOKUP($C245,REV!$C:$AA,12,0)-'TRADE IN'!$F245))</f>
        <v>849</v>
      </c>
      <c r="O245" s="46">
        <f>IF(VLOOKUP($C245,REV!$C:$AA,13,0)-'TRADE IN'!$F245=0,"",(VLOOKUP($C245,REV!$C:$AA,13,0)-'TRADE IN'!$F245))</f>
        <v>799</v>
      </c>
      <c r="P245" s="46">
        <f>IF(VLOOKUP($C245,REV!$C:$AA,14,0)-'TRADE IN'!$F245=0,"",(VLOOKUP($C245,REV!$C:$AA,14,0)-'TRADE IN'!$F245))</f>
        <v>799</v>
      </c>
      <c r="Q245" s="46">
        <f>IF(VLOOKUP($C245,REV!$C:$AA,15,0)-'TRADE IN'!$F245=0,"",(VLOOKUP($C245,REV!$C:$AA,15,0)-'TRADE IN'!$F245))</f>
        <v>799</v>
      </c>
      <c r="R245" s="46">
        <f>IF(VLOOKUP($C245,REV!$C:$AA,16,0)-'TRADE IN'!$F245=0,"",(VLOOKUP($C245,REV!$C:$AA,16,0)-'TRADE IN'!$F245))</f>
        <v>799</v>
      </c>
      <c r="S245" s="46">
        <f>IF(VLOOKUP($C245,REV!$C:$AA,17,0)-'TRADE IN'!$F245=0,"",(VLOOKUP($C245,REV!$C:$AA,17,0)-'TRADE IN'!$F245))</f>
        <v>799</v>
      </c>
      <c r="T245" s="46">
        <f>IF(VLOOKUP($C245,REV!$C:$AA,18,0)-'TRADE IN'!$F245=0,"",(VLOOKUP($C245,REV!$C:$AA,18,0)-'TRADE IN'!$F245))</f>
        <v>799</v>
      </c>
      <c r="U245" s="46">
        <f>IF(VLOOKUP($C245,REV!$C:$AA,19,0)-'TRADE IN'!$F245=0,"",(VLOOKUP($C245,REV!$C:$AA,19,0)-'TRADE IN'!$F245))</f>
        <v>799</v>
      </c>
      <c r="V245" s="46">
        <f>IF(VLOOKUP($C245,REV!$C:$AA,20,0)-'TRADE IN'!$F245=0,"",(VLOOKUP($C245,REV!$C:$AA,20,0)-'TRADE IN'!$F245))</f>
        <v>799</v>
      </c>
      <c r="W245" s="46">
        <f>IF(VLOOKUP($C245,REV!$C:$AA,21,0)-'TRADE IN'!$F245=0,"",(VLOOKUP($C245,REV!$C:$AA,21,0)-'TRADE IN'!$F245))</f>
        <v>799</v>
      </c>
      <c r="X245" s="46">
        <f>IF(VLOOKUP($C245,REV!$C:$AA,22,0)-'TRADE IN'!$F245=0,"",(VLOOKUP($C245,REV!$C:$AA,22,0)-'TRADE IN'!$F245))</f>
        <v>799</v>
      </c>
      <c r="Y245" s="46">
        <f>IF(VLOOKUP($C245,REV!$C:$AA,23,0)-'TRADE IN'!$F245=0,"",(VLOOKUP($C245,REV!$C:$AA,23,0)-'TRADE IN'!$F245))</f>
        <v>699</v>
      </c>
      <c r="Z245" s="46">
        <f>IF(VLOOKUP($C245,REV!$C:$AA,24,0)-'TRADE IN'!$F245=0,"",(VLOOKUP($C245,REV!$C:$AA,24,0)-'TRADE IN'!$F245))</f>
        <v>699</v>
      </c>
      <c r="AA245" s="46">
        <f>IF(VLOOKUP($C245,REV!$C:$AA,25,0)-'TRADE IN'!$F245=0,"",(VLOOKUP($C245,REV!$C:$AA,25,0)-'TRADE IN'!$F245))</f>
        <v>699</v>
      </c>
      <c r="AB245" s="45"/>
      <c r="AC245" s="45"/>
      <c r="AD245" s="45"/>
      <c r="AE245" s="45"/>
      <c r="AF245" s="45"/>
      <c r="AG245" s="45"/>
      <c r="AH245" s="45"/>
      <c r="AI245" s="45"/>
      <c r="AJ245" s="45"/>
      <c r="AK245" s="45"/>
      <c r="AL245" s="45"/>
      <c r="AM245" s="45"/>
      <c r="AN245" s="45"/>
      <c r="AO245" s="45"/>
      <c r="AP245" s="45"/>
      <c r="AQ245" s="45"/>
      <c r="AR245" s="45"/>
      <c r="AS245" s="45"/>
      <c r="AT245" s="45"/>
      <c r="AU245" s="45"/>
      <c r="AV245" s="47"/>
      <c r="AW245" s="48" t="str">
        <f>REV!AW245</f>
        <v>13.08.2026</v>
      </c>
      <c r="AX245" s="149" t="s">
        <v>230</v>
      </c>
    </row>
    <row r="246" spans="1:50" ht="22.5" customHeight="1">
      <c r="A246" s="55" t="s">
        <v>222</v>
      </c>
      <c r="B246" s="42" t="s">
        <v>64</v>
      </c>
      <c r="C246" s="43">
        <v>4017363</v>
      </c>
      <c r="D246" s="56" t="s">
        <v>395</v>
      </c>
      <c r="E246" s="56" t="s">
        <v>398</v>
      </c>
      <c r="F246" s="45">
        <v>100</v>
      </c>
      <c r="G246" s="45"/>
      <c r="H246" s="45"/>
      <c r="I246" s="45"/>
      <c r="J246" s="46">
        <f>IF(VLOOKUP($C246,REV!$C:$AA,8,0)-'TRADE IN'!$F246=0,"",(VLOOKUP($C246,REV!$C:$AA,8,0)-'TRADE IN'!$F246))</f>
        <v>1049</v>
      </c>
      <c r="K246" s="46">
        <f>IF(VLOOKUP($C246,REV!$C:$AA,9,0)-'TRADE IN'!$F246=0,"",(VLOOKUP($C246,REV!$C:$AA,9,0)-'TRADE IN'!$F246))</f>
        <v>849</v>
      </c>
      <c r="L246" s="46">
        <f>IF(VLOOKUP($C246,REV!$C:$AA,10,0)-'TRADE IN'!$F246=0,"",(VLOOKUP($C246,REV!$C:$AA,10,0)-'TRADE IN'!$F246))</f>
        <v>849</v>
      </c>
      <c r="M246" s="46">
        <f>IF(VLOOKUP($C246,REV!$C:$AA,11,0)-'TRADE IN'!$F246=0,"",(VLOOKUP($C246,REV!$C:$AA,11,0)-'TRADE IN'!$F246))</f>
        <v>1049</v>
      </c>
      <c r="N246" s="46">
        <f>IF(VLOOKUP($C246,REV!$C:$AA,12,0)-'TRADE IN'!$F246=0,"",(VLOOKUP($C246,REV!$C:$AA,12,0)-'TRADE IN'!$F246))</f>
        <v>849</v>
      </c>
      <c r="O246" s="46">
        <f>IF(VLOOKUP($C246,REV!$C:$AA,13,0)-'TRADE IN'!$F246=0,"",(VLOOKUP($C246,REV!$C:$AA,13,0)-'TRADE IN'!$F246))</f>
        <v>799</v>
      </c>
      <c r="P246" s="46">
        <f>IF(VLOOKUP($C246,REV!$C:$AA,14,0)-'TRADE IN'!$F246=0,"",(VLOOKUP($C246,REV!$C:$AA,14,0)-'TRADE IN'!$F246))</f>
        <v>799</v>
      </c>
      <c r="Q246" s="46">
        <f>IF(VLOOKUP($C246,REV!$C:$AA,15,0)-'TRADE IN'!$F246=0,"",(VLOOKUP($C246,REV!$C:$AA,15,0)-'TRADE IN'!$F246))</f>
        <v>799</v>
      </c>
      <c r="R246" s="46">
        <f>IF(VLOOKUP($C246,REV!$C:$AA,16,0)-'TRADE IN'!$F246=0,"",(VLOOKUP($C246,REV!$C:$AA,16,0)-'TRADE IN'!$F246))</f>
        <v>799</v>
      </c>
      <c r="S246" s="46">
        <f>IF(VLOOKUP($C246,REV!$C:$AA,17,0)-'TRADE IN'!$F246=0,"",(VLOOKUP($C246,REV!$C:$AA,17,0)-'TRADE IN'!$F246))</f>
        <v>799</v>
      </c>
      <c r="T246" s="46">
        <f>IF(VLOOKUP($C246,REV!$C:$AA,18,0)-'TRADE IN'!$F246=0,"",(VLOOKUP($C246,REV!$C:$AA,18,0)-'TRADE IN'!$F246))</f>
        <v>799</v>
      </c>
      <c r="U246" s="46">
        <f>IF(VLOOKUP($C246,REV!$C:$AA,19,0)-'TRADE IN'!$F246=0,"",(VLOOKUP($C246,REV!$C:$AA,19,0)-'TRADE IN'!$F246))</f>
        <v>799</v>
      </c>
      <c r="V246" s="46">
        <f>IF(VLOOKUP($C246,REV!$C:$AA,20,0)-'TRADE IN'!$F246=0,"",(VLOOKUP($C246,REV!$C:$AA,20,0)-'TRADE IN'!$F246))</f>
        <v>799</v>
      </c>
      <c r="W246" s="46">
        <f>IF(VLOOKUP($C246,REV!$C:$AA,21,0)-'TRADE IN'!$F246=0,"",(VLOOKUP($C246,REV!$C:$AA,21,0)-'TRADE IN'!$F246))</f>
        <v>799</v>
      </c>
      <c r="X246" s="46">
        <f>IF(VLOOKUP($C246,REV!$C:$AA,22,0)-'TRADE IN'!$F246=0,"",(VLOOKUP($C246,REV!$C:$AA,22,0)-'TRADE IN'!$F246))</f>
        <v>799</v>
      </c>
      <c r="Y246" s="46">
        <f>IF(VLOOKUP($C246,REV!$C:$AA,23,0)-'TRADE IN'!$F246=0,"",(VLOOKUP($C246,REV!$C:$AA,23,0)-'TRADE IN'!$F246))</f>
        <v>699</v>
      </c>
      <c r="Z246" s="46">
        <f>IF(VLOOKUP($C246,REV!$C:$AA,24,0)-'TRADE IN'!$F246=0,"",(VLOOKUP($C246,REV!$C:$AA,24,0)-'TRADE IN'!$F246))</f>
        <v>699</v>
      </c>
      <c r="AA246" s="46">
        <f>IF(VLOOKUP($C246,REV!$C:$AA,25,0)-'TRADE IN'!$F246=0,"",(VLOOKUP($C246,REV!$C:$AA,25,0)-'TRADE IN'!$F246))</f>
        <v>699</v>
      </c>
      <c r="AB246" s="45"/>
      <c r="AC246" s="45"/>
      <c r="AD246" s="45"/>
      <c r="AE246" s="45"/>
      <c r="AF246" s="45"/>
      <c r="AG246" s="45"/>
      <c r="AH246" s="45"/>
      <c r="AI246" s="45"/>
      <c r="AJ246" s="45"/>
      <c r="AK246" s="45"/>
      <c r="AL246" s="45"/>
      <c r="AM246" s="45"/>
      <c r="AN246" s="45"/>
      <c r="AO246" s="45"/>
      <c r="AP246" s="45"/>
      <c r="AQ246" s="45"/>
      <c r="AR246" s="45"/>
      <c r="AS246" s="45"/>
      <c r="AT246" s="45"/>
      <c r="AU246" s="45"/>
      <c r="AV246" s="47"/>
      <c r="AW246" s="48" t="str">
        <f>REV!AW246</f>
        <v>13.08.2026</v>
      </c>
      <c r="AX246" s="149" t="s">
        <v>230</v>
      </c>
    </row>
    <row r="247" spans="1:50" ht="22.5" customHeight="1">
      <c r="A247" s="55" t="s">
        <v>222</v>
      </c>
      <c r="B247" s="42" t="s">
        <v>64</v>
      </c>
      <c r="C247" s="43">
        <v>4017383</v>
      </c>
      <c r="D247" s="56" t="s">
        <v>395</v>
      </c>
      <c r="E247" s="56" t="s">
        <v>399</v>
      </c>
      <c r="F247" s="45">
        <v>100</v>
      </c>
      <c r="G247" s="45"/>
      <c r="H247" s="45"/>
      <c r="I247" s="45"/>
      <c r="J247" s="46">
        <f>IF(VLOOKUP($C247,REV!$C:$AA,8,0)-'TRADE IN'!$F247=0,"",(VLOOKUP($C247,REV!$C:$AA,8,0)-'TRADE IN'!$F247))</f>
        <v>1049</v>
      </c>
      <c r="K247" s="46">
        <f>IF(VLOOKUP($C247,REV!$C:$AA,9,0)-'TRADE IN'!$F247=0,"",(VLOOKUP($C247,REV!$C:$AA,9,0)-'TRADE IN'!$F247))</f>
        <v>849</v>
      </c>
      <c r="L247" s="46">
        <f>IF(VLOOKUP($C247,REV!$C:$AA,10,0)-'TRADE IN'!$F247=0,"",(VLOOKUP($C247,REV!$C:$AA,10,0)-'TRADE IN'!$F247))</f>
        <v>849</v>
      </c>
      <c r="M247" s="46">
        <f>IF(VLOOKUP($C247,REV!$C:$AA,11,0)-'TRADE IN'!$F247=0,"",(VLOOKUP($C247,REV!$C:$AA,11,0)-'TRADE IN'!$F247))</f>
        <v>1049</v>
      </c>
      <c r="N247" s="46">
        <f>IF(VLOOKUP($C247,REV!$C:$AA,12,0)-'TRADE IN'!$F247=0,"",(VLOOKUP($C247,REV!$C:$AA,12,0)-'TRADE IN'!$F247))</f>
        <v>849</v>
      </c>
      <c r="O247" s="46">
        <f>IF(VLOOKUP($C247,REV!$C:$AA,13,0)-'TRADE IN'!$F247=0,"",(VLOOKUP($C247,REV!$C:$AA,13,0)-'TRADE IN'!$F247))</f>
        <v>799</v>
      </c>
      <c r="P247" s="46">
        <f>IF(VLOOKUP($C247,REV!$C:$AA,14,0)-'TRADE IN'!$F247=0,"",(VLOOKUP($C247,REV!$C:$AA,14,0)-'TRADE IN'!$F247))</f>
        <v>799</v>
      </c>
      <c r="Q247" s="46">
        <f>IF(VLOOKUP($C247,REV!$C:$AA,15,0)-'TRADE IN'!$F247=0,"",(VLOOKUP($C247,REV!$C:$AA,15,0)-'TRADE IN'!$F247))</f>
        <v>799</v>
      </c>
      <c r="R247" s="46">
        <f>IF(VLOOKUP($C247,REV!$C:$AA,16,0)-'TRADE IN'!$F247=0,"",(VLOOKUP($C247,REV!$C:$AA,16,0)-'TRADE IN'!$F247))</f>
        <v>799</v>
      </c>
      <c r="S247" s="46">
        <f>IF(VLOOKUP($C247,REV!$C:$AA,17,0)-'TRADE IN'!$F247=0,"",(VLOOKUP($C247,REV!$C:$AA,17,0)-'TRADE IN'!$F247))</f>
        <v>799</v>
      </c>
      <c r="T247" s="46">
        <f>IF(VLOOKUP($C247,REV!$C:$AA,18,0)-'TRADE IN'!$F247=0,"",(VLOOKUP($C247,REV!$C:$AA,18,0)-'TRADE IN'!$F247))</f>
        <v>799</v>
      </c>
      <c r="U247" s="46">
        <f>IF(VLOOKUP($C247,REV!$C:$AA,19,0)-'TRADE IN'!$F247=0,"",(VLOOKUP($C247,REV!$C:$AA,19,0)-'TRADE IN'!$F247))</f>
        <v>799</v>
      </c>
      <c r="V247" s="46">
        <f>IF(VLOOKUP($C247,REV!$C:$AA,20,0)-'TRADE IN'!$F247=0,"",(VLOOKUP($C247,REV!$C:$AA,20,0)-'TRADE IN'!$F247))</f>
        <v>799</v>
      </c>
      <c r="W247" s="46">
        <f>IF(VLOOKUP($C247,REV!$C:$AA,21,0)-'TRADE IN'!$F247=0,"",(VLOOKUP($C247,REV!$C:$AA,21,0)-'TRADE IN'!$F247))</f>
        <v>799</v>
      </c>
      <c r="X247" s="46">
        <f>IF(VLOOKUP($C247,REV!$C:$AA,22,0)-'TRADE IN'!$F247=0,"",(VLOOKUP($C247,REV!$C:$AA,22,0)-'TRADE IN'!$F247))</f>
        <v>799</v>
      </c>
      <c r="Y247" s="46">
        <f>IF(VLOOKUP($C247,REV!$C:$AA,23,0)-'TRADE IN'!$F247=0,"",(VLOOKUP($C247,REV!$C:$AA,23,0)-'TRADE IN'!$F247))</f>
        <v>699</v>
      </c>
      <c r="Z247" s="46">
        <f>IF(VLOOKUP($C247,REV!$C:$AA,24,0)-'TRADE IN'!$F247=0,"",(VLOOKUP($C247,REV!$C:$AA,24,0)-'TRADE IN'!$F247))</f>
        <v>699</v>
      </c>
      <c r="AA247" s="46">
        <f>IF(VLOOKUP($C247,REV!$C:$AA,25,0)-'TRADE IN'!$F247=0,"",(VLOOKUP($C247,REV!$C:$AA,25,0)-'TRADE IN'!$F247))</f>
        <v>699</v>
      </c>
      <c r="AB247" s="45"/>
      <c r="AC247" s="45"/>
      <c r="AD247" s="45"/>
      <c r="AE247" s="45"/>
      <c r="AF247" s="45"/>
      <c r="AG247" s="45"/>
      <c r="AH247" s="45"/>
      <c r="AI247" s="45"/>
      <c r="AJ247" s="45"/>
      <c r="AK247" s="45"/>
      <c r="AL247" s="45"/>
      <c r="AM247" s="45"/>
      <c r="AN247" s="45"/>
      <c r="AO247" s="45"/>
      <c r="AP247" s="45"/>
      <c r="AQ247" s="45"/>
      <c r="AR247" s="45"/>
      <c r="AS247" s="45"/>
      <c r="AT247" s="45"/>
      <c r="AU247" s="45"/>
      <c r="AV247" s="47"/>
      <c r="AW247" s="48" t="str">
        <f>REV!AW247</f>
        <v>13.08.2026</v>
      </c>
      <c r="AX247" s="149" t="s">
        <v>230</v>
      </c>
    </row>
    <row r="248" spans="1:50" ht="22.5" customHeight="1">
      <c r="A248" s="55" t="s">
        <v>222</v>
      </c>
      <c r="B248" s="42" t="s">
        <v>64</v>
      </c>
      <c r="C248" s="43">
        <v>4017358</v>
      </c>
      <c r="D248" s="56" t="s">
        <v>400</v>
      </c>
      <c r="E248" s="56" t="s">
        <v>401</v>
      </c>
      <c r="F248" s="45">
        <v>100</v>
      </c>
      <c r="G248" s="45"/>
      <c r="H248" s="45"/>
      <c r="I248" s="45"/>
      <c r="J248" s="46">
        <f>IF(VLOOKUP($C248,REV!$C:$AA,8,0)-'TRADE IN'!$F248=0,"",(VLOOKUP($C248,REV!$C:$AA,8,0)-'TRADE IN'!$F248))</f>
        <v>1099</v>
      </c>
      <c r="K248" s="46">
        <f>IF(VLOOKUP($C248,REV!$C:$AA,9,0)-'TRADE IN'!$F248=0,"",(VLOOKUP($C248,REV!$C:$AA,9,0)-'TRADE IN'!$F248))</f>
        <v>949</v>
      </c>
      <c r="L248" s="46">
        <f>IF(VLOOKUP($C248,REV!$C:$AA,10,0)-'TRADE IN'!$F248=0,"",(VLOOKUP($C248,REV!$C:$AA,10,0)-'TRADE IN'!$F248))</f>
        <v>949</v>
      </c>
      <c r="M248" s="46">
        <f>IF(VLOOKUP($C248,REV!$C:$AA,11,0)-'TRADE IN'!$F248=0,"",(VLOOKUP($C248,REV!$C:$AA,11,0)-'TRADE IN'!$F248))</f>
        <v>1099</v>
      </c>
      <c r="N248" s="46">
        <f>IF(VLOOKUP($C248,REV!$C:$AA,12,0)-'TRADE IN'!$F248=0,"",(VLOOKUP($C248,REV!$C:$AA,12,0)-'TRADE IN'!$F248))</f>
        <v>949</v>
      </c>
      <c r="O248" s="46">
        <f>IF(VLOOKUP($C248,REV!$C:$AA,13,0)-'TRADE IN'!$F248=0,"",(VLOOKUP($C248,REV!$C:$AA,13,0)-'TRADE IN'!$F248))</f>
        <v>899</v>
      </c>
      <c r="P248" s="46">
        <f>IF(VLOOKUP($C248,REV!$C:$AA,14,0)-'TRADE IN'!$F248=0,"",(VLOOKUP($C248,REV!$C:$AA,14,0)-'TRADE IN'!$F248))</f>
        <v>899</v>
      </c>
      <c r="Q248" s="46">
        <f>IF(VLOOKUP($C248,REV!$C:$AA,15,0)-'TRADE IN'!$F248=0,"",(VLOOKUP($C248,REV!$C:$AA,15,0)-'TRADE IN'!$F248))</f>
        <v>899</v>
      </c>
      <c r="R248" s="46">
        <f>IF(VLOOKUP($C248,REV!$C:$AA,16,0)-'TRADE IN'!$F248=0,"",(VLOOKUP($C248,REV!$C:$AA,16,0)-'TRADE IN'!$F248))</f>
        <v>899</v>
      </c>
      <c r="S248" s="46">
        <f>IF(VLOOKUP($C248,REV!$C:$AA,17,0)-'TRADE IN'!$F248=0,"",(VLOOKUP($C248,REV!$C:$AA,17,0)-'TRADE IN'!$F248))</f>
        <v>899</v>
      </c>
      <c r="T248" s="46">
        <f>IF(VLOOKUP($C248,REV!$C:$AA,18,0)-'TRADE IN'!$F248=0,"",(VLOOKUP($C248,REV!$C:$AA,18,0)-'TRADE IN'!$F248))</f>
        <v>899</v>
      </c>
      <c r="U248" s="46">
        <f>IF(VLOOKUP($C248,REV!$C:$AA,19,0)-'TRADE IN'!$F248=0,"",(VLOOKUP($C248,REV!$C:$AA,19,0)-'TRADE IN'!$F248))</f>
        <v>899</v>
      </c>
      <c r="V248" s="46">
        <f>IF(VLOOKUP($C248,REV!$C:$AA,20,0)-'TRADE IN'!$F248=0,"",(VLOOKUP($C248,REV!$C:$AA,20,0)-'TRADE IN'!$F248))</f>
        <v>899</v>
      </c>
      <c r="W248" s="46">
        <f>IF(VLOOKUP($C248,REV!$C:$AA,21,0)-'TRADE IN'!$F248=0,"",(VLOOKUP($C248,REV!$C:$AA,21,0)-'TRADE IN'!$F248))</f>
        <v>899</v>
      </c>
      <c r="X248" s="46">
        <f>IF(VLOOKUP($C248,REV!$C:$AA,22,0)-'TRADE IN'!$F248=0,"",(VLOOKUP($C248,REV!$C:$AA,22,0)-'TRADE IN'!$F248))</f>
        <v>899</v>
      </c>
      <c r="Y248" s="46">
        <f>IF(VLOOKUP($C248,REV!$C:$AA,23,0)-'TRADE IN'!$F248=0,"",(VLOOKUP($C248,REV!$C:$AA,23,0)-'TRADE IN'!$F248))</f>
        <v>799</v>
      </c>
      <c r="Z248" s="46">
        <f>IF(VLOOKUP($C248,REV!$C:$AA,24,0)-'TRADE IN'!$F248=0,"",(VLOOKUP($C248,REV!$C:$AA,24,0)-'TRADE IN'!$F248))</f>
        <v>799</v>
      </c>
      <c r="AA248" s="46">
        <f>IF(VLOOKUP($C248,REV!$C:$AA,25,0)-'TRADE IN'!$F248=0,"",(VLOOKUP($C248,REV!$C:$AA,25,0)-'TRADE IN'!$F248))</f>
        <v>799</v>
      </c>
      <c r="AB248" s="45"/>
      <c r="AC248" s="45"/>
      <c r="AD248" s="45"/>
      <c r="AE248" s="45"/>
      <c r="AF248" s="45"/>
      <c r="AG248" s="45"/>
      <c r="AH248" s="45"/>
      <c r="AI248" s="45"/>
      <c r="AJ248" s="45"/>
      <c r="AK248" s="45"/>
      <c r="AL248" s="45"/>
      <c r="AM248" s="45"/>
      <c r="AN248" s="45"/>
      <c r="AO248" s="45"/>
      <c r="AP248" s="45"/>
      <c r="AQ248" s="45"/>
      <c r="AR248" s="45"/>
      <c r="AS248" s="45"/>
      <c r="AT248" s="45"/>
      <c r="AU248" s="45"/>
      <c r="AV248" s="47"/>
      <c r="AW248" s="48" t="str">
        <f>REV!AW248</f>
        <v>13.08.2026</v>
      </c>
      <c r="AX248" s="149" t="s">
        <v>68</v>
      </c>
    </row>
    <row r="249" spans="1:50" ht="22.5" customHeight="1">
      <c r="A249" s="55" t="s">
        <v>222</v>
      </c>
      <c r="B249" s="42" t="s">
        <v>64</v>
      </c>
      <c r="C249" s="43">
        <v>4017365</v>
      </c>
      <c r="D249" s="56" t="s">
        <v>400</v>
      </c>
      <c r="E249" s="56" t="s">
        <v>402</v>
      </c>
      <c r="F249" s="45">
        <v>100</v>
      </c>
      <c r="G249" s="45"/>
      <c r="H249" s="45"/>
      <c r="I249" s="45"/>
      <c r="J249" s="46">
        <f>IF(VLOOKUP($C249,REV!$C:$AA,8,0)-'TRADE IN'!$F249=0,"",(VLOOKUP($C249,REV!$C:$AA,8,0)-'TRADE IN'!$F249))</f>
        <v>1099</v>
      </c>
      <c r="K249" s="46">
        <f>IF(VLOOKUP($C249,REV!$C:$AA,9,0)-'TRADE IN'!$F249=0,"",(VLOOKUP($C249,REV!$C:$AA,9,0)-'TRADE IN'!$F249))</f>
        <v>949</v>
      </c>
      <c r="L249" s="46">
        <f>IF(VLOOKUP($C249,REV!$C:$AA,10,0)-'TRADE IN'!$F249=0,"",(VLOOKUP($C249,REV!$C:$AA,10,0)-'TRADE IN'!$F249))</f>
        <v>949</v>
      </c>
      <c r="M249" s="46">
        <f>IF(VLOOKUP($C249,REV!$C:$AA,11,0)-'TRADE IN'!$F249=0,"",(VLOOKUP($C249,REV!$C:$AA,11,0)-'TRADE IN'!$F249))</f>
        <v>1099</v>
      </c>
      <c r="N249" s="46">
        <f>IF(VLOOKUP($C249,REV!$C:$AA,12,0)-'TRADE IN'!$F249=0,"",(VLOOKUP($C249,REV!$C:$AA,12,0)-'TRADE IN'!$F249))</f>
        <v>949</v>
      </c>
      <c r="O249" s="46">
        <f>IF(VLOOKUP($C249,REV!$C:$AA,13,0)-'TRADE IN'!$F249=0,"",(VLOOKUP($C249,REV!$C:$AA,13,0)-'TRADE IN'!$F249))</f>
        <v>899</v>
      </c>
      <c r="P249" s="46">
        <f>IF(VLOOKUP($C249,REV!$C:$AA,14,0)-'TRADE IN'!$F249=0,"",(VLOOKUP($C249,REV!$C:$AA,14,0)-'TRADE IN'!$F249))</f>
        <v>899</v>
      </c>
      <c r="Q249" s="46">
        <f>IF(VLOOKUP($C249,REV!$C:$AA,15,0)-'TRADE IN'!$F249=0,"",(VLOOKUP($C249,REV!$C:$AA,15,0)-'TRADE IN'!$F249))</f>
        <v>899</v>
      </c>
      <c r="R249" s="46">
        <f>IF(VLOOKUP($C249,REV!$C:$AA,16,0)-'TRADE IN'!$F249=0,"",(VLOOKUP($C249,REV!$C:$AA,16,0)-'TRADE IN'!$F249))</f>
        <v>899</v>
      </c>
      <c r="S249" s="46">
        <f>IF(VLOOKUP($C249,REV!$C:$AA,17,0)-'TRADE IN'!$F249=0,"",(VLOOKUP($C249,REV!$C:$AA,17,0)-'TRADE IN'!$F249))</f>
        <v>899</v>
      </c>
      <c r="T249" s="46">
        <f>IF(VLOOKUP($C249,REV!$C:$AA,18,0)-'TRADE IN'!$F249=0,"",(VLOOKUP($C249,REV!$C:$AA,18,0)-'TRADE IN'!$F249))</f>
        <v>899</v>
      </c>
      <c r="U249" s="46">
        <f>IF(VLOOKUP($C249,REV!$C:$AA,19,0)-'TRADE IN'!$F249=0,"",(VLOOKUP($C249,REV!$C:$AA,19,0)-'TRADE IN'!$F249))</f>
        <v>899</v>
      </c>
      <c r="V249" s="46">
        <f>IF(VLOOKUP($C249,REV!$C:$AA,20,0)-'TRADE IN'!$F249=0,"",(VLOOKUP($C249,REV!$C:$AA,20,0)-'TRADE IN'!$F249))</f>
        <v>899</v>
      </c>
      <c r="W249" s="46">
        <f>IF(VLOOKUP($C249,REV!$C:$AA,21,0)-'TRADE IN'!$F249=0,"",(VLOOKUP($C249,REV!$C:$AA,21,0)-'TRADE IN'!$F249))</f>
        <v>899</v>
      </c>
      <c r="X249" s="46">
        <f>IF(VLOOKUP($C249,REV!$C:$AA,22,0)-'TRADE IN'!$F249=0,"",(VLOOKUP($C249,REV!$C:$AA,22,0)-'TRADE IN'!$F249))</f>
        <v>899</v>
      </c>
      <c r="Y249" s="46">
        <f>IF(VLOOKUP($C249,REV!$C:$AA,23,0)-'TRADE IN'!$F249=0,"",(VLOOKUP($C249,REV!$C:$AA,23,0)-'TRADE IN'!$F249))</f>
        <v>799</v>
      </c>
      <c r="Z249" s="46">
        <f>IF(VLOOKUP($C249,REV!$C:$AA,24,0)-'TRADE IN'!$F249=0,"",(VLOOKUP($C249,REV!$C:$AA,24,0)-'TRADE IN'!$F249))</f>
        <v>799</v>
      </c>
      <c r="AA249" s="46">
        <f>IF(VLOOKUP($C249,REV!$C:$AA,25,0)-'TRADE IN'!$F249=0,"",(VLOOKUP($C249,REV!$C:$AA,25,0)-'TRADE IN'!$F249))</f>
        <v>799</v>
      </c>
      <c r="AB249" s="45"/>
      <c r="AC249" s="45"/>
      <c r="AD249" s="45"/>
      <c r="AE249" s="45"/>
      <c r="AF249" s="45"/>
      <c r="AG249" s="45"/>
      <c r="AH249" s="45"/>
      <c r="AI249" s="45"/>
      <c r="AJ249" s="45"/>
      <c r="AK249" s="45"/>
      <c r="AL249" s="45"/>
      <c r="AM249" s="45"/>
      <c r="AN249" s="45"/>
      <c r="AO249" s="45"/>
      <c r="AP249" s="45"/>
      <c r="AQ249" s="45"/>
      <c r="AR249" s="45"/>
      <c r="AS249" s="45"/>
      <c r="AT249" s="45"/>
      <c r="AU249" s="45"/>
      <c r="AV249" s="47"/>
      <c r="AW249" s="48" t="str">
        <f>REV!AW249</f>
        <v>13.08.2026</v>
      </c>
      <c r="AX249" s="149" t="s">
        <v>68</v>
      </c>
    </row>
    <row r="250" spans="1:50" ht="22.5" customHeight="1">
      <c r="A250" s="55" t="s">
        <v>222</v>
      </c>
      <c r="B250" s="42" t="s">
        <v>64</v>
      </c>
      <c r="C250" s="43">
        <v>4017378</v>
      </c>
      <c r="D250" s="56" t="s">
        <v>400</v>
      </c>
      <c r="E250" s="56" t="s">
        <v>403</v>
      </c>
      <c r="F250" s="45">
        <v>100</v>
      </c>
      <c r="G250" s="45"/>
      <c r="H250" s="45"/>
      <c r="I250" s="45"/>
      <c r="J250" s="46">
        <f>IF(VLOOKUP($C250,REV!$C:$AA,8,0)-'TRADE IN'!$F250=0,"",(VLOOKUP($C250,REV!$C:$AA,8,0)-'TRADE IN'!$F250))</f>
        <v>1099</v>
      </c>
      <c r="K250" s="46">
        <f>IF(VLOOKUP($C250,REV!$C:$AA,9,0)-'TRADE IN'!$F250=0,"",(VLOOKUP($C250,REV!$C:$AA,9,0)-'TRADE IN'!$F250))</f>
        <v>949</v>
      </c>
      <c r="L250" s="46">
        <f>IF(VLOOKUP($C250,REV!$C:$AA,10,0)-'TRADE IN'!$F250=0,"",(VLOOKUP($C250,REV!$C:$AA,10,0)-'TRADE IN'!$F250))</f>
        <v>949</v>
      </c>
      <c r="M250" s="46">
        <f>IF(VLOOKUP($C250,REV!$C:$AA,11,0)-'TRADE IN'!$F250=0,"",(VLOOKUP($C250,REV!$C:$AA,11,0)-'TRADE IN'!$F250))</f>
        <v>1099</v>
      </c>
      <c r="N250" s="46">
        <f>IF(VLOOKUP($C250,REV!$C:$AA,12,0)-'TRADE IN'!$F250=0,"",(VLOOKUP($C250,REV!$C:$AA,12,0)-'TRADE IN'!$F250))</f>
        <v>949</v>
      </c>
      <c r="O250" s="46">
        <f>IF(VLOOKUP($C250,REV!$C:$AA,13,0)-'TRADE IN'!$F250=0,"",(VLOOKUP($C250,REV!$C:$AA,13,0)-'TRADE IN'!$F250))</f>
        <v>899</v>
      </c>
      <c r="P250" s="46">
        <f>IF(VLOOKUP($C250,REV!$C:$AA,14,0)-'TRADE IN'!$F250=0,"",(VLOOKUP($C250,REV!$C:$AA,14,0)-'TRADE IN'!$F250))</f>
        <v>899</v>
      </c>
      <c r="Q250" s="46">
        <f>IF(VLOOKUP($C250,REV!$C:$AA,15,0)-'TRADE IN'!$F250=0,"",(VLOOKUP($C250,REV!$C:$AA,15,0)-'TRADE IN'!$F250))</f>
        <v>899</v>
      </c>
      <c r="R250" s="46">
        <f>IF(VLOOKUP($C250,REV!$C:$AA,16,0)-'TRADE IN'!$F250=0,"",(VLOOKUP($C250,REV!$C:$AA,16,0)-'TRADE IN'!$F250))</f>
        <v>899</v>
      </c>
      <c r="S250" s="46">
        <f>IF(VLOOKUP($C250,REV!$C:$AA,17,0)-'TRADE IN'!$F250=0,"",(VLOOKUP($C250,REV!$C:$AA,17,0)-'TRADE IN'!$F250))</f>
        <v>899</v>
      </c>
      <c r="T250" s="46">
        <f>IF(VLOOKUP($C250,REV!$C:$AA,18,0)-'TRADE IN'!$F250=0,"",(VLOOKUP($C250,REV!$C:$AA,18,0)-'TRADE IN'!$F250))</f>
        <v>899</v>
      </c>
      <c r="U250" s="46">
        <f>IF(VLOOKUP($C250,REV!$C:$AA,19,0)-'TRADE IN'!$F250=0,"",(VLOOKUP($C250,REV!$C:$AA,19,0)-'TRADE IN'!$F250))</f>
        <v>899</v>
      </c>
      <c r="V250" s="46">
        <f>IF(VLOOKUP($C250,REV!$C:$AA,20,0)-'TRADE IN'!$F250=0,"",(VLOOKUP($C250,REV!$C:$AA,20,0)-'TRADE IN'!$F250))</f>
        <v>899</v>
      </c>
      <c r="W250" s="46">
        <f>IF(VLOOKUP($C250,REV!$C:$AA,21,0)-'TRADE IN'!$F250=0,"",(VLOOKUP($C250,REV!$C:$AA,21,0)-'TRADE IN'!$F250))</f>
        <v>899</v>
      </c>
      <c r="X250" s="46">
        <f>IF(VLOOKUP($C250,REV!$C:$AA,22,0)-'TRADE IN'!$F250=0,"",(VLOOKUP($C250,REV!$C:$AA,22,0)-'TRADE IN'!$F250))</f>
        <v>899</v>
      </c>
      <c r="Y250" s="46">
        <f>IF(VLOOKUP($C250,REV!$C:$AA,23,0)-'TRADE IN'!$F250=0,"",(VLOOKUP($C250,REV!$C:$AA,23,0)-'TRADE IN'!$F250))</f>
        <v>799</v>
      </c>
      <c r="Z250" s="46">
        <f>IF(VLOOKUP($C250,REV!$C:$AA,24,0)-'TRADE IN'!$F250=0,"",(VLOOKUP($C250,REV!$C:$AA,24,0)-'TRADE IN'!$F250))</f>
        <v>799</v>
      </c>
      <c r="AA250" s="46">
        <f>IF(VLOOKUP($C250,REV!$C:$AA,25,0)-'TRADE IN'!$F250=0,"",(VLOOKUP($C250,REV!$C:$AA,25,0)-'TRADE IN'!$F250))</f>
        <v>799</v>
      </c>
      <c r="AB250" s="45"/>
      <c r="AC250" s="45"/>
      <c r="AD250" s="45"/>
      <c r="AE250" s="45"/>
      <c r="AF250" s="45"/>
      <c r="AG250" s="45"/>
      <c r="AH250" s="45"/>
      <c r="AI250" s="45"/>
      <c r="AJ250" s="45"/>
      <c r="AK250" s="45"/>
      <c r="AL250" s="45"/>
      <c r="AM250" s="45"/>
      <c r="AN250" s="45"/>
      <c r="AO250" s="45"/>
      <c r="AP250" s="45"/>
      <c r="AQ250" s="45"/>
      <c r="AR250" s="45"/>
      <c r="AS250" s="45"/>
      <c r="AT250" s="45"/>
      <c r="AU250" s="45"/>
      <c r="AV250" s="47"/>
      <c r="AW250" s="48" t="str">
        <f>REV!AW250</f>
        <v>13.08.2026</v>
      </c>
      <c r="AX250" s="149" t="s">
        <v>68</v>
      </c>
    </row>
    <row r="251" spans="1:50" ht="22.5" customHeight="1">
      <c r="A251" s="55" t="s">
        <v>222</v>
      </c>
      <c r="B251" s="42" t="s">
        <v>64</v>
      </c>
      <c r="C251" s="43">
        <v>4017384</v>
      </c>
      <c r="D251" s="56" t="s">
        <v>400</v>
      </c>
      <c r="E251" s="56" t="s">
        <v>404</v>
      </c>
      <c r="F251" s="45">
        <v>100</v>
      </c>
      <c r="G251" s="45"/>
      <c r="H251" s="45"/>
      <c r="I251" s="45"/>
      <c r="J251" s="46">
        <f>IF(VLOOKUP($C251,REV!$C:$AA,8,0)-'TRADE IN'!$F251=0,"",(VLOOKUP($C251,REV!$C:$AA,8,0)-'TRADE IN'!$F251))</f>
        <v>1099</v>
      </c>
      <c r="K251" s="46">
        <f>IF(VLOOKUP($C251,REV!$C:$AA,9,0)-'TRADE IN'!$F251=0,"",(VLOOKUP($C251,REV!$C:$AA,9,0)-'TRADE IN'!$F251))</f>
        <v>949</v>
      </c>
      <c r="L251" s="46">
        <f>IF(VLOOKUP($C251,REV!$C:$AA,10,0)-'TRADE IN'!$F251=0,"",(VLOOKUP($C251,REV!$C:$AA,10,0)-'TRADE IN'!$F251))</f>
        <v>949</v>
      </c>
      <c r="M251" s="46">
        <f>IF(VLOOKUP($C251,REV!$C:$AA,11,0)-'TRADE IN'!$F251=0,"",(VLOOKUP($C251,REV!$C:$AA,11,0)-'TRADE IN'!$F251))</f>
        <v>1099</v>
      </c>
      <c r="N251" s="46">
        <f>IF(VLOOKUP($C251,REV!$C:$AA,12,0)-'TRADE IN'!$F251=0,"",(VLOOKUP($C251,REV!$C:$AA,12,0)-'TRADE IN'!$F251))</f>
        <v>949</v>
      </c>
      <c r="O251" s="46">
        <f>IF(VLOOKUP($C251,REV!$C:$AA,13,0)-'TRADE IN'!$F251=0,"",(VLOOKUP($C251,REV!$C:$AA,13,0)-'TRADE IN'!$F251))</f>
        <v>899</v>
      </c>
      <c r="P251" s="46">
        <f>IF(VLOOKUP($C251,REV!$C:$AA,14,0)-'TRADE IN'!$F251=0,"",(VLOOKUP($C251,REV!$C:$AA,14,0)-'TRADE IN'!$F251))</f>
        <v>899</v>
      </c>
      <c r="Q251" s="46">
        <f>IF(VLOOKUP($C251,REV!$C:$AA,15,0)-'TRADE IN'!$F251=0,"",(VLOOKUP($C251,REV!$C:$AA,15,0)-'TRADE IN'!$F251))</f>
        <v>899</v>
      </c>
      <c r="R251" s="46">
        <f>IF(VLOOKUP($C251,REV!$C:$AA,16,0)-'TRADE IN'!$F251=0,"",(VLOOKUP($C251,REV!$C:$AA,16,0)-'TRADE IN'!$F251))</f>
        <v>899</v>
      </c>
      <c r="S251" s="46">
        <f>IF(VLOOKUP($C251,REV!$C:$AA,17,0)-'TRADE IN'!$F251=0,"",(VLOOKUP($C251,REV!$C:$AA,17,0)-'TRADE IN'!$F251))</f>
        <v>899</v>
      </c>
      <c r="T251" s="46">
        <f>IF(VLOOKUP($C251,REV!$C:$AA,18,0)-'TRADE IN'!$F251=0,"",(VLOOKUP($C251,REV!$C:$AA,18,0)-'TRADE IN'!$F251))</f>
        <v>899</v>
      </c>
      <c r="U251" s="46">
        <f>IF(VLOOKUP($C251,REV!$C:$AA,19,0)-'TRADE IN'!$F251=0,"",(VLOOKUP($C251,REV!$C:$AA,19,0)-'TRADE IN'!$F251))</f>
        <v>899</v>
      </c>
      <c r="V251" s="46">
        <f>IF(VLOOKUP($C251,REV!$C:$AA,20,0)-'TRADE IN'!$F251=0,"",(VLOOKUP($C251,REV!$C:$AA,20,0)-'TRADE IN'!$F251))</f>
        <v>899</v>
      </c>
      <c r="W251" s="46">
        <f>IF(VLOOKUP($C251,REV!$C:$AA,21,0)-'TRADE IN'!$F251=0,"",(VLOOKUP($C251,REV!$C:$AA,21,0)-'TRADE IN'!$F251))</f>
        <v>899</v>
      </c>
      <c r="X251" s="46">
        <f>IF(VLOOKUP($C251,REV!$C:$AA,22,0)-'TRADE IN'!$F251=0,"",(VLOOKUP($C251,REV!$C:$AA,22,0)-'TRADE IN'!$F251))</f>
        <v>899</v>
      </c>
      <c r="Y251" s="46">
        <f>IF(VLOOKUP($C251,REV!$C:$AA,23,0)-'TRADE IN'!$F251=0,"",(VLOOKUP($C251,REV!$C:$AA,23,0)-'TRADE IN'!$F251))</f>
        <v>799</v>
      </c>
      <c r="Z251" s="46">
        <f>IF(VLOOKUP($C251,REV!$C:$AA,24,0)-'TRADE IN'!$F251=0,"",(VLOOKUP($C251,REV!$C:$AA,24,0)-'TRADE IN'!$F251))</f>
        <v>799</v>
      </c>
      <c r="AA251" s="46">
        <f>IF(VLOOKUP($C251,REV!$C:$AA,25,0)-'TRADE IN'!$F251=0,"",(VLOOKUP($C251,REV!$C:$AA,25,0)-'TRADE IN'!$F251))</f>
        <v>799</v>
      </c>
      <c r="AB251" s="45"/>
      <c r="AC251" s="45"/>
      <c r="AD251" s="45"/>
      <c r="AE251" s="45"/>
      <c r="AF251" s="45"/>
      <c r="AG251" s="45"/>
      <c r="AH251" s="45"/>
      <c r="AI251" s="45"/>
      <c r="AJ251" s="45"/>
      <c r="AK251" s="45"/>
      <c r="AL251" s="45"/>
      <c r="AM251" s="45"/>
      <c r="AN251" s="45"/>
      <c r="AO251" s="45"/>
      <c r="AP251" s="45"/>
      <c r="AQ251" s="45"/>
      <c r="AR251" s="45"/>
      <c r="AS251" s="45"/>
      <c r="AT251" s="45"/>
      <c r="AU251" s="45"/>
      <c r="AV251" s="47"/>
      <c r="AW251" s="48" t="str">
        <f>REV!AW251</f>
        <v>13.08.2026</v>
      </c>
      <c r="AX251" s="149" t="s">
        <v>68</v>
      </c>
    </row>
    <row r="252" spans="1:50" ht="22.5" customHeight="1">
      <c r="A252" s="55" t="s">
        <v>222</v>
      </c>
      <c r="B252" s="42" t="s">
        <v>64</v>
      </c>
      <c r="C252" s="43">
        <v>4017371</v>
      </c>
      <c r="D252" s="56" t="s">
        <v>400</v>
      </c>
      <c r="E252" s="56" t="s">
        <v>405</v>
      </c>
      <c r="F252" s="45">
        <v>100</v>
      </c>
      <c r="G252" s="45"/>
      <c r="H252" s="45"/>
      <c r="I252" s="45"/>
      <c r="J252" s="46">
        <f>IF(VLOOKUP($C252,REV!$C:$AA,8,0)-'TRADE IN'!$F252=0,"",(VLOOKUP($C252,REV!$C:$AA,8,0)-'TRADE IN'!$F252))</f>
        <v>1099</v>
      </c>
      <c r="K252" s="46">
        <f>IF(VLOOKUP($C252,REV!$C:$AA,9,0)-'TRADE IN'!$F252=0,"",(VLOOKUP($C252,REV!$C:$AA,9,0)-'TRADE IN'!$F252))</f>
        <v>949</v>
      </c>
      <c r="L252" s="46">
        <f>IF(VLOOKUP($C252,REV!$C:$AA,10,0)-'TRADE IN'!$F252=0,"",(VLOOKUP($C252,REV!$C:$AA,10,0)-'TRADE IN'!$F252))</f>
        <v>949</v>
      </c>
      <c r="M252" s="46">
        <f>IF(VLOOKUP($C252,REV!$C:$AA,11,0)-'TRADE IN'!$F252=0,"",(VLOOKUP($C252,REV!$C:$AA,11,0)-'TRADE IN'!$F252))</f>
        <v>1099</v>
      </c>
      <c r="N252" s="46">
        <f>IF(VLOOKUP($C252,REV!$C:$AA,12,0)-'TRADE IN'!$F252=0,"",(VLOOKUP($C252,REV!$C:$AA,12,0)-'TRADE IN'!$F252))</f>
        <v>949</v>
      </c>
      <c r="O252" s="46">
        <f>IF(VLOOKUP($C252,REV!$C:$AA,13,0)-'TRADE IN'!$F252=0,"",(VLOOKUP($C252,REV!$C:$AA,13,0)-'TRADE IN'!$F252))</f>
        <v>899</v>
      </c>
      <c r="P252" s="46">
        <f>IF(VLOOKUP($C252,REV!$C:$AA,14,0)-'TRADE IN'!$F252=0,"",(VLOOKUP($C252,REV!$C:$AA,14,0)-'TRADE IN'!$F252))</f>
        <v>899</v>
      </c>
      <c r="Q252" s="46">
        <f>IF(VLOOKUP($C252,REV!$C:$AA,15,0)-'TRADE IN'!$F252=0,"",(VLOOKUP($C252,REV!$C:$AA,15,0)-'TRADE IN'!$F252))</f>
        <v>899</v>
      </c>
      <c r="R252" s="46">
        <f>IF(VLOOKUP($C252,REV!$C:$AA,16,0)-'TRADE IN'!$F252=0,"",(VLOOKUP($C252,REV!$C:$AA,16,0)-'TRADE IN'!$F252))</f>
        <v>899</v>
      </c>
      <c r="S252" s="46">
        <f>IF(VLOOKUP($C252,REV!$C:$AA,17,0)-'TRADE IN'!$F252=0,"",(VLOOKUP($C252,REV!$C:$AA,17,0)-'TRADE IN'!$F252))</f>
        <v>899</v>
      </c>
      <c r="T252" s="46">
        <f>IF(VLOOKUP($C252,REV!$C:$AA,18,0)-'TRADE IN'!$F252=0,"",(VLOOKUP($C252,REV!$C:$AA,18,0)-'TRADE IN'!$F252))</f>
        <v>899</v>
      </c>
      <c r="U252" s="46">
        <f>IF(VLOOKUP($C252,REV!$C:$AA,19,0)-'TRADE IN'!$F252=0,"",(VLOOKUP($C252,REV!$C:$AA,19,0)-'TRADE IN'!$F252))</f>
        <v>899</v>
      </c>
      <c r="V252" s="46">
        <f>IF(VLOOKUP($C252,REV!$C:$AA,20,0)-'TRADE IN'!$F252=0,"",(VLOOKUP($C252,REV!$C:$AA,20,0)-'TRADE IN'!$F252))</f>
        <v>899</v>
      </c>
      <c r="W252" s="46">
        <f>IF(VLOOKUP($C252,REV!$C:$AA,21,0)-'TRADE IN'!$F252=0,"",(VLOOKUP($C252,REV!$C:$AA,21,0)-'TRADE IN'!$F252))</f>
        <v>899</v>
      </c>
      <c r="X252" s="46">
        <f>IF(VLOOKUP($C252,REV!$C:$AA,22,0)-'TRADE IN'!$F252=0,"",(VLOOKUP($C252,REV!$C:$AA,22,0)-'TRADE IN'!$F252))</f>
        <v>899</v>
      </c>
      <c r="Y252" s="46">
        <f>IF(VLOOKUP($C252,REV!$C:$AA,23,0)-'TRADE IN'!$F252=0,"",(VLOOKUP($C252,REV!$C:$AA,23,0)-'TRADE IN'!$F252))</f>
        <v>799</v>
      </c>
      <c r="Z252" s="46">
        <f>IF(VLOOKUP($C252,REV!$C:$AA,24,0)-'TRADE IN'!$F252=0,"",(VLOOKUP($C252,REV!$C:$AA,24,0)-'TRADE IN'!$F252))</f>
        <v>799</v>
      </c>
      <c r="AA252" s="46">
        <f>IF(VLOOKUP($C252,REV!$C:$AA,25,0)-'TRADE IN'!$F252=0,"",(VLOOKUP($C252,REV!$C:$AA,25,0)-'TRADE IN'!$F252))</f>
        <v>799</v>
      </c>
      <c r="AB252" s="45"/>
      <c r="AC252" s="45"/>
      <c r="AD252" s="45"/>
      <c r="AE252" s="45"/>
      <c r="AF252" s="45"/>
      <c r="AG252" s="45"/>
      <c r="AH252" s="45"/>
      <c r="AI252" s="45"/>
      <c r="AJ252" s="45"/>
      <c r="AK252" s="45"/>
      <c r="AL252" s="45"/>
      <c r="AM252" s="45"/>
      <c r="AN252" s="45"/>
      <c r="AO252" s="45"/>
      <c r="AP252" s="45"/>
      <c r="AQ252" s="45"/>
      <c r="AR252" s="45"/>
      <c r="AS252" s="45"/>
      <c r="AT252" s="45"/>
      <c r="AU252" s="45"/>
      <c r="AV252" s="47"/>
      <c r="AW252" s="48" t="str">
        <f>REV!AW252</f>
        <v>13.08.2026</v>
      </c>
      <c r="AX252" s="149" t="s">
        <v>68</v>
      </c>
    </row>
    <row r="253" spans="1:50" ht="22.5" customHeight="1">
      <c r="A253" s="55" t="s">
        <v>222</v>
      </c>
      <c r="B253" s="42" t="s">
        <v>64</v>
      </c>
      <c r="C253" s="43">
        <v>4017350</v>
      </c>
      <c r="D253" s="56" t="s">
        <v>400</v>
      </c>
      <c r="E253" s="56" t="s">
        <v>406</v>
      </c>
      <c r="F253" s="45">
        <v>100</v>
      </c>
      <c r="G253" s="45"/>
      <c r="H253" s="45"/>
      <c r="I253" s="45"/>
      <c r="J253" s="46">
        <f>IF(VLOOKUP($C253,REV!$C:$AA,8,0)-'TRADE IN'!$F253=0,"",(VLOOKUP($C253,REV!$C:$AA,8,0)-'TRADE IN'!$F253))</f>
        <v>1099</v>
      </c>
      <c r="K253" s="46">
        <f>IF(VLOOKUP($C253,REV!$C:$AA,9,0)-'TRADE IN'!$F253=0,"",(VLOOKUP($C253,REV!$C:$AA,9,0)-'TRADE IN'!$F253))</f>
        <v>949</v>
      </c>
      <c r="L253" s="46">
        <f>IF(VLOOKUP($C253,REV!$C:$AA,10,0)-'TRADE IN'!$F253=0,"",(VLOOKUP($C253,REV!$C:$AA,10,0)-'TRADE IN'!$F253))</f>
        <v>949</v>
      </c>
      <c r="M253" s="46">
        <f>IF(VLOOKUP($C253,REV!$C:$AA,11,0)-'TRADE IN'!$F253=0,"",(VLOOKUP($C253,REV!$C:$AA,11,0)-'TRADE IN'!$F253))</f>
        <v>1099</v>
      </c>
      <c r="N253" s="46">
        <f>IF(VLOOKUP($C253,REV!$C:$AA,12,0)-'TRADE IN'!$F253=0,"",(VLOOKUP($C253,REV!$C:$AA,12,0)-'TRADE IN'!$F253))</f>
        <v>949</v>
      </c>
      <c r="O253" s="46">
        <f>IF(VLOOKUP($C253,REV!$C:$AA,13,0)-'TRADE IN'!$F253=0,"",(VLOOKUP($C253,REV!$C:$AA,13,0)-'TRADE IN'!$F253))</f>
        <v>899</v>
      </c>
      <c r="P253" s="46">
        <f>IF(VLOOKUP($C253,REV!$C:$AA,14,0)-'TRADE IN'!$F253=0,"",(VLOOKUP($C253,REV!$C:$AA,14,0)-'TRADE IN'!$F253))</f>
        <v>899</v>
      </c>
      <c r="Q253" s="46">
        <f>IF(VLOOKUP($C253,REV!$C:$AA,15,0)-'TRADE IN'!$F253=0,"",(VLOOKUP($C253,REV!$C:$AA,15,0)-'TRADE IN'!$F253))</f>
        <v>899</v>
      </c>
      <c r="R253" s="46">
        <f>IF(VLOOKUP($C253,REV!$C:$AA,16,0)-'TRADE IN'!$F253=0,"",(VLOOKUP($C253,REV!$C:$AA,16,0)-'TRADE IN'!$F253))</f>
        <v>899</v>
      </c>
      <c r="S253" s="46">
        <f>IF(VLOOKUP($C253,REV!$C:$AA,17,0)-'TRADE IN'!$F253=0,"",(VLOOKUP($C253,REV!$C:$AA,17,0)-'TRADE IN'!$F253))</f>
        <v>899</v>
      </c>
      <c r="T253" s="46">
        <f>IF(VLOOKUP($C253,REV!$C:$AA,18,0)-'TRADE IN'!$F253=0,"",(VLOOKUP($C253,REV!$C:$AA,18,0)-'TRADE IN'!$F253))</f>
        <v>899</v>
      </c>
      <c r="U253" s="46">
        <f>IF(VLOOKUP($C253,REV!$C:$AA,19,0)-'TRADE IN'!$F253=0,"",(VLOOKUP($C253,REV!$C:$AA,19,0)-'TRADE IN'!$F253))</f>
        <v>899</v>
      </c>
      <c r="V253" s="46">
        <f>IF(VLOOKUP($C253,REV!$C:$AA,20,0)-'TRADE IN'!$F253=0,"",(VLOOKUP($C253,REV!$C:$AA,20,0)-'TRADE IN'!$F253))</f>
        <v>899</v>
      </c>
      <c r="W253" s="46">
        <f>IF(VLOOKUP($C253,REV!$C:$AA,21,0)-'TRADE IN'!$F253=0,"",(VLOOKUP($C253,REV!$C:$AA,21,0)-'TRADE IN'!$F253))</f>
        <v>899</v>
      </c>
      <c r="X253" s="46">
        <f>IF(VLOOKUP($C253,REV!$C:$AA,22,0)-'TRADE IN'!$F253=0,"",(VLOOKUP($C253,REV!$C:$AA,22,0)-'TRADE IN'!$F253))</f>
        <v>899</v>
      </c>
      <c r="Y253" s="46">
        <f>IF(VLOOKUP($C253,REV!$C:$AA,23,0)-'TRADE IN'!$F253=0,"",(VLOOKUP($C253,REV!$C:$AA,23,0)-'TRADE IN'!$F253))</f>
        <v>799</v>
      </c>
      <c r="Z253" s="46">
        <f>IF(VLOOKUP($C253,REV!$C:$AA,24,0)-'TRADE IN'!$F253=0,"",(VLOOKUP($C253,REV!$C:$AA,24,0)-'TRADE IN'!$F253))</f>
        <v>799</v>
      </c>
      <c r="AA253" s="46">
        <f>IF(VLOOKUP($C253,REV!$C:$AA,25,0)-'TRADE IN'!$F253=0,"",(VLOOKUP($C253,REV!$C:$AA,25,0)-'TRADE IN'!$F253))</f>
        <v>799</v>
      </c>
      <c r="AB253" s="45"/>
      <c r="AC253" s="45"/>
      <c r="AD253" s="45"/>
      <c r="AE253" s="45"/>
      <c r="AF253" s="45"/>
      <c r="AG253" s="45"/>
      <c r="AH253" s="45"/>
      <c r="AI253" s="45"/>
      <c r="AJ253" s="45"/>
      <c r="AK253" s="45"/>
      <c r="AL253" s="45"/>
      <c r="AM253" s="45"/>
      <c r="AN253" s="45"/>
      <c r="AO253" s="45"/>
      <c r="AP253" s="45"/>
      <c r="AQ253" s="45"/>
      <c r="AR253" s="45"/>
      <c r="AS253" s="45"/>
      <c r="AT253" s="45"/>
      <c r="AU253" s="45"/>
      <c r="AV253" s="47"/>
      <c r="AW253" s="48" t="str">
        <f>REV!AW253</f>
        <v>13.08.2026</v>
      </c>
      <c r="AX253" s="149" t="s">
        <v>68</v>
      </c>
    </row>
    <row r="254" spans="1:50" ht="22.5" customHeight="1">
      <c r="A254" s="55" t="s">
        <v>222</v>
      </c>
      <c r="B254" s="42" t="s">
        <v>64</v>
      </c>
      <c r="C254" s="43">
        <v>4017360</v>
      </c>
      <c r="D254" s="56" t="s">
        <v>400</v>
      </c>
      <c r="E254" s="56" t="s">
        <v>407</v>
      </c>
      <c r="F254" s="45">
        <v>100</v>
      </c>
      <c r="G254" s="45"/>
      <c r="H254" s="45"/>
      <c r="I254" s="45"/>
      <c r="J254" s="46">
        <f>IF(VLOOKUP($C254,REV!$C:$AA,8,0)-'TRADE IN'!$F254=0,"",(VLOOKUP($C254,REV!$C:$AA,8,0)-'TRADE IN'!$F254))</f>
        <v>1099</v>
      </c>
      <c r="K254" s="46">
        <f>IF(VLOOKUP($C254,REV!$C:$AA,9,0)-'TRADE IN'!$F254=0,"",(VLOOKUP($C254,REV!$C:$AA,9,0)-'TRADE IN'!$F254))</f>
        <v>949</v>
      </c>
      <c r="L254" s="46">
        <f>IF(VLOOKUP($C254,REV!$C:$AA,10,0)-'TRADE IN'!$F254=0,"",(VLOOKUP($C254,REV!$C:$AA,10,0)-'TRADE IN'!$F254))</f>
        <v>949</v>
      </c>
      <c r="M254" s="46">
        <f>IF(VLOOKUP($C254,REV!$C:$AA,11,0)-'TRADE IN'!$F254=0,"",(VLOOKUP($C254,REV!$C:$AA,11,0)-'TRADE IN'!$F254))</f>
        <v>1099</v>
      </c>
      <c r="N254" s="46">
        <f>IF(VLOOKUP($C254,REV!$C:$AA,12,0)-'TRADE IN'!$F254=0,"",(VLOOKUP($C254,REV!$C:$AA,12,0)-'TRADE IN'!$F254))</f>
        <v>949</v>
      </c>
      <c r="O254" s="46">
        <f>IF(VLOOKUP($C254,REV!$C:$AA,13,0)-'TRADE IN'!$F254=0,"",(VLOOKUP($C254,REV!$C:$AA,13,0)-'TRADE IN'!$F254))</f>
        <v>899</v>
      </c>
      <c r="P254" s="46">
        <f>IF(VLOOKUP($C254,REV!$C:$AA,14,0)-'TRADE IN'!$F254=0,"",(VLOOKUP($C254,REV!$C:$AA,14,0)-'TRADE IN'!$F254))</f>
        <v>899</v>
      </c>
      <c r="Q254" s="46">
        <f>IF(VLOOKUP($C254,REV!$C:$AA,15,0)-'TRADE IN'!$F254=0,"",(VLOOKUP($C254,REV!$C:$AA,15,0)-'TRADE IN'!$F254))</f>
        <v>899</v>
      </c>
      <c r="R254" s="46">
        <f>IF(VLOOKUP($C254,REV!$C:$AA,16,0)-'TRADE IN'!$F254=0,"",(VLOOKUP($C254,REV!$C:$AA,16,0)-'TRADE IN'!$F254))</f>
        <v>899</v>
      </c>
      <c r="S254" s="46">
        <f>IF(VLOOKUP($C254,REV!$C:$AA,17,0)-'TRADE IN'!$F254=0,"",(VLOOKUP($C254,REV!$C:$AA,17,0)-'TRADE IN'!$F254))</f>
        <v>899</v>
      </c>
      <c r="T254" s="46">
        <f>IF(VLOOKUP($C254,REV!$C:$AA,18,0)-'TRADE IN'!$F254=0,"",(VLOOKUP($C254,REV!$C:$AA,18,0)-'TRADE IN'!$F254))</f>
        <v>899</v>
      </c>
      <c r="U254" s="46">
        <f>IF(VLOOKUP($C254,REV!$C:$AA,19,0)-'TRADE IN'!$F254=0,"",(VLOOKUP($C254,REV!$C:$AA,19,0)-'TRADE IN'!$F254))</f>
        <v>899</v>
      </c>
      <c r="V254" s="46">
        <f>IF(VLOOKUP($C254,REV!$C:$AA,20,0)-'TRADE IN'!$F254=0,"",(VLOOKUP($C254,REV!$C:$AA,20,0)-'TRADE IN'!$F254))</f>
        <v>899</v>
      </c>
      <c r="W254" s="46">
        <f>IF(VLOOKUP($C254,REV!$C:$AA,21,0)-'TRADE IN'!$F254=0,"",(VLOOKUP($C254,REV!$C:$AA,21,0)-'TRADE IN'!$F254))</f>
        <v>899</v>
      </c>
      <c r="X254" s="46">
        <f>IF(VLOOKUP($C254,REV!$C:$AA,22,0)-'TRADE IN'!$F254=0,"",(VLOOKUP($C254,REV!$C:$AA,22,0)-'TRADE IN'!$F254))</f>
        <v>899</v>
      </c>
      <c r="Y254" s="46">
        <f>IF(VLOOKUP($C254,REV!$C:$AA,23,0)-'TRADE IN'!$F254=0,"",(VLOOKUP($C254,REV!$C:$AA,23,0)-'TRADE IN'!$F254))</f>
        <v>799</v>
      </c>
      <c r="Z254" s="46">
        <f>IF(VLOOKUP($C254,REV!$C:$AA,24,0)-'TRADE IN'!$F254=0,"",(VLOOKUP($C254,REV!$C:$AA,24,0)-'TRADE IN'!$F254))</f>
        <v>799</v>
      </c>
      <c r="AA254" s="46">
        <f>IF(VLOOKUP($C254,REV!$C:$AA,25,0)-'TRADE IN'!$F254=0,"",(VLOOKUP($C254,REV!$C:$AA,25,0)-'TRADE IN'!$F254))</f>
        <v>799</v>
      </c>
      <c r="AB254" s="45"/>
      <c r="AC254" s="45"/>
      <c r="AD254" s="45"/>
      <c r="AE254" s="45"/>
      <c r="AF254" s="45"/>
      <c r="AG254" s="45"/>
      <c r="AH254" s="45"/>
      <c r="AI254" s="45"/>
      <c r="AJ254" s="45"/>
      <c r="AK254" s="45"/>
      <c r="AL254" s="45"/>
      <c r="AM254" s="45"/>
      <c r="AN254" s="45"/>
      <c r="AO254" s="45"/>
      <c r="AP254" s="45"/>
      <c r="AQ254" s="45"/>
      <c r="AR254" s="45"/>
      <c r="AS254" s="45"/>
      <c r="AT254" s="45"/>
      <c r="AU254" s="45"/>
      <c r="AV254" s="47"/>
      <c r="AW254" s="48" t="str">
        <f>REV!AW254</f>
        <v>13.08.2026</v>
      </c>
      <c r="AX254" s="149" t="s">
        <v>68</v>
      </c>
    </row>
    <row r="255" spans="1:50" ht="22.5" customHeight="1">
      <c r="A255" s="55" t="s">
        <v>222</v>
      </c>
      <c r="B255" s="42" t="s">
        <v>64</v>
      </c>
      <c r="C255" s="43">
        <v>4017352</v>
      </c>
      <c r="D255" s="56" t="s">
        <v>400</v>
      </c>
      <c r="E255" s="56" t="s">
        <v>408</v>
      </c>
      <c r="F255" s="45">
        <v>100</v>
      </c>
      <c r="G255" s="45"/>
      <c r="H255" s="45"/>
      <c r="I255" s="45"/>
      <c r="J255" s="46">
        <f>IF(VLOOKUP($C255,REV!$C:$AA,8,0)-'TRADE IN'!$F255=0,"",(VLOOKUP($C255,REV!$C:$AA,8,0)-'TRADE IN'!$F255))</f>
        <v>1099</v>
      </c>
      <c r="K255" s="46">
        <f>IF(VLOOKUP($C255,REV!$C:$AA,9,0)-'TRADE IN'!$F255=0,"",(VLOOKUP($C255,REV!$C:$AA,9,0)-'TRADE IN'!$F255))</f>
        <v>949</v>
      </c>
      <c r="L255" s="46">
        <f>IF(VLOOKUP($C255,REV!$C:$AA,10,0)-'TRADE IN'!$F255=0,"",(VLOOKUP($C255,REV!$C:$AA,10,0)-'TRADE IN'!$F255))</f>
        <v>949</v>
      </c>
      <c r="M255" s="46">
        <f>IF(VLOOKUP($C255,REV!$C:$AA,11,0)-'TRADE IN'!$F255=0,"",(VLOOKUP($C255,REV!$C:$AA,11,0)-'TRADE IN'!$F255))</f>
        <v>1099</v>
      </c>
      <c r="N255" s="46">
        <f>IF(VLOOKUP($C255,REV!$C:$AA,12,0)-'TRADE IN'!$F255=0,"",(VLOOKUP($C255,REV!$C:$AA,12,0)-'TRADE IN'!$F255))</f>
        <v>949</v>
      </c>
      <c r="O255" s="46">
        <f>IF(VLOOKUP($C255,REV!$C:$AA,13,0)-'TRADE IN'!$F255=0,"",(VLOOKUP($C255,REV!$C:$AA,13,0)-'TRADE IN'!$F255))</f>
        <v>899</v>
      </c>
      <c r="P255" s="46">
        <f>IF(VLOOKUP($C255,REV!$C:$AA,14,0)-'TRADE IN'!$F255=0,"",(VLOOKUP($C255,REV!$C:$AA,14,0)-'TRADE IN'!$F255))</f>
        <v>899</v>
      </c>
      <c r="Q255" s="46">
        <f>IF(VLOOKUP($C255,REV!$C:$AA,15,0)-'TRADE IN'!$F255=0,"",(VLOOKUP($C255,REV!$C:$AA,15,0)-'TRADE IN'!$F255))</f>
        <v>899</v>
      </c>
      <c r="R255" s="46">
        <f>IF(VLOOKUP($C255,REV!$C:$AA,16,0)-'TRADE IN'!$F255=0,"",(VLOOKUP($C255,REV!$C:$AA,16,0)-'TRADE IN'!$F255))</f>
        <v>899</v>
      </c>
      <c r="S255" s="46">
        <f>IF(VLOOKUP($C255,REV!$C:$AA,17,0)-'TRADE IN'!$F255=0,"",(VLOOKUP($C255,REV!$C:$AA,17,0)-'TRADE IN'!$F255))</f>
        <v>899</v>
      </c>
      <c r="T255" s="46">
        <f>IF(VLOOKUP($C255,REV!$C:$AA,18,0)-'TRADE IN'!$F255=0,"",(VLOOKUP($C255,REV!$C:$AA,18,0)-'TRADE IN'!$F255))</f>
        <v>899</v>
      </c>
      <c r="U255" s="46">
        <f>IF(VLOOKUP($C255,REV!$C:$AA,19,0)-'TRADE IN'!$F255=0,"",(VLOOKUP($C255,REV!$C:$AA,19,0)-'TRADE IN'!$F255))</f>
        <v>899</v>
      </c>
      <c r="V255" s="46">
        <f>IF(VLOOKUP($C255,REV!$C:$AA,20,0)-'TRADE IN'!$F255=0,"",(VLOOKUP($C255,REV!$C:$AA,20,0)-'TRADE IN'!$F255))</f>
        <v>899</v>
      </c>
      <c r="W255" s="46">
        <f>IF(VLOOKUP($C255,REV!$C:$AA,21,0)-'TRADE IN'!$F255=0,"",(VLOOKUP($C255,REV!$C:$AA,21,0)-'TRADE IN'!$F255))</f>
        <v>899</v>
      </c>
      <c r="X255" s="46">
        <f>IF(VLOOKUP($C255,REV!$C:$AA,22,0)-'TRADE IN'!$F255=0,"",(VLOOKUP($C255,REV!$C:$AA,22,0)-'TRADE IN'!$F255))</f>
        <v>899</v>
      </c>
      <c r="Y255" s="46">
        <f>IF(VLOOKUP($C255,REV!$C:$AA,23,0)-'TRADE IN'!$F255=0,"",(VLOOKUP($C255,REV!$C:$AA,23,0)-'TRADE IN'!$F255))</f>
        <v>799</v>
      </c>
      <c r="Z255" s="46">
        <f>IF(VLOOKUP($C255,REV!$C:$AA,24,0)-'TRADE IN'!$F255=0,"",(VLOOKUP($C255,REV!$C:$AA,24,0)-'TRADE IN'!$F255))</f>
        <v>799</v>
      </c>
      <c r="AA255" s="46">
        <f>IF(VLOOKUP($C255,REV!$C:$AA,25,0)-'TRADE IN'!$F255=0,"",(VLOOKUP($C255,REV!$C:$AA,25,0)-'TRADE IN'!$F255))</f>
        <v>799</v>
      </c>
      <c r="AB255" s="45"/>
      <c r="AC255" s="45"/>
      <c r="AD255" s="45"/>
      <c r="AE255" s="45"/>
      <c r="AF255" s="45"/>
      <c r="AG255" s="45"/>
      <c r="AH255" s="45"/>
      <c r="AI255" s="45"/>
      <c r="AJ255" s="45"/>
      <c r="AK255" s="45"/>
      <c r="AL255" s="45"/>
      <c r="AM255" s="45"/>
      <c r="AN255" s="45"/>
      <c r="AO255" s="45"/>
      <c r="AP255" s="45"/>
      <c r="AQ255" s="45"/>
      <c r="AR255" s="45"/>
      <c r="AS255" s="45"/>
      <c r="AT255" s="45"/>
      <c r="AU255" s="45"/>
      <c r="AV255" s="47"/>
      <c r="AW255" s="48" t="str">
        <f>REV!AW255</f>
        <v>13.08.2026</v>
      </c>
      <c r="AX255" s="149" t="s">
        <v>68</v>
      </c>
    </row>
    <row r="256" spans="1:50" ht="22.5" customHeight="1">
      <c r="A256" s="55" t="s">
        <v>222</v>
      </c>
      <c r="B256" s="42" t="s">
        <v>64</v>
      </c>
      <c r="C256" s="43">
        <v>4017359</v>
      </c>
      <c r="D256" s="56" t="s">
        <v>409</v>
      </c>
      <c r="E256" s="56" t="s">
        <v>410</v>
      </c>
      <c r="F256" s="45">
        <v>100</v>
      </c>
      <c r="G256" s="45"/>
      <c r="H256" s="45"/>
      <c r="I256" s="45"/>
      <c r="J256" s="46">
        <f>IF(VLOOKUP($C256,REV!$C:$AA,8,0)-'TRADE IN'!$F256=0,"",(VLOOKUP($C256,REV!$C:$AA,8,0)-'TRADE IN'!$F256))</f>
        <v>1299</v>
      </c>
      <c r="K256" s="46">
        <f>IF(VLOOKUP($C256,REV!$C:$AA,9,0)-'TRADE IN'!$F256=0,"",(VLOOKUP($C256,REV!$C:$AA,9,0)-'TRADE IN'!$F256))</f>
        <v>1299</v>
      </c>
      <c r="L256" s="46">
        <f>IF(VLOOKUP($C256,REV!$C:$AA,10,0)-'TRADE IN'!$F256=0,"",(VLOOKUP($C256,REV!$C:$AA,10,0)-'TRADE IN'!$F256))</f>
        <v>1299</v>
      </c>
      <c r="M256" s="46">
        <f>IF(VLOOKUP($C256,REV!$C:$AA,11,0)-'TRADE IN'!$F256=0,"",(VLOOKUP($C256,REV!$C:$AA,11,0)-'TRADE IN'!$F256))</f>
        <v>1299</v>
      </c>
      <c r="N256" s="46">
        <f>IF(VLOOKUP($C256,REV!$C:$AA,12,0)-'TRADE IN'!$F256=0,"",(VLOOKUP($C256,REV!$C:$AA,12,0)-'TRADE IN'!$F256))</f>
        <v>1299</v>
      </c>
      <c r="O256" s="46">
        <f>IF(VLOOKUP($C256,REV!$C:$AA,13,0)-'TRADE IN'!$F256=0,"",(VLOOKUP($C256,REV!$C:$AA,13,0)-'TRADE IN'!$F256))</f>
        <v>1249</v>
      </c>
      <c r="P256" s="46">
        <f>IF(VLOOKUP($C256,REV!$C:$AA,14,0)-'TRADE IN'!$F256=0,"",(VLOOKUP($C256,REV!$C:$AA,14,0)-'TRADE IN'!$F256))</f>
        <v>1249</v>
      </c>
      <c r="Q256" s="46">
        <f>IF(VLOOKUP($C256,REV!$C:$AA,15,0)-'TRADE IN'!$F256=0,"",(VLOOKUP($C256,REV!$C:$AA,15,0)-'TRADE IN'!$F256))</f>
        <v>1199</v>
      </c>
      <c r="R256" s="46">
        <f>IF(VLOOKUP($C256,REV!$C:$AA,16,0)-'TRADE IN'!$F256=0,"",(VLOOKUP($C256,REV!$C:$AA,16,0)-'TRADE IN'!$F256))</f>
        <v>1249</v>
      </c>
      <c r="S256" s="46">
        <f>IF(VLOOKUP($C256,REV!$C:$AA,17,0)-'TRADE IN'!$F256=0,"",(VLOOKUP($C256,REV!$C:$AA,17,0)-'TRADE IN'!$F256))</f>
        <v>1249</v>
      </c>
      <c r="T256" s="46">
        <f>IF(VLOOKUP($C256,REV!$C:$AA,18,0)-'TRADE IN'!$F256=0,"",(VLOOKUP($C256,REV!$C:$AA,18,0)-'TRADE IN'!$F256))</f>
        <v>1199</v>
      </c>
      <c r="U256" s="46">
        <f>IF(VLOOKUP($C256,REV!$C:$AA,19,0)-'TRADE IN'!$F256=0,"",(VLOOKUP($C256,REV!$C:$AA,19,0)-'TRADE IN'!$F256))</f>
        <v>1199</v>
      </c>
      <c r="V256" s="46">
        <f>IF(VLOOKUP($C256,REV!$C:$AA,20,0)-'TRADE IN'!$F256=0,"",(VLOOKUP($C256,REV!$C:$AA,20,0)-'TRADE IN'!$F256))</f>
        <v>1199</v>
      </c>
      <c r="W256" s="46">
        <f>IF(VLOOKUP($C256,REV!$C:$AA,21,0)-'TRADE IN'!$F256=0,"",(VLOOKUP($C256,REV!$C:$AA,21,0)-'TRADE IN'!$F256))</f>
        <v>1199</v>
      </c>
      <c r="X256" s="46">
        <f>IF(VLOOKUP($C256,REV!$C:$AA,22,0)-'TRADE IN'!$F256=0,"",(VLOOKUP($C256,REV!$C:$AA,22,0)-'TRADE IN'!$F256))</f>
        <v>1099</v>
      </c>
      <c r="Y256" s="46">
        <f>IF(VLOOKUP($C256,REV!$C:$AA,23,0)-'TRADE IN'!$F256=0,"",(VLOOKUP($C256,REV!$C:$AA,23,0)-'TRADE IN'!$F256))</f>
        <v>999</v>
      </c>
      <c r="Z256" s="46">
        <f>IF(VLOOKUP($C256,REV!$C:$AA,24,0)-'TRADE IN'!$F256=0,"",(VLOOKUP($C256,REV!$C:$AA,24,0)-'TRADE IN'!$F256))</f>
        <v>999</v>
      </c>
      <c r="AA256" s="46">
        <f>IF(VLOOKUP($C256,REV!$C:$AA,25,0)-'TRADE IN'!$F256=0,"",(VLOOKUP($C256,REV!$C:$AA,25,0)-'TRADE IN'!$F256))</f>
        <v>999</v>
      </c>
      <c r="AB256" s="45"/>
      <c r="AC256" s="45"/>
      <c r="AD256" s="45"/>
      <c r="AE256" s="45"/>
      <c r="AF256" s="45"/>
      <c r="AG256" s="45"/>
      <c r="AH256" s="45"/>
      <c r="AI256" s="45"/>
      <c r="AJ256" s="45"/>
      <c r="AK256" s="45"/>
      <c r="AL256" s="45"/>
      <c r="AM256" s="45"/>
      <c r="AN256" s="45"/>
      <c r="AO256" s="45"/>
      <c r="AP256" s="45"/>
      <c r="AQ256" s="45"/>
      <c r="AR256" s="45"/>
      <c r="AS256" s="45"/>
      <c r="AT256" s="45"/>
      <c r="AU256" s="45"/>
      <c r="AV256" s="47"/>
      <c r="AW256" s="48" t="str">
        <f>REV!AW256</f>
        <v>13.08.2026</v>
      </c>
      <c r="AX256" s="149" t="s">
        <v>68</v>
      </c>
    </row>
    <row r="257" spans="1:50" ht="22.5" customHeight="1">
      <c r="A257" s="55" t="s">
        <v>222</v>
      </c>
      <c r="B257" s="42" t="s">
        <v>64</v>
      </c>
      <c r="C257" s="43">
        <v>4017366</v>
      </c>
      <c r="D257" s="56" t="s">
        <v>409</v>
      </c>
      <c r="E257" s="56" t="s">
        <v>411</v>
      </c>
      <c r="F257" s="45">
        <v>100</v>
      </c>
      <c r="G257" s="45"/>
      <c r="H257" s="45"/>
      <c r="I257" s="45"/>
      <c r="J257" s="46">
        <f>IF(VLOOKUP($C257,REV!$C:$AA,8,0)-'TRADE IN'!$F257=0,"",(VLOOKUP($C257,REV!$C:$AA,8,0)-'TRADE IN'!$F257))</f>
        <v>1299</v>
      </c>
      <c r="K257" s="46">
        <f>IF(VLOOKUP($C257,REV!$C:$AA,9,0)-'TRADE IN'!$F257=0,"",(VLOOKUP($C257,REV!$C:$AA,9,0)-'TRADE IN'!$F257))</f>
        <v>1299</v>
      </c>
      <c r="L257" s="46">
        <f>IF(VLOOKUP($C257,REV!$C:$AA,10,0)-'TRADE IN'!$F257=0,"",(VLOOKUP($C257,REV!$C:$AA,10,0)-'TRADE IN'!$F257))</f>
        <v>1299</v>
      </c>
      <c r="M257" s="46">
        <f>IF(VLOOKUP($C257,REV!$C:$AA,11,0)-'TRADE IN'!$F257=0,"",(VLOOKUP($C257,REV!$C:$AA,11,0)-'TRADE IN'!$F257))</f>
        <v>1299</v>
      </c>
      <c r="N257" s="46">
        <f>IF(VLOOKUP($C257,REV!$C:$AA,12,0)-'TRADE IN'!$F257=0,"",(VLOOKUP($C257,REV!$C:$AA,12,0)-'TRADE IN'!$F257))</f>
        <v>1299</v>
      </c>
      <c r="O257" s="46">
        <f>IF(VLOOKUP($C257,REV!$C:$AA,13,0)-'TRADE IN'!$F257=0,"",(VLOOKUP($C257,REV!$C:$AA,13,0)-'TRADE IN'!$F257))</f>
        <v>1249</v>
      </c>
      <c r="P257" s="46">
        <f>IF(VLOOKUP($C257,REV!$C:$AA,14,0)-'TRADE IN'!$F257=0,"",(VLOOKUP($C257,REV!$C:$AA,14,0)-'TRADE IN'!$F257))</f>
        <v>1249</v>
      </c>
      <c r="Q257" s="46">
        <f>IF(VLOOKUP($C257,REV!$C:$AA,15,0)-'TRADE IN'!$F257=0,"",(VLOOKUP($C257,REV!$C:$AA,15,0)-'TRADE IN'!$F257))</f>
        <v>1199</v>
      </c>
      <c r="R257" s="46">
        <f>IF(VLOOKUP($C257,REV!$C:$AA,16,0)-'TRADE IN'!$F257=0,"",(VLOOKUP($C257,REV!$C:$AA,16,0)-'TRADE IN'!$F257))</f>
        <v>1249</v>
      </c>
      <c r="S257" s="46">
        <f>IF(VLOOKUP($C257,REV!$C:$AA,17,0)-'TRADE IN'!$F257=0,"",(VLOOKUP($C257,REV!$C:$AA,17,0)-'TRADE IN'!$F257))</f>
        <v>1249</v>
      </c>
      <c r="T257" s="46">
        <f>IF(VLOOKUP($C257,REV!$C:$AA,18,0)-'TRADE IN'!$F257=0,"",(VLOOKUP($C257,REV!$C:$AA,18,0)-'TRADE IN'!$F257))</f>
        <v>1199</v>
      </c>
      <c r="U257" s="46">
        <f>IF(VLOOKUP($C257,REV!$C:$AA,19,0)-'TRADE IN'!$F257=0,"",(VLOOKUP($C257,REV!$C:$AA,19,0)-'TRADE IN'!$F257))</f>
        <v>1199</v>
      </c>
      <c r="V257" s="46">
        <f>IF(VLOOKUP($C257,REV!$C:$AA,20,0)-'TRADE IN'!$F257=0,"",(VLOOKUP($C257,REV!$C:$AA,20,0)-'TRADE IN'!$F257))</f>
        <v>1199</v>
      </c>
      <c r="W257" s="46">
        <f>IF(VLOOKUP($C257,REV!$C:$AA,21,0)-'TRADE IN'!$F257=0,"",(VLOOKUP($C257,REV!$C:$AA,21,0)-'TRADE IN'!$F257))</f>
        <v>1199</v>
      </c>
      <c r="X257" s="46">
        <f>IF(VLOOKUP($C257,REV!$C:$AA,22,0)-'TRADE IN'!$F257=0,"",(VLOOKUP($C257,REV!$C:$AA,22,0)-'TRADE IN'!$F257))</f>
        <v>1099</v>
      </c>
      <c r="Y257" s="46">
        <f>IF(VLOOKUP($C257,REV!$C:$AA,23,0)-'TRADE IN'!$F257=0,"",(VLOOKUP($C257,REV!$C:$AA,23,0)-'TRADE IN'!$F257))</f>
        <v>999</v>
      </c>
      <c r="Z257" s="46">
        <f>IF(VLOOKUP($C257,REV!$C:$AA,24,0)-'TRADE IN'!$F257=0,"",(VLOOKUP($C257,REV!$C:$AA,24,0)-'TRADE IN'!$F257))</f>
        <v>999</v>
      </c>
      <c r="AA257" s="46">
        <f>IF(VLOOKUP($C257,REV!$C:$AA,25,0)-'TRADE IN'!$F257=0,"",(VLOOKUP($C257,REV!$C:$AA,25,0)-'TRADE IN'!$F257))</f>
        <v>999</v>
      </c>
      <c r="AB257" s="45"/>
      <c r="AC257" s="45"/>
      <c r="AD257" s="45"/>
      <c r="AE257" s="45"/>
      <c r="AF257" s="45"/>
      <c r="AG257" s="45"/>
      <c r="AH257" s="45"/>
      <c r="AI257" s="45"/>
      <c r="AJ257" s="45"/>
      <c r="AK257" s="45"/>
      <c r="AL257" s="45"/>
      <c r="AM257" s="45"/>
      <c r="AN257" s="45"/>
      <c r="AO257" s="45"/>
      <c r="AP257" s="45"/>
      <c r="AQ257" s="45"/>
      <c r="AR257" s="45"/>
      <c r="AS257" s="45"/>
      <c r="AT257" s="45"/>
      <c r="AU257" s="45"/>
      <c r="AV257" s="47"/>
      <c r="AW257" s="48" t="str">
        <f>REV!AW257</f>
        <v>13.08.2026</v>
      </c>
      <c r="AX257" s="149" t="s">
        <v>68</v>
      </c>
    </row>
    <row r="258" spans="1:50" ht="22.5" customHeight="1">
      <c r="A258" s="55" t="s">
        <v>222</v>
      </c>
      <c r="B258" s="42" t="s">
        <v>64</v>
      </c>
      <c r="C258" s="43">
        <v>4017379</v>
      </c>
      <c r="D258" s="56" t="s">
        <v>409</v>
      </c>
      <c r="E258" s="56" t="s">
        <v>412</v>
      </c>
      <c r="F258" s="45">
        <v>100</v>
      </c>
      <c r="G258" s="45"/>
      <c r="H258" s="45"/>
      <c r="I258" s="45"/>
      <c r="J258" s="46">
        <f>IF(VLOOKUP($C258,REV!$C:$AA,8,0)-'TRADE IN'!$F258=0,"",(VLOOKUP($C258,REV!$C:$AA,8,0)-'TRADE IN'!$F258))</f>
        <v>1299</v>
      </c>
      <c r="K258" s="46">
        <f>IF(VLOOKUP($C258,REV!$C:$AA,9,0)-'TRADE IN'!$F258=0,"",(VLOOKUP($C258,REV!$C:$AA,9,0)-'TRADE IN'!$F258))</f>
        <v>1299</v>
      </c>
      <c r="L258" s="46">
        <f>IF(VLOOKUP($C258,REV!$C:$AA,10,0)-'TRADE IN'!$F258=0,"",(VLOOKUP($C258,REV!$C:$AA,10,0)-'TRADE IN'!$F258))</f>
        <v>1299</v>
      </c>
      <c r="M258" s="46">
        <f>IF(VLOOKUP($C258,REV!$C:$AA,11,0)-'TRADE IN'!$F258=0,"",(VLOOKUP($C258,REV!$C:$AA,11,0)-'TRADE IN'!$F258))</f>
        <v>1299</v>
      </c>
      <c r="N258" s="46">
        <f>IF(VLOOKUP($C258,REV!$C:$AA,12,0)-'TRADE IN'!$F258=0,"",(VLOOKUP($C258,REV!$C:$AA,12,0)-'TRADE IN'!$F258))</f>
        <v>1299</v>
      </c>
      <c r="O258" s="46">
        <f>IF(VLOOKUP($C258,REV!$C:$AA,13,0)-'TRADE IN'!$F258=0,"",(VLOOKUP($C258,REV!$C:$AA,13,0)-'TRADE IN'!$F258))</f>
        <v>1249</v>
      </c>
      <c r="P258" s="46">
        <f>IF(VLOOKUP($C258,REV!$C:$AA,14,0)-'TRADE IN'!$F258=0,"",(VLOOKUP($C258,REV!$C:$AA,14,0)-'TRADE IN'!$F258))</f>
        <v>1249</v>
      </c>
      <c r="Q258" s="46">
        <f>IF(VLOOKUP($C258,REV!$C:$AA,15,0)-'TRADE IN'!$F258=0,"",(VLOOKUP($C258,REV!$C:$AA,15,0)-'TRADE IN'!$F258))</f>
        <v>1199</v>
      </c>
      <c r="R258" s="46">
        <f>IF(VLOOKUP($C258,REV!$C:$AA,16,0)-'TRADE IN'!$F258=0,"",(VLOOKUP($C258,REV!$C:$AA,16,0)-'TRADE IN'!$F258))</f>
        <v>1249</v>
      </c>
      <c r="S258" s="46">
        <f>IF(VLOOKUP($C258,REV!$C:$AA,17,0)-'TRADE IN'!$F258=0,"",(VLOOKUP($C258,REV!$C:$AA,17,0)-'TRADE IN'!$F258))</f>
        <v>1249</v>
      </c>
      <c r="T258" s="46">
        <f>IF(VLOOKUP($C258,REV!$C:$AA,18,0)-'TRADE IN'!$F258=0,"",(VLOOKUP($C258,REV!$C:$AA,18,0)-'TRADE IN'!$F258))</f>
        <v>1199</v>
      </c>
      <c r="U258" s="46">
        <f>IF(VLOOKUP($C258,REV!$C:$AA,19,0)-'TRADE IN'!$F258=0,"",(VLOOKUP($C258,REV!$C:$AA,19,0)-'TRADE IN'!$F258))</f>
        <v>1199</v>
      </c>
      <c r="V258" s="46">
        <f>IF(VLOOKUP($C258,REV!$C:$AA,20,0)-'TRADE IN'!$F258=0,"",(VLOOKUP($C258,REV!$C:$AA,20,0)-'TRADE IN'!$F258))</f>
        <v>1199</v>
      </c>
      <c r="W258" s="46">
        <f>IF(VLOOKUP($C258,REV!$C:$AA,21,0)-'TRADE IN'!$F258=0,"",(VLOOKUP($C258,REV!$C:$AA,21,0)-'TRADE IN'!$F258))</f>
        <v>1199</v>
      </c>
      <c r="X258" s="46">
        <f>IF(VLOOKUP($C258,REV!$C:$AA,22,0)-'TRADE IN'!$F258=0,"",(VLOOKUP($C258,REV!$C:$AA,22,0)-'TRADE IN'!$F258))</f>
        <v>1099</v>
      </c>
      <c r="Y258" s="46">
        <f>IF(VLOOKUP($C258,REV!$C:$AA,23,0)-'TRADE IN'!$F258=0,"",(VLOOKUP($C258,REV!$C:$AA,23,0)-'TRADE IN'!$F258))</f>
        <v>999</v>
      </c>
      <c r="Z258" s="46">
        <f>IF(VLOOKUP($C258,REV!$C:$AA,24,0)-'TRADE IN'!$F258=0,"",(VLOOKUP($C258,REV!$C:$AA,24,0)-'TRADE IN'!$F258))</f>
        <v>999</v>
      </c>
      <c r="AA258" s="46">
        <f>IF(VLOOKUP($C258,REV!$C:$AA,25,0)-'TRADE IN'!$F258=0,"",(VLOOKUP($C258,REV!$C:$AA,25,0)-'TRADE IN'!$F258))</f>
        <v>999</v>
      </c>
      <c r="AB258" s="45"/>
      <c r="AC258" s="45"/>
      <c r="AD258" s="45"/>
      <c r="AE258" s="45"/>
      <c r="AF258" s="45"/>
      <c r="AG258" s="45"/>
      <c r="AH258" s="45"/>
      <c r="AI258" s="45"/>
      <c r="AJ258" s="45"/>
      <c r="AK258" s="45"/>
      <c r="AL258" s="45"/>
      <c r="AM258" s="45"/>
      <c r="AN258" s="45"/>
      <c r="AO258" s="45"/>
      <c r="AP258" s="45"/>
      <c r="AQ258" s="45"/>
      <c r="AR258" s="45"/>
      <c r="AS258" s="45"/>
      <c r="AT258" s="45"/>
      <c r="AU258" s="45"/>
      <c r="AV258" s="47"/>
      <c r="AW258" s="48" t="str">
        <f>REV!AW258</f>
        <v>13.08.2026</v>
      </c>
      <c r="AX258" s="149" t="s">
        <v>68</v>
      </c>
    </row>
    <row r="259" spans="1:50" ht="22.5" customHeight="1">
      <c r="A259" s="55" t="s">
        <v>222</v>
      </c>
      <c r="B259" s="42" t="s">
        <v>64</v>
      </c>
      <c r="C259" s="43">
        <v>4017385</v>
      </c>
      <c r="D259" s="56" t="s">
        <v>409</v>
      </c>
      <c r="E259" s="56" t="s">
        <v>413</v>
      </c>
      <c r="F259" s="45">
        <v>100</v>
      </c>
      <c r="G259" s="45"/>
      <c r="H259" s="45"/>
      <c r="I259" s="45"/>
      <c r="J259" s="46">
        <f>IF(VLOOKUP($C259,REV!$C:$AA,8,0)-'TRADE IN'!$F259=0,"",(VLOOKUP($C259,REV!$C:$AA,8,0)-'TRADE IN'!$F259))</f>
        <v>1299</v>
      </c>
      <c r="K259" s="46">
        <f>IF(VLOOKUP($C259,REV!$C:$AA,9,0)-'TRADE IN'!$F259=0,"",(VLOOKUP($C259,REV!$C:$AA,9,0)-'TRADE IN'!$F259))</f>
        <v>1299</v>
      </c>
      <c r="L259" s="46">
        <f>IF(VLOOKUP($C259,REV!$C:$AA,10,0)-'TRADE IN'!$F259=0,"",(VLOOKUP($C259,REV!$C:$AA,10,0)-'TRADE IN'!$F259))</f>
        <v>1299</v>
      </c>
      <c r="M259" s="46">
        <f>IF(VLOOKUP($C259,REV!$C:$AA,11,0)-'TRADE IN'!$F259=0,"",(VLOOKUP($C259,REV!$C:$AA,11,0)-'TRADE IN'!$F259))</f>
        <v>1299</v>
      </c>
      <c r="N259" s="46">
        <f>IF(VLOOKUP($C259,REV!$C:$AA,12,0)-'TRADE IN'!$F259=0,"",(VLOOKUP($C259,REV!$C:$AA,12,0)-'TRADE IN'!$F259))</f>
        <v>1299</v>
      </c>
      <c r="O259" s="46">
        <f>IF(VLOOKUP($C259,REV!$C:$AA,13,0)-'TRADE IN'!$F259=0,"",(VLOOKUP($C259,REV!$C:$AA,13,0)-'TRADE IN'!$F259))</f>
        <v>1249</v>
      </c>
      <c r="P259" s="46">
        <f>IF(VLOOKUP($C259,REV!$C:$AA,14,0)-'TRADE IN'!$F259=0,"",(VLOOKUP($C259,REV!$C:$AA,14,0)-'TRADE IN'!$F259))</f>
        <v>1249</v>
      </c>
      <c r="Q259" s="46">
        <f>IF(VLOOKUP($C259,REV!$C:$AA,15,0)-'TRADE IN'!$F259=0,"",(VLOOKUP($C259,REV!$C:$AA,15,0)-'TRADE IN'!$F259))</f>
        <v>1199</v>
      </c>
      <c r="R259" s="46">
        <f>IF(VLOOKUP($C259,REV!$C:$AA,16,0)-'TRADE IN'!$F259=0,"",(VLOOKUP($C259,REV!$C:$AA,16,0)-'TRADE IN'!$F259))</f>
        <v>1249</v>
      </c>
      <c r="S259" s="46">
        <f>IF(VLOOKUP($C259,REV!$C:$AA,17,0)-'TRADE IN'!$F259=0,"",(VLOOKUP($C259,REV!$C:$AA,17,0)-'TRADE IN'!$F259))</f>
        <v>1249</v>
      </c>
      <c r="T259" s="46">
        <f>IF(VLOOKUP($C259,REV!$C:$AA,18,0)-'TRADE IN'!$F259=0,"",(VLOOKUP($C259,REV!$C:$AA,18,0)-'TRADE IN'!$F259))</f>
        <v>1199</v>
      </c>
      <c r="U259" s="46">
        <f>IF(VLOOKUP($C259,REV!$C:$AA,19,0)-'TRADE IN'!$F259=0,"",(VLOOKUP($C259,REV!$C:$AA,19,0)-'TRADE IN'!$F259))</f>
        <v>1199</v>
      </c>
      <c r="V259" s="46">
        <f>IF(VLOOKUP($C259,REV!$C:$AA,20,0)-'TRADE IN'!$F259=0,"",(VLOOKUP($C259,REV!$C:$AA,20,0)-'TRADE IN'!$F259))</f>
        <v>1199</v>
      </c>
      <c r="W259" s="46">
        <f>IF(VLOOKUP($C259,REV!$C:$AA,21,0)-'TRADE IN'!$F259=0,"",(VLOOKUP($C259,REV!$C:$AA,21,0)-'TRADE IN'!$F259))</f>
        <v>1199</v>
      </c>
      <c r="X259" s="46">
        <f>IF(VLOOKUP($C259,REV!$C:$AA,22,0)-'TRADE IN'!$F259=0,"",(VLOOKUP($C259,REV!$C:$AA,22,0)-'TRADE IN'!$F259))</f>
        <v>1099</v>
      </c>
      <c r="Y259" s="46">
        <f>IF(VLOOKUP($C259,REV!$C:$AA,23,0)-'TRADE IN'!$F259=0,"",(VLOOKUP($C259,REV!$C:$AA,23,0)-'TRADE IN'!$F259))</f>
        <v>999</v>
      </c>
      <c r="Z259" s="46">
        <f>IF(VLOOKUP($C259,REV!$C:$AA,24,0)-'TRADE IN'!$F259=0,"",(VLOOKUP($C259,REV!$C:$AA,24,0)-'TRADE IN'!$F259))</f>
        <v>999</v>
      </c>
      <c r="AA259" s="46">
        <f>IF(VLOOKUP($C259,REV!$C:$AA,25,0)-'TRADE IN'!$F259=0,"",(VLOOKUP($C259,REV!$C:$AA,25,0)-'TRADE IN'!$F259))</f>
        <v>999</v>
      </c>
      <c r="AB259" s="45"/>
      <c r="AC259" s="45"/>
      <c r="AD259" s="45"/>
      <c r="AE259" s="45"/>
      <c r="AF259" s="45"/>
      <c r="AG259" s="45"/>
      <c r="AH259" s="45"/>
      <c r="AI259" s="45"/>
      <c r="AJ259" s="45"/>
      <c r="AK259" s="45"/>
      <c r="AL259" s="45"/>
      <c r="AM259" s="45"/>
      <c r="AN259" s="45"/>
      <c r="AO259" s="45"/>
      <c r="AP259" s="45"/>
      <c r="AQ259" s="45"/>
      <c r="AR259" s="45"/>
      <c r="AS259" s="45"/>
      <c r="AT259" s="45"/>
      <c r="AU259" s="45"/>
      <c r="AV259" s="47"/>
      <c r="AW259" s="48" t="str">
        <f>REV!AW259</f>
        <v>13.08.2026</v>
      </c>
      <c r="AX259" s="149" t="s">
        <v>68</v>
      </c>
    </row>
    <row r="260" spans="1:50" ht="22.5" customHeight="1">
      <c r="A260" s="55" t="s">
        <v>222</v>
      </c>
      <c r="B260" s="42" t="s">
        <v>64</v>
      </c>
      <c r="C260" s="43">
        <v>4017372</v>
      </c>
      <c r="D260" s="56" t="s">
        <v>409</v>
      </c>
      <c r="E260" s="56" t="s">
        <v>414</v>
      </c>
      <c r="F260" s="45">
        <v>100</v>
      </c>
      <c r="G260" s="45"/>
      <c r="H260" s="45"/>
      <c r="I260" s="45"/>
      <c r="J260" s="46">
        <f>IF(VLOOKUP($C260,REV!$C:$AA,8,0)-'TRADE IN'!$F260=0,"",(VLOOKUP($C260,REV!$C:$AA,8,0)-'TRADE IN'!$F260))</f>
        <v>1299</v>
      </c>
      <c r="K260" s="46">
        <f>IF(VLOOKUP($C260,REV!$C:$AA,9,0)-'TRADE IN'!$F260=0,"",(VLOOKUP($C260,REV!$C:$AA,9,0)-'TRADE IN'!$F260))</f>
        <v>1299</v>
      </c>
      <c r="L260" s="46">
        <f>IF(VLOOKUP($C260,REV!$C:$AA,10,0)-'TRADE IN'!$F260=0,"",(VLOOKUP($C260,REV!$C:$AA,10,0)-'TRADE IN'!$F260))</f>
        <v>1299</v>
      </c>
      <c r="M260" s="46">
        <f>IF(VLOOKUP($C260,REV!$C:$AA,11,0)-'TRADE IN'!$F260=0,"",(VLOOKUP($C260,REV!$C:$AA,11,0)-'TRADE IN'!$F260))</f>
        <v>1299</v>
      </c>
      <c r="N260" s="46">
        <f>IF(VLOOKUP($C260,REV!$C:$AA,12,0)-'TRADE IN'!$F260=0,"",(VLOOKUP($C260,REV!$C:$AA,12,0)-'TRADE IN'!$F260))</f>
        <v>1299</v>
      </c>
      <c r="O260" s="46">
        <f>IF(VLOOKUP($C260,REV!$C:$AA,13,0)-'TRADE IN'!$F260=0,"",(VLOOKUP($C260,REV!$C:$AA,13,0)-'TRADE IN'!$F260))</f>
        <v>1249</v>
      </c>
      <c r="P260" s="46">
        <f>IF(VLOOKUP($C260,REV!$C:$AA,14,0)-'TRADE IN'!$F260=0,"",(VLOOKUP($C260,REV!$C:$AA,14,0)-'TRADE IN'!$F260))</f>
        <v>1249</v>
      </c>
      <c r="Q260" s="46">
        <f>IF(VLOOKUP($C260,REV!$C:$AA,15,0)-'TRADE IN'!$F260=0,"",(VLOOKUP($C260,REV!$C:$AA,15,0)-'TRADE IN'!$F260))</f>
        <v>1199</v>
      </c>
      <c r="R260" s="46">
        <f>IF(VLOOKUP($C260,REV!$C:$AA,16,0)-'TRADE IN'!$F260=0,"",(VLOOKUP($C260,REV!$C:$AA,16,0)-'TRADE IN'!$F260))</f>
        <v>1249</v>
      </c>
      <c r="S260" s="46">
        <f>IF(VLOOKUP($C260,REV!$C:$AA,17,0)-'TRADE IN'!$F260=0,"",(VLOOKUP($C260,REV!$C:$AA,17,0)-'TRADE IN'!$F260))</f>
        <v>1249</v>
      </c>
      <c r="T260" s="46">
        <f>IF(VLOOKUP($C260,REV!$C:$AA,18,0)-'TRADE IN'!$F260=0,"",(VLOOKUP($C260,REV!$C:$AA,18,0)-'TRADE IN'!$F260))</f>
        <v>1199</v>
      </c>
      <c r="U260" s="46">
        <f>IF(VLOOKUP($C260,REV!$C:$AA,19,0)-'TRADE IN'!$F260=0,"",(VLOOKUP($C260,REV!$C:$AA,19,0)-'TRADE IN'!$F260))</f>
        <v>1199</v>
      </c>
      <c r="V260" s="46">
        <f>IF(VLOOKUP($C260,REV!$C:$AA,20,0)-'TRADE IN'!$F260=0,"",(VLOOKUP($C260,REV!$C:$AA,20,0)-'TRADE IN'!$F260))</f>
        <v>1199</v>
      </c>
      <c r="W260" s="46">
        <f>IF(VLOOKUP($C260,REV!$C:$AA,21,0)-'TRADE IN'!$F260=0,"",(VLOOKUP($C260,REV!$C:$AA,21,0)-'TRADE IN'!$F260))</f>
        <v>1199</v>
      </c>
      <c r="X260" s="46">
        <f>IF(VLOOKUP($C260,REV!$C:$AA,22,0)-'TRADE IN'!$F260=0,"",(VLOOKUP($C260,REV!$C:$AA,22,0)-'TRADE IN'!$F260))</f>
        <v>1099</v>
      </c>
      <c r="Y260" s="46">
        <f>IF(VLOOKUP($C260,REV!$C:$AA,23,0)-'TRADE IN'!$F260=0,"",(VLOOKUP($C260,REV!$C:$AA,23,0)-'TRADE IN'!$F260))</f>
        <v>999</v>
      </c>
      <c r="Z260" s="46">
        <f>IF(VLOOKUP($C260,REV!$C:$AA,24,0)-'TRADE IN'!$F260=0,"",(VLOOKUP($C260,REV!$C:$AA,24,0)-'TRADE IN'!$F260))</f>
        <v>999</v>
      </c>
      <c r="AA260" s="46">
        <f>IF(VLOOKUP($C260,REV!$C:$AA,25,0)-'TRADE IN'!$F260=0,"",(VLOOKUP($C260,REV!$C:$AA,25,0)-'TRADE IN'!$F260))</f>
        <v>999</v>
      </c>
      <c r="AB260" s="45"/>
      <c r="AC260" s="45"/>
      <c r="AD260" s="45"/>
      <c r="AE260" s="45"/>
      <c r="AF260" s="45"/>
      <c r="AG260" s="45"/>
      <c r="AH260" s="45"/>
      <c r="AI260" s="45"/>
      <c r="AJ260" s="45"/>
      <c r="AK260" s="45"/>
      <c r="AL260" s="45"/>
      <c r="AM260" s="45"/>
      <c r="AN260" s="45"/>
      <c r="AO260" s="45"/>
      <c r="AP260" s="45"/>
      <c r="AQ260" s="45"/>
      <c r="AR260" s="45"/>
      <c r="AS260" s="45"/>
      <c r="AT260" s="45"/>
      <c r="AU260" s="45"/>
      <c r="AV260" s="47"/>
      <c r="AW260" s="48" t="str">
        <f>REV!AW260</f>
        <v>13.08.2026</v>
      </c>
      <c r="AX260" s="149" t="s">
        <v>68</v>
      </c>
    </row>
    <row r="261" spans="1:50" ht="22.5" customHeight="1">
      <c r="A261" s="55" t="s">
        <v>222</v>
      </c>
      <c r="B261" s="42" t="s">
        <v>64</v>
      </c>
      <c r="C261" s="43">
        <v>4014679</v>
      </c>
      <c r="D261" s="56" t="s">
        <v>415</v>
      </c>
      <c r="E261" s="56" t="s">
        <v>416</v>
      </c>
      <c r="F261" s="45">
        <v>100</v>
      </c>
      <c r="G261" s="45"/>
      <c r="H261" s="45"/>
      <c r="I261" s="45"/>
      <c r="J261" s="46">
        <f>IF(VLOOKUP($C261,REV!$C:$AA,8,0)-'TRADE IN'!$F261=0,"",(VLOOKUP($C261,REV!$C:$AA,8,0)-'TRADE IN'!$F261))</f>
        <v>399</v>
      </c>
      <c r="K261" s="46">
        <f>IF(VLOOKUP($C261,REV!$C:$AA,9,0)-'TRADE IN'!$F261=0,"",(VLOOKUP($C261,REV!$C:$AA,9,0)-'TRADE IN'!$F261))</f>
        <v>399</v>
      </c>
      <c r="L261" s="46">
        <f>IF(VLOOKUP($C261,REV!$C:$AA,10,0)-'TRADE IN'!$F261=0,"",(VLOOKUP($C261,REV!$C:$AA,10,0)-'TRADE IN'!$F261))</f>
        <v>399</v>
      </c>
      <c r="M261" s="46">
        <f>IF(VLOOKUP($C261,REV!$C:$AA,11,0)-'TRADE IN'!$F261=0,"",(VLOOKUP($C261,REV!$C:$AA,11,0)-'TRADE IN'!$F261))</f>
        <v>399</v>
      </c>
      <c r="N261" s="46">
        <f>IF(VLOOKUP($C261,REV!$C:$AA,12,0)-'TRADE IN'!$F261=0,"",(VLOOKUP($C261,REV!$C:$AA,12,0)-'TRADE IN'!$F261))</f>
        <v>399</v>
      </c>
      <c r="O261" s="46">
        <f>IF(VLOOKUP($C261,REV!$C:$AA,13,0)-'TRADE IN'!$F261=0,"",(VLOOKUP($C261,REV!$C:$AA,13,0)-'TRADE IN'!$F261))</f>
        <v>349</v>
      </c>
      <c r="P261" s="46">
        <f>IF(VLOOKUP($C261,REV!$C:$AA,14,0)-'TRADE IN'!$F261=0,"",(VLOOKUP($C261,REV!$C:$AA,14,0)-'TRADE IN'!$F261))</f>
        <v>349</v>
      </c>
      <c r="Q261" s="46">
        <f>IF(VLOOKUP($C261,REV!$C:$AA,15,0)-'TRADE IN'!$F261=0,"",(VLOOKUP($C261,REV!$C:$AA,15,0)-'TRADE IN'!$F261))</f>
        <v>349</v>
      </c>
      <c r="R261" s="46">
        <f>IF(VLOOKUP($C261,REV!$C:$AA,16,0)-'TRADE IN'!$F261=0,"",(VLOOKUP($C261,REV!$C:$AA,16,0)-'TRADE IN'!$F261))</f>
        <v>349</v>
      </c>
      <c r="S261" s="46">
        <f>IF(VLOOKUP($C261,REV!$C:$AA,17,0)-'TRADE IN'!$F261=0,"",(VLOOKUP($C261,REV!$C:$AA,17,0)-'TRADE IN'!$F261))</f>
        <v>349</v>
      </c>
      <c r="T261" s="46">
        <f>IF(VLOOKUP($C261,REV!$C:$AA,18,0)-'TRADE IN'!$F261=0,"",(VLOOKUP($C261,REV!$C:$AA,18,0)-'TRADE IN'!$F261))</f>
        <v>349</v>
      </c>
      <c r="U261" s="46">
        <f>IF(VLOOKUP($C261,REV!$C:$AA,19,0)-'TRADE IN'!$F261=0,"",(VLOOKUP($C261,REV!$C:$AA,19,0)-'TRADE IN'!$F261))</f>
        <v>349</v>
      </c>
      <c r="V261" s="46">
        <f>IF(VLOOKUP($C261,REV!$C:$AA,20,0)-'TRADE IN'!$F261=0,"",(VLOOKUP($C261,REV!$C:$AA,20,0)-'TRADE IN'!$F261))</f>
        <v>349</v>
      </c>
      <c r="W261" s="46">
        <f>IF(VLOOKUP($C261,REV!$C:$AA,21,0)-'TRADE IN'!$F261=0,"",(VLOOKUP($C261,REV!$C:$AA,21,0)-'TRADE IN'!$F261))</f>
        <v>349</v>
      </c>
      <c r="X261" s="46">
        <f>IF(VLOOKUP($C261,REV!$C:$AA,22,0)-'TRADE IN'!$F261=0,"",(VLOOKUP($C261,REV!$C:$AA,22,0)-'TRADE IN'!$F261))</f>
        <v>349</v>
      </c>
      <c r="Y261" s="46">
        <f>IF(VLOOKUP($C261,REV!$C:$AA,23,0)-'TRADE IN'!$F261=0,"",(VLOOKUP($C261,REV!$C:$AA,23,0)-'TRADE IN'!$F261))</f>
        <v>349</v>
      </c>
      <c r="Z261" s="46">
        <f>IF(VLOOKUP($C261,REV!$C:$AA,24,0)-'TRADE IN'!$F261=0,"",(VLOOKUP($C261,REV!$C:$AA,24,0)-'TRADE IN'!$F261))</f>
        <v>349</v>
      </c>
      <c r="AA261" s="46">
        <f>IF(VLOOKUP($C261,REV!$C:$AA,25,0)-'TRADE IN'!$F261=0,"",(VLOOKUP($C261,REV!$C:$AA,25,0)-'TRADE IN'!$F261))</f>
        <v>349</v>
      </c>
      <c r="AB261" s="45"/>
      <c r="AC261" s="45"/>
      <c r="AD261" s="45"/>
      <c r="AE261" s="45"/>
      <c r="AF261" s="45"/>
      <c r="AG261" s="45"/>
      <c r="AH261" s="45"/>
      <c r="AI261" s="45"/>
      <c r="AJ261" s="45"/>
      <c r="AK261" s="45"/>
      <c r="AL261" s="45"/>
      <c r="AM261" s="45"/>
      <c r="AN261" s="45"/>
      <c r="AO261" s="45"/>
      <c r="AP261" s="45"/>
      <c r="AQ261" s="45"/>
      <c r="AR261" s="45"/>
      <c r="AS261" s="45"/>
      <c r="AT261" s="45"/>
      <c r="AU261" s="45"/>
      <c r="AV261" s="47"/>
      <c r="AW261" s="48" t="str">
        <f>REV!AW261</f>
        <v>13.08.2026</v>
      </c>
      <c r="AX261" s="149" t="s">
        <v>68</v>
      </c>
    </row>
    <row r="262" spans="1:50" ht="22.5" customHeight="1">
      <c r="A262" s="55" t="s">
        <v>222</v>
      </c>
      <c r="B262" s="42" t="s">
        <v>64</v>
      </c>
      <c r="C262" s="43">
        <v>4015250</v>
      </c>
      <c r="D262" s="56" t="s">
        <v>417</v>
      </c>
      <c r="E262" s="56" t="s">
        <v>418</v>
      </c>
      <c r="F262" s="45">
        <v>100</v>
      </c>
      <c r="G262" s="45"/>
      <c r="H262" s="45"/>
      <c r="I262" s="45"/>
      <c r="J262" s="46">
        <f>IF(VLOOKUP($C262,REV!$C:$AA,8,0)-'TRADE IN'!$F262=0,"",(VLOOKUP($C262,REV!$C:$AA,8,0)-'TRADE IN'!$F262))</f>
        <v>669</v>
      </c>
      <c r="K262" s="46">
        <f>IF(VLOOKUP($C262,REV!$C:$AA,9,0)-'TRADE IN'!$F262=0,"",(VLOOKUP($C262,REV!$C:$AA,9,0)-'TRADE IN'!$F262))</f>
        <v>669</v>
      </c>
      <c r="L262" s="46">
        <f>IF(VLOOKUP($C262,REV!$C:$AA,10,0)-'TRADE IN'!$F262=0,"",(VLOOKUP($C262,REV!$C:$AA,10,0)-'TRADE IN'!$F262))</f>
        <v>669</v>
      </c>
      <c r="M262" s="46">
        <f>IF(VLOOKUP($C262,REV!$C:$AA,11,0)-'TRADE IN'!$F262=0,"",(VLOOKUP($C262,REV!$C:$AA,11,0)-'TRADE IN'!$F262))</f>
        <v>669</v>
      </c>
      <c r="N262" s="46">
        <f>IF(VLOOKUP($C262,REV!$C:$AA,12,0)-'TRADE IN'!$F262=0,"",(VLOOKUP($C262,REV!$C:$AA,12,0)-'TRADE IN'!$F262))</f>
        <v>669</v>
      </c>
      <c r="O262" s="46">
        <f>IF(VLOOKUP($C262,REV!$C:$AA,13,0)-'TRADE IN'!$F262=0,"",(VLOOKUP($C262,REV!$C:$AA,13,0)-'TRADE IN'!$F262))</f>
        <v>669</v>
      </c>
      <c r="P262" s="46">
        <f>IF(VLOOKUP($C262,REV!$C:$AA,14,0)-'TRADE IN'!$F262=0,"",(VLOOKUP($C262,REV!$C:$AA,14,0)-'TRADE IN'!$F262))</f>
        <v>669</v>
      </c>
      <c r="Q262" s="46">
        <f>IF(VLOOKUP($C262,REV!$C:$AA,15,0)-'TRADE IN'!$F262=0,"",(VLOOKUP($C262,REV!$C:$AA,15,0)-'TRADE IN'!$F262))</f>
        <v>669</v>
      </c>
      <c r="R262" s="46">
        <f>IF(VLOOKUP($C262,REV!$C:$AA,16,0)-'TRADE IN'!$F262=0,"",(VLOOKUP($C262,REV!$C:$AA,16,0)-'TRADE IN'!$F262))</f>
        <v>669</v>
      </c>
      <c r="S262" s="46">
        <f>IF(VLOOKUP($C262,REV!$C:$AA,17,0)-'TRADE IN'!$F262=0,"",(VLOOKUP($C262,REV!$C:$AA,17,0)-'TRADE IN'!$F262))</f>
        <v>669</v>
      </c>
      <c r="T262" s="46">
        <f>IF(VLOOKUP($C262,REV!$C:$AA,18,0)-'TRADE IN'!$F262=0,"",(VLOOKUP($C262,REV!$C:$AA,18,0)-'TRADE IN'!$F262))</f>
        <v>669</v>
      </c>
      <c r="U262" s="46">
        <f>IF(VLOOKUP($C262,REV!$C:$AA,19,0)-'TRADE IN'!$F262=0,"",(VLOOKUP($C262,REV!$C:$AA,19,0)-'TRADE IN'!$F262))</f>
        <v>669</v>
      </c>
      <c r="V262" s="46">
        <f>IF(VLOOKUP($C262,REV!$C:$AA,20,0)-'TRADE IN'!$F262=0,"",(VLOOKUP($C262,REV!$C:$AA,20,0)-'TRADE IN'!$F262))</f>
        <v>669</v>
      </c>
      <c r="W262" s="46">
        <f>IF(VLOOKUP($C262,REV!$C:$AA,21,0)-'TRADE IN'!$F262=0,"",(VLOOKUP($C262,REV!$C:$AA,21,0)-'TRADE IN'!$F262))</f>
        <v>669</v>
      </c>
      <c r="X262" s="46">
        <f>IF(VLOOKUP($C262,REV!$C:$AA,22,0)-'TRADE IN'!$F262=0,"",(VLOOKUP($C262,REV!$C:$AA,22,0)-'TRADE IN'!$F262))</f>
        <v>669</v>
      </c>
      <c r="Y262" s="46">
        <f>IF(VLOOKUP($C262,REV!$C:$AA,23,0)-'TRADE IN'!$F262=0,"",(VLOOKUP($C262,REV!$C:$AA,23,0)-'TRADE IN'!$F262))</f>
        <v>669</v>
      </c>
      <c r="Z262" s="46">
        <f>IF(VLOOKUP($C262,REV!$C:$AA,24,0)-'TRADE IN'!$F262=0,"",(VLOOKUP($C262,REV!$C:$AA,24,0)-'TRADE IN'!$F262))</f>
        <v>669</v>
      </c>
      <c r="AA262" s="46">
        <f>IF(VLOOKUP($C262,REV!$C:$AA,25,0)-'TRADE IN'!$F262=0,"",(VLOOKUP($C262,REV!$C:$AA,25,0)-'TRADE IN'!$F262))</f>
        <v>669</v>
      </c>
      <c r="AB262" s="45"/>
      <c r="AC262" s="45"/>
      <c r="AD262" s="45"/>
      <c r="AE262" s="45"/>
      <c r="AF262" s="45"/>
      <c r="AG262" s="45"/>
      <c r="AH262" s="45"/>
      <c r="AI262" s="45"/>
      <c r="AJ262" s="45"/>
      <c r="AK262" s="45"/>
      <c r="AL262" s="45"/>
      <c r="AM262" s="45"/>
      <c r="AN262" s="45"/>
      <c r="AO262" s="45"/>
      <c r="AP262" s="45"/>
      <c r="AQ262" s="45"/>
      <c r="AR262" s="45"/>
      <c r="AS262" s="45"/>
      <c r="AT262" s="45"/>
      <c r="AU262" s="45"/>
      <c r="AV262" s="47"/>
      <c r="AW262" s="48" t="str">
        <f>REV!AW262</f>
        <v>13.08.2026</v>
      </c>
      <c r="AX262" s="149" t="s">
        <v>68</v>
      </c>
    </row>
    <row r="263" spans="1:50" ht="22.5" customHeight="1">
      <c r="A263" s="55" t="s">
        <v>222</v>
      </c>
      <c r="B263" s="42" t="s">
        <v>64</v>
      </c>
      <c r="C263" s="43">
        <v>4015251</v>
      </c>
      <c r="D263" s="56" t="s">
        <v>417</v>
      </c>
      <c r="E263" s="56" t="s">
        <v>419</v>
      </c>
      <c r="F263" s="45">
        <v>100</v>
      </c>
      <c r="G263" s="45"/>
      <c r="H263" s="45"/>
      <c r="I263" s="45"/>
      <c r="J263" s="46">
        <f>IF(VLOOKUP($C263,REV!$C:$AA,8,0)-'TRADE IN'!$F263=0,"",(VLOOKUP($C263,REV!$C:$AA,8,0)-'TRADE IN'!$F263))</f>
        <v>669</v>
      </c>
      <c r="K263" s="46">
        <f>IF(VLOOKUP($C263,REV!$C:$AA,9,0)-'TRADE IN'!$F263=0,"",(VLOOKUP($C263,REV!$C:$AA,9,0)-'TRADE IN'!$F263))</f>
        <v>669</v>
      </c>
      <c r="L263" s="46">
        <f>IF(VLOOKUP($C263,REV!$C:$AA,10,0)-'TRADE IN'!$F263=0,"",(VLOOKUP($C263,REV!$C:$AA,10,0)-'TRADE IN'!$F263))</f>
        <v>669</v>
      </c>
      <c r="M263" s="46">
        <f>IF(VLOOKUP($C263,REV!$C:$AA,11,0)-'TRADE IN'!$F263=0,"",(VLOOKUP($C263,REV!$C:$AA,11,0)-'TRADE IN'!$F263))</f>
        <v>669</v>
      </c>
      <c r="N263" s="46">
        <f>IF(VLOOKUP($C263,REV!$C:$AA,12,0)-'TRADE IN'!$F263=0,"",(VLOOKUP($C263,REV!$C:$AA,12,0)-'TRADE IN'!$F263))</f>
        <v>669</v>
      </c>
      <c r="O263" s="46">
        <f>IF(VLOOKUP($C263,REV!$C:$AA,13,0)-'TRADE IN'!$F263=0,"",(VLOOKUP($C263,REV!$C:$AA,13,0)-'TRADE IN'!$F263))</f>
        <v>669</v>
      </c>
      <c r="P263" s="46">
        <f>IF(VLOOKUP($C263,REV!$C:$AA,14,0)-'TRADE IN'!$F263=0,"",(VLOOKUP($C263,REV!$C:$AA,14,0)-'TRADE IN'!$F263))</f>
        <v>669</v>
      </c>
      <c r="Q263" s="46">
        <f>IF(VLOOKUP($C263,REV!$C:$AA,15,0)-'TRADE IN'!$F263=0,"",(VLOOKUP($C263,REV!$C:$AA,15,0)-'TRADE IN'!$F263))</f>
        <v>669</v>
      </c>
      <c r="R263" s="46">
        <f>IF(VLOOKUP($C263,REV!$C:$AA,16,0)-'TRADE IN'!$F263=0,"",(VLOOKUP($C263,REV!$C:$AA,16,0)-'TRADE IN'!$F263))</f>
        <v>669</v>
      </c>
      <c r="S263" s="46">
        <f>IF(VLOOKUP($C263,REV!$C:$AA,17,0)-'TRADE IN'!$F263=0,"",(VLOOKUP($C263,REV!$C:$AA,17,0)-'TRADE IN'!$F263))</f>
        <v>669</v>
      </c>
      <c r="T263" s="46">
        <f>IF(VLOOKUP($C263,REV!$C:$AA,18,0)-'TRADE IN'!$F263=0,"",(VLOOKUP($C263,REV!$C:$AA,18,0)-'TRADE IN'!$F263))</f>
        <v>669</v>
      </c>
      <c r="U263" s="46">
        <f>IF(VLOOKUP($C263,REV!$C:$AA,19,0)-'TRADE IN'!$F263=0,"",(VLOOKUP($C263,REV!$C:$AA,19,0)-'TRADE IN'!$F263))</f>
        <v>669</v>
      </c>
      <c r="V263" s="46">
        <f>IF(VLOOKUP($C263,REV!$C:$AA,20,0)-'TRADE IN'!$F263=0,"",(VLOOKUP($C263,REV!$C:$AA,20,0)-'TRADE IN'!$F263))</f>
        <v>669</v>
      </c>
      <c r="W263" s="46">
        <f>IF(VLOOKUP($C263,REV!$C:$AA,21,0)-'TRADE IN'!$F263=0,"",(VLOOKUP($C263,REV!$C:$AA,21,0)-'TRADE IN'!$F263))</f>
        <v>669</v>
      </c>
      <c r="X263" s="46">
        <f>IF(VLOOKUP($C263,REV!$C:$AA,22,0)-'TRADE IN'!$F263=0,"",(VLOOKUP($C263,REV!$C:$AA,22,0)-'TRADE IN'!$F263))</f>
        <v>669</v>
      </c>
      <c r="Y263" s="46">
        <f>IF(VLOOKUP($C263,REV!$C:$AA,23,0)-'TRADE IN'!$F263=0,"",(VLOOKUP($C263,REV!$C:$AA,23,0)-'TRADE IN'!$F263))</f>
        <v>669</v>
      </c>
      <c r="Z263" s="46">
        <f>IF(VLOOKUP($C263,REV!$C:$AA,24,0)-'TRADE IN'!$F263=0,"",(VLOOKUP($C263,REV!$C:$AA,24,0)-'TRADE IN'!$F263))</f>
        <v>669</v>
      </c>
      <c r="AA263" s="46">
        <f>IF(VLOOKUP($C263,REV!$C:$AA,25,0)-'TRADE IN'!$F263=0,"",(VLOOKUP($C263,REV!$C:$AA,25,0)-'TRADE IN'!$F263))</f>
        <v>669</v>
      </c>
      <c r="AB263" s="45"/>
      <c r="AC263" s="45"/>
      <c r="AD263" s="45"/>
      <c r="AE263" s="45"/>
      <c r="AF263" s="45"/>
      <c r="AG263" s="45"/>
      <c r="AH263" s="45"/>
      <c r="AI263" s="45"/>
      <c r="AJ263" s="45"/>
      <c r="AK263" s="45"/>
      <c r="AL263" s="45"/>
      <c r="AM263" s="45"/>
      <c r="AN263" s="45"/>
      <c r="AO263" s="45"/>
      <c r="AP263" s="45"/>
      <c r="AQ263" s="45"/>
      <c r="AR263" s="45"/>
      <c r="AS263" s="45"/>
      <c r="AT263" s="45"/>
      <c r="AU263" s="45"/>
      <c r="AV263" s="47"/>
      <c r="AW263" s="48" t="str">
        <f>REV!AW263</f>
        <v>13.08.2026</v>
      </c>
      <c r="AX263" s="149" t="s">
        <v>68</v>
      </c>
    </row>
    <row r="264" spans="1:50" ht="22.5" customHeight="1">
      <c r="A264" s="55" t="s">
        <v>222</v>
      </c>
      <c r="B264" s="42" t="s">
        <v>64</v>
      </c>
      <c r="C264" s="43">
        <v>4016092</v>
      </c>
      <c r="D264" s="56" t="s">
        <v>420</v>
      </c>
      <c r="E264" s="56" t="s">
        <v>421</v>
      </c>
      <c r="F264" s="45">
        <v>100</v>
      </c>
      <c r="G264" s="45"/>
      <c r="H264" s="45"/>
      <c r="I264" s="45"/>
      <c r="J264" s="46">
        <f>IF(VLOOKUP($C264,REV!$C:$AA,8,0)-'TRADE IN'!$F264=0,"",(VLOOKUP($C264,REV!$C:$AA,8,0)-'TRADE IN'!$F264))</f>
        <v>599</v>
      </c>
      <c r="K264" s="46">
        <f>IF(VLOOKUP($C264,REV!$C:$AA,9,0)-'TRADE IN'!$F264=0,"",(VLOOKUP($C264,REV!$C:$AA,9,0)-'TRADE IN'!$F264))</f>
        <v>599</v>
      </c>
      <c r="L264" s="46">
        <f>IF(VLOOKUP($C264,REV!$C:$AA,10,0)-'TRADE IN'!$F264=0,"",(VLOOKUP($C264,REV!$C:$AA,10,0)-'TRADE IN'!$F264))</f>
        <v>599</v>
      </c>
      <c r="M264" s="46">
        <f>IF(VLOOKUP($C264,REV!$C:$AA,11,0)-'TRADE IN'!$F264=0,"",(VLOOKUP($C264,REV!$C:$AA,11,0)-'TRADE IN'!$F264))</f>
        <v>599</v>
      </c>
      <c r="N264" s="46">
        <f>IF(VLOOKUP($C264,REV!$C:$AA,12,0)-'TRADE IN'!$F264=0,"",(VLOOKUP($C264,REV!$C:$AA,12,0)-'TRADE IN'!$F264))</f>
        <v>599</v>
      </c>
      <c r="O264" s="46">
        <f>IF(VLOOKUP($C264,REV!$C:$AA,13,0)-'TRADE IN'!$F264=0,"",(VLOOKUP($C264,REV!$C:$AA,13,0)-'TRADE IN'!$F264))</f>
        <v>599</v>
      </c>
      <c r="P264" s="46">
        <f>IF(VLOOKUP($C264,REV!$C:$AA,14,0)-'TRADE IN'!$F264=0,"",(VLOOKUP($C264,REV!$C:$AA,14,0)-'TRADE IN'!$F264))</f>
        <v>599</v>
      </c>
      <c r="Q264" s="46">
        <f>IF(VLOOKUP($C264,REV!$C:$AA,15,0)-'TRADE IN'!$F264=0,"",(VLOOKUP($C264,REV!$C:$AA,15,0)-'TRADE IN'!$F264))</f>
        <v>599</v>
      </c>
      <c r="R264" s="46">
        <f>IF(VLOOKUP($C264,REV!$C:$AA,16,0)-'TRADE IN'!$F264=0,"",(VLOOKUP($C264,REV!$C:$AA,16,0)-'TRADE IN'!$F264))</f>
        <v>599</v>
      </c>
      <c r="S264" s="46">
        <f>IF(VLOOKUP($C264,REV!$C:$AA,17,0)-'TRADE IN'!$F264=0,"",(VLOOKUP($C264,REV!$C:$AA,17,0)-'TRADE IN'!$F264))</f>
        <v>599</v>
      </c>
      <c r="T264" s="46">
        <f>IF(VLOOKUP($C264,REV!$C:$AA,18,0)-'TRADE IN'!$F264=0,"",(VLOOKUP($C264,REV!$C:$AA,18,0)-'TRADE IN'!$F264))</f>
        <v>599</v>
      </c>
      <c r="U264" s="46">
        <f>IF(VLOOKUP($C264,REV!$C:$AA,19,0)-'TRADE IN'!$F264=0,"",(VLOOKUP($C264,REV!$C:$AA,19,0)-'TRADE IN'!$F264))</f>
        <v>599</v>
      </c>
      <c r="V264" s="46">
        <f>IF(VLOOKUP($C264,REV!$C:$AA,20,0)-'TRADE IN'!$F264=0,"",(VLOOKUP($C264,REV!$C:$AA,20,0)-'TRADE IN'!$F264))</f>
        <v>599</v>
      </c>
      <c r="W264" s="46">
        <f>IF(VLOOKUP($C264,REV!$C:$AA,21,0)-'TRADE IN'!$F264=0,"",(VLOOKUP($C264,REV!$C:$AA,21,0)-'TRADE IN'!$F264))</f>
        <v>599</v>
      </c>
      <c r="X264" s="46">
        <f>IF(VLOOKUP($C264,REV!$C:$AA,22,0)-'TRADE IN'!$F264=0,"",(VLOOKUP($C264,REV!$C:$AA,22,0)-'TRADE IN'!$F264))</f>
        <v>599</v>
      </c>
      <c r="Y264" s="46">
        <f>IF(VLOOKUP($C264,REV!$C:$AA,23,0)-'TRADE IN'!$F264=0,"",(VLOOKUP($C264,REV!$C:$AA,23,0)-'TRADE IN'!$F264))</f>
        <v>599</v>
      </c>
      <c r="Z264" s="46">
        <f>IF(VLOOKUP($C264,REV!$C:$AA,24,0)-'TRADE IN'!$F264=0,"",(VLOOKUP($C264,REV!$C:$AA,24,0)-'TRADE IN'!$F264))</f>
        <v>599</v>
      </c>
      <c r="AA264" s="46">
        <f>IF(VLOOKUP($C264,REV!$C:$AA,25,0)-'TRADE IN'!$F264=0,"",(VLOOKUP($C264,REV!$C:$AA,25,0)-'TRADE IN'!$F264))</f>
        <v>599</v>
      </c>
      <c r="AB264" s="45"/>
      <c r="AC264" s="45"/>
      <c r="AD264" s="45"/>
      <c r="AE264" s="45"/>
      <c r="AF264" s="45"/>
      <c r="AG264" s="45"/>
      <c r="AH264" s="45"/>
      <c r="AI264" s="45"/>
      <c r="AJ264" s="45"/>
      <c r="AK264" s="45"/>
      <c r="AL264" s="45"/>
      <c r="AM264" s="45"/>
      <c r="AN264" s="45"/>
      <c r="AO264" s="45"/>
      <c r="AP264" s="45"/>
      <c r="AQ264" s="45"/>
      <c r="AR264" s="45"/>
      <c r="AS264" s="45"/>
      <c r="AT264" s="45"/>
      <c r="AU264" s="45"/>
      <c r="AV264" s="47"/>
      <c r="AW264" s="48" t="str">
        <f>REV!AW264</f>
        <v>13.08.2026</v>
      </c>
      <c r="AX264" s="149" t="s">
        <v>68</v>
      </c>
    </row>
    <row r="265" spans="1:50" ht="22.5" customHeight="1">
      <c r="A265" s="55" t="s">
        <v>222</v>
      </c>
      <c r="B265" s="42" t="s">
        <v>64</v>
      </c>
      <c r="C265" s="43">
        <v>4016095</v>
      </c>
      <c r="D265" s="56" t="s">
        <v>420</v>
      </c>
      <c r="E265" s="56" t="s">
        <v>422</v>
      </c>
      <c r="F265" s="45">
        <v>100</v>
      </c>
      <c r="G265" s="45"/>
      <c r="H265" s="45"/>
      <c r="I265" s="45"/>
      <c r="J265" s="46">
        <f>IF(VLOOKUP($C265,REV!$C:$AA,8,0)-'TRADE IN'!$F265=0,"",(VLOOKUP($C265,REV!$C:$AA,8,0)-'TRADE IN'!$F265))</f>
        <v>599</v>
      </c>
      <c r="K265" s="46">
        <f>IF(VLOOKUP($C265,REV!$C:$AA,9,0)-'TRADE IN'!$F265=0,"",(VLOOKUP($C265,REV!$C:$AA,9,0)-'TRADE IN'!$F265))</f>
        <v>599</v>
      </c>
      <c r="L265" s="46">
        <f>IF(VLOOKUP($C265,REV!$C:$AA,10,0)-'TRADE IN'!$F265=0,"",(VLOOKUP($C265,REV!$C:$AA,10,0)-'TRADE IN'!$F265))</f>
        <v>599</v>
      </c>
      <c r="M265" s="46">
        <f>IF(VLOOKUP($C265,REV!$C:$AA,11,0)-'TRADE IN'!$F265=0,"",(VLOOKUP($C265,REV!$C:$AA,11,0)-'TRADE IN'!$F265))</f>
        <v>599</v>
      </c>
      <c r="N265" s="46">
        <f>IF(VLOOKUP($C265,REV!$C:$AA,12,0)-'TRADE IN'!$F265=0,"",(VLOOKUP($C265,REV!$C:$AA,12,0)-'TRADE IN'!$F265))</f>
        <v>599</v>
      </c>
      <c r="O265" s="46">
        <f>IF(VLOOKUP($C265,REV!$C:$AA,13,0)-'TRADE IN'!$F265=0,"",(VLOOKUP($C265,REV!$C:$AA,13,0)-'TRADE IN'!$F265))</f>
        <v>599</v>
      </c>
      <c r="P265" s="46">
        <f>IF(VLOOKUP($C265,REV!$C:$AA,14,0)-'TRADE IN'!$F265=0,"",(VLOOKUP($C265,REV!$C:$AA,14,0)-'TRADE IN'!$F265))</f>
        <v>599</v>
      </c>
      <c r="Q265" s="46">
        <f>IF(VLOOKUP($C265,REV!$C:$AA,15,0)-'TRADE IN'!$F265=0,"",(VLOOKUP($C265,REV!$C:$AA,15,0)-'TRADE IN'!$F265))</f>
        <v>599</v>
      </c>
      <c r="R265" s="46">
        <f>IF(VLOOKUP($C265,REV!$C:$AA,16,0)-'TRADE IN'!$F265=0,"",(VLOOKUP($C265,REV!$C:$AA,16,0)-'TRADE IN'!$F265))</f>
        <v>599</v>
      </c>
      <c r="S265" s="46">
        <f>IF(VLOOKUP($C265,REV!$C:$AA,17,0)-'TRADE IN'!$F265=0,"",(VLOOKUP($C265,REV!$C:$AA,17,0)-'TRADE IN'!$F265))</f>
        <v>599</v>
      </c>
      <c r="T265" s="46">
        <f>IF(VLOOKUP($C265,REV!$C:$AA,18,0)-'TRADE IN'!$F265=0,"",(VLOOKUP($C265,REV!$C:$AA,18,0)-'TRADE IN'!$F265))</f>
        <v>599</v>
      </c>
      <c r="U265" s="46">
        <f>IF(VLOOKUP($C265,REV!$C:$AA,19,0)-'TRADE IN'!$F265=0,"",(VLOOKUP($C265,REV!$C:$AA,19,0)-'TRADE IN'!$F265))</f>
        <v>599</v>
      </c>
      <c r="V265" s="46">
        <f>IF(VLOOKUP($C265,REV!$C:$AA,20,0)-'TRADE IN'!$F265=0,"",(VLOOKUP($C265,REV!$C:$AA,20,0)-'TRADE IN'!$F265))</f>
        <v>599</v>
      </c>
      <c r="W265" s="46">
        <f>IF(VLOOKUP($C265,REV!$C:$AA,21,0)-'TRADE IN'!$F265=0,"",(VLOOKUP($C265,REV!$C:$AA,21,0)-'TRADE IN'!$F265))</f>
        <v>599</v>
      </c>
      <c r="X265" s="46">
        <f>IF(VLOOKUP($C265,REV!$C:$AA,22,0)-'TRADE IN'!$F265=0,"",(VLOOKUP($C265,REV!$C:$AA,22,0)-'TRADE IN'!$F265))</f>
        <v>599</v>
      </c>
      <c r="Y265" s="46">
        <f>IF(VLOOKUP($C265,REV!$C:$AA,23,0)-'TRADE IN'!$F265=0,"",(VLOOKUP($C265,REV!$C:$AA,23,0)-'TRADE IN'!$F265))</f>
        <v>599</v>
      </c>
      <c r="Z265" s="46">
        <f>IF(VLOOKUP($C265,REV!$C:$AA,24,0)-'TRADE IN'!$F265=0,"",(VLOOKUP($C265,REV!$C:$AA,24,0)-'TRADE IN'!$F265))</f>
        <v>599</v>
      </c>
      <c r="AA265" s="46">
        <f>IF(VLOOKUP($C265,REV!$C:$AA,25,0)-'TRADE IN'!$F265=0,"",(VLOOKUP($C265,REV!$C:$AA,25,0)-'TRADE IN'!$F265))</f>
        <v>599</v>
      </c>
      <c r="AB265" s="45"/>
      <c r="AC265" s="45"/>
      <c r="AD265" s="45"/>
      <c r="AE265" s="45"/>
      <c r="AF265" s="45"/>
      <c r="AG265" s="45"/>
      <c r="AH265" s="45"/>
      <c r="AI265" s="45"/>
      <c r="AJ265" s="45"/>
      <c r="AK265" s="45"/>
      <c r="AL265" s="45"/>
      <c r="AM265" s="45"/>
      <c r="AN265" s="45"/>
      <c r="AO265" s="45"/>
      <c r="AP265" s="45"/>
      <c r="AQ265" s="45"/>
      <c r="AR265" s="45"/>
      <c r="AS265" s="45"/>
      <c r="AT265" s="45"/>
      <c r="AU265" s="45"/>
      <c r="AV265" s="47"/>
      <c r="AW265" s="48" t="str">
        <f>REV!AW265</f>
        <v>13.08.2026</v>
      </c>
      <c r="AX265" s="149" t="s">
        <v>68</v>
      </c>
    </row>
    <row r="266" spans="1:50" ht="22.5" customHeight="1">
      <c r="A266" s="55" t="s">
        <v>222</v>
      </c>
      <c r="B266" s="42" t="s">
        <v>64</v>
      </c>
      <c r="C266" s="43">
        <v>4014161</v>
      </c>
      <c r="D266" s="56" t="s">
        <v>423</v>
      </c>
      <c r="E266" s="56" t="s">
        <v>424</v>
      </c>
      <c r="F266" s="45">
        <v>100</v>
      </c>
      <c r="G266" s="45"/>
      <c r="H266" s="45"/>
      <c r="I266" s="45"/>
      <c r="J266" s="46">
        <f>IF(VLOOKUP($C266,REV!$C:$AA,8,0)-'TRADE IN'!$F266=0,"",(VLOOKUP($C266,REV!$C:$AA,8,0)-'TRADE IN'!$F266))</f>
        <v>499</v>
      </c>
      <c r="K266" s="46">
        <f>IF(VLOOKUP($C266,REV!$C:$AA,9,0)-'TRADE IN'!$F266=0,"",(VLOOKUP($C266,REV!$C:$AA,9,0)-'TRADE IN'!$F266))</f>
        <v>499</v>
      </c>
      <c r="L266" s="46">
        <f>IF(VLOOKUP($C266,REV!$C:$AA,10,0)-'TRADE IN'!$F266=0,"",(VLOOKUP($C266,REV!$C:$AA,10,0)-'TRADE IN'!$F266))</f>
        <v>499</v>
      </c>
      <c r="M266" s="46">
        <f>IF(VLOOKUP($C266,REV!$C:$AA,11,0)-'TRADE IN'!$F266=0,"",(VLOOKUP($C266,REV!$C:$AA,11,0)-'TRADE IN'!$F266))</f>
        <v>499</v>
      </c>
      <c r="N266" s="46">
        <f>IF(VLOOKUP($C266,REV!$C:$AA,12,0)-'TRADE IN'!$F266=0,"",(VLOOKUP($C266,REV!$C:$AA,12,0)-'TRADE IN'!$F266))</f>
        <v>499</v>
      </c>
      <c r="O266" s="46">
        <f>IF(VLOOKUP($C266,REV!$C:$AA,13,0)-'TRADE IN'!$F266=0,"",(VLOOKUP($C266,REV!$C:$AA,13,0)-'TRADE IN'!$F266))</f>
        <v>449</v>
      </c>
      <c r="P266" s="46">
        <f>IF(VLOOKUP($C266,REV!$C:$AA,14,0)-'TRADE IN'!$F266=0,"",(VLOOKUP($C266,REV!$C:$AA,14,0)-'TRADE IN'!$F266))</f>
        <v>399</v>
      </c>
      <c r="Q266" s="46">
        <f>IF(VLOOKUP($C266,REV!$C:$AA,15,0)-'TRADE IN'!$F266=0,"",(VLOOKUP($C266,REV!$C:$AA,15,0)-'TRADE IN'!$F266))</f>
        <v>299</v>
      </c>
      <c r="R266" s="46">
        <f>IF(VLOOKUP($C266,REV!$C:$AA,16,0)-'TRADE IN'!$F266=0,"",(VLOOKUP($C266,REV!$C:$AA,16,0)-'TRADE IN'!$F266))</f>
        <v>449</v>
      </c>
      <c r="S266" s="46">
        <f>IF(VLOOKUP($C266,REV!$C:$AA,17,0)-'TRADE IN'!$F266=0,"",(VLOOKUP($C266,REV!$C:$AA,17,0)-'TRADE IN'!$F266))</f>
        <v>399</v>
      </c>
      <c r="T266" s="46">
        <f>IF(VLOOKUP($C266,REV!$C:$AA,18,0)-'TRADE IN'!$F266=0,"",(VLOOKUP($C266,REV!$C:$AA,18,0)-'TRADE IN'!$F266))</f>
        <v>299</v>
      </c>
      <c r="U266" s="46">
        <f>IF(VLOOKUP($C266,REV!$C:$AA,19,0)-'TRADE IN'!$F266=0,"",(VLOOKUP($C266,REV!$C:$AA,19,0)-'TRADE IN'!$F266))</f>
        <v>299</v>
      </c>
      <c r="V266" s="46">
        <f>IF(VLOOKUP($C266,REV!$C:$AA,20,0)-'TRADE IN'!$F266=0,"",(VLOOKUP($C266,REV!$C:$AA,20,0)-'TRADE IN'!$F266))</f>
        <v>299</v>
      </c>
      <c r="W266" s="46">
        <f>IF(VLOOKUP($C266,REV!$C:$AA,21,0)-'TRADE IN'!$F266=0,"",(VLOOKUP($C266,REV!$C:$AA,21,0)-'TRADE IN'!$F266))</f>
        <v>299</v>
      </c>
      <c r="X266" s="46">
        <f>IF(VLOOKUP($C266,REV!$C:$AA,22,0)-'TRADE IN'!$F266=0,"",(VLOOKUP($C266,REV!$C:$AA,22,0)-'TRADE IN'!$F266))</f>
        <v>299</v>
      </c>
      <c r="Y266" s="46">
        <f>IF(VLOOKUP($C266,REV!$C:$AA,23,0)-'TRADE IN'!$F266=0,"",(VLOOKUP($C266,REV!$C:$AA,23,0)-'TRADE IN'!$F266))</f>
        <v>299</v>
      </c>
      <c r="Z266" s="46">
        <f>IF(VLOOKUP($C266,REV!$C:$AA,24,0)-'TRADE IN'!$F266=0,"",(VLOOKUP($C266,REV!$C:$AA,24,0)-'TRADE IN'!$F266))</f>
        <v>299</v>
      </c>
      <c r="AA266" s="46">
        <f>IF(VLOOKUP($C266,REV!$C:$AA,25,0)-'TRADE IN'!$F266=0,"",(VLOOKUP($C266,REV!$C:$AA,25,0)-'TRADE IN'!$F266))</f>
        <v>299</v>
      </c>
      <c r="AB266" s="45"/>
      <c r="AC266" s="45"/>
      <c r="AD266" s="45"/>
      <c r="AE266" s="45"/>
      <c r="AF266" s="45"/>
      <c r="AG266" s="45"/>
      <c r="AH266" s="45"/>
      <c r="AI266" s="45"/>
      <c r="AJ266" s="45"/>
      <c r="AK266" s="45"/>
      <c r="AL266" s="45"/>
      <c r="AM266" s="45"/>
      <c r="AN266" s="45"/>
      <c r="AO266" s="45"/>
      <c r="AP266" s="45"/>
      <c r="AQ266" s="45"/>
      <c r="AR266" s="45"/>
      <c r="AS266" s="45"/>
      <c r="AT266" s="45"/>
      <c r="AU266" s="45"/>
      <c r="AV266" s="47"/>
      <c r="AW266" s="48" t="str">
        <f>REV!AW266</f>
        <v>13.08.2026</v>
      </c>
      <c r="AX266" s="149" t="s">
        <v>68</v>
      </c>
    </row>
    <row r="267" spans="1:50" ht="22.5" customHeight="1">
      <c r="A267" s="55" t="s">
        <v>222</v>
      </c>
      <c r="B267" s="42" t="s">
        <v>64</v>
      </c>
      <c r="C267" s="43">
        <v>4015441</v>
      </c>
      <c r="D267" s="56" t="s">
        <v>425</v>
      </c>
      <c r="E267" s="56" t="s">
        <v>426</v>
      </c>
      <c r="F267" s="45">
        <v>100</v>
      </c>
      <c r="G267" s="45"/>
      <c r="H267" s="45"/>
      <c r="I267" s="45"/>
      <c r="J267" s="46">
        <f>IF(VLOOKUP($C267,REV!$C:$AA,8,0)-'TRADE IN'!$F267=0,"",(VLOOKUP($C267,REV!$C:$AA,8,0)-'TRADE IN'!$F267))</f>
        <v>899</v>
      </c>
      <c r="K267" s="46">
        <f>IF(VLOOKUP($C267,REV!$C:$AA,9,0)-'TRADE IN'!$F267=0,"",(VLOOKUP($C267,REV!$C:$AA,9,0)-'TRADE IN'!$F267))</f>
        <v>899</v>
      </c>
      <c r="L267" s="46">
        <f>IF(VLOOKUP($C267,REV!$C:$AA,10,0)-'TRADE IN'!$F267=0,"",(VLOOKUP($C267,REV!$C:$AA,10,0)-'TRADE IN'!$F267))</f>
        <v>899</v>
      </c>
      <c r="M267" s="46">
        <f>IF(VLOOKUP($C267,REV!$C:$AA,11,0)-'TRADE IN'!$F267=0,"",(VLOOKUP($C267,REV!$C:$AA,11,0)-'TRADE IN'!$F267))</f>
        <v>899</v>
      </c>
      <c r="N267" s="46">
        <f>IF(VLOOKUP($C267,REV!$C:$AA,12,0)-'TRADE IN'!$F267=0,"",(VLOOKUP($C267,REV!$C:$AA,12,0)-'TRADE IN'!$F267))</f>
        <v>899</v>
      </c>
      <c r="O267" s="46">
        <f>IF(VLOOKUP($C267,REV!$C:$AA,13,0)-'TRADE IN'!$F267=0,"",(VLOOKUP($C267,REV!$C:$AA,13,0)-'TRADE IN'!$F267))</f>
        <v>799</v>
      </c>
      <c r="P267" s="46">
        <f>IF(VLOOKUP($C267,REV!$C:$AA,14,0)-'TRADE IN'!$F267=0,"",(VLOOKUP($C267,REV!$C:$AA,14,0)-'TRADE IN'!$F267))</f>
        <v>699</v>
      </c>
      <c r="Q267" s="46">
        <f>IF(VLOOKUP($C267,REV!$C:$AA,15,0)-'TRADE IN'!$F267=0,"",(VLOOKUP($C267,REV!$C:$AA,15,0)-'TRADE IN'!$F267))</f>
        <v>599</v>
      </c>
      <c r="R267" s="46">
        <f>IF(VLOOKUP($C267,REV!$C:$AA,16,0)-'TRADE IN'!$F267=0,"",(VLOOKUP($C267,REV!$C:$AA,16,0)-'TRADE IN'!$F267))</f>
        <v>799</v>
      </c>
      <c r="S267" s="46">
        <f>IF(VLOOKUP($C267,REV!$C:$AA,17,0)-'TRADE IN'!$F267=0,"",(VLOOKUP($C267,REV!$C:$AA,17,0)-'TRADE IN'!$F267))</f>
        <v>699</v>
      </c>
      <c r="T267" s="46">
        <f>IF(VLOOKUP($C267,REV!$C:$AA,18,0)-'TRADE IN'!$F267=0,"",(VLOOKUP($C267,REV!$C:$AA,18,0)-'TRADE IN'!$F267))</f>
        <v>599</v>
      </c>
      <c r="U267" s="46">
        <f>IF(VLOOKUP($C267,REV!$C:$AA,19,0)-'TRADE IN'!$F267=0,"",(VLOOKUP($C267,REV!$C:$AA,19,0)-'TRADE IN'!$F267))</f>
        <v>599</v>
      </c>
      <c r="V267" s="46">
        <f>IF(VLOOKUP($C267,REV!$C:$AA,20,0)-'TRADE IN'!$F267=0,"",(VLOOKUP($C267,REV!$C:$AA,20,0)-'TRADE IN'!$F267))</f>
        <v>599</v>
      </c>
      <c r="W267" s="46">
        <f>IF(VLOOKUP($C267,REV!$C:$AA,21,0)-'TRADE IN'!$F267=0,"",(VLOOKUP($C267,REV!$C:$AA,21,0)-'TRADE IN'!$F267))</f>
        <v>599</v>
      </c>
      <c r="X267" s="46">
        <f>IF(VLOOKUP($C267,REV!$C:$AA,22,0)-'TRADE IN'!$F267=0,"",(VLOOKUP($C267,REV!$C:$AA,22,0)-'TRADE IN'!$F267))</f>
        <v>549</v>
      </c>
      <c r="Y267" s="46">
        <f>IF(VLOOKUP($C267,REV!$C:$AA,23,0)-'TRADE IN'!$F267=0,"",(VLOOKUP($C267,REV!$C:$AA,23,0)-'TRADE IN'!$F267))</f>
        <v>499</v>
      </c>
      <c r="Z267" s="46">
        <f>IF(VLOOKUP($C267,REV!$C:$AA,24,0)-'TRADE IN'!$F267=0,"",(VLOOKUP($C267,REV!$C:$AA,24,0)-'TRADE IN'!$F267))</f>
        <v>499</v>
      </c>
      <c r="AA267" s="46">
        <f>IF(VLOOKUP($C267,REV!$C:$AA,25,0)-'TRADE IN'!$F267=0,"",(VLOOKUP($C267,REV!$C:$AA,25,0)-'TRADE IN'!$F267))</f>
        <v>479</v>
      </c>
      <c r="AB267" s="45"/>
      <c r="AC267" s="45"/>
      <c r="AD267" s="45"/>
      <c r="AE267" s="45"/>
      <c r="AF267" s="45"/>
      <c r="AG267" s="45"/>
      <c r="AH267" s="45"/>
      <c r="AI267" s="45"/>
      <c r="AJ267" s="45"/>
      <c r="AK267" s="45"/>
      <c r="AL267" s="45"/>
      <c r="AM267" s="45"/>
      <c r="AN267" s="45"/>
      <c r="AO267" s="45"/>
      <c r="AP267" s="45"/>
      <c r="AQ267" s="45"/>
      <c r="AR267" s="45"/>
      <c r="AS267" s="45"/>
      <c r="AT267" s="45"/>
      <c r="AU267" s="45"/>
      <c r="AV267" s="47"/>
      <c r="AW267" s="48" t="str">
        <f>REV!AW267</f>
        <v>13.08.2026</v>
      </c>
      <c r="AX267" s="149" t="s">
        <v>68</v>
      </c>
    </row>
    <row r="268" spans="1:50" ht="22.5" customHeight="1">
      <c r="A268" s="55" t="s">
        <v>222</v>
      </c>
      <c r="B268" s="42" t="s">
        <v>64</v>
      </c>
      <c r="C268" s="43">
        <v>4015447</v>
      </c>
      <c r="D268" s="56" t="s">
        <v>425</v>
      </c>
      <c r="E268" s="56" t="s">
        <v>427</v>
      </c>
      <c r="F268" s="45">
        <v>100</v>
      </c>
      <c r="G268" s="45"/>
      <c r="H268" s="45"/>
      <c r="I268" s="45"/>
      <c r="J268" s="46">
        <f>IF(VLOOKUP($C268,REV!$C:$AA,8,0)-'TRADE IN'!$F268=0,"",(VLOOKUP($C268,REV!$C:$AA,8,0)-'TRADE IN'!$F268))</f>
        <v>899</v>
      </c>
      <c r="K268" s="46">
        <f>IF(VLOOKUP($C268,REV!$C:$AA,9,0)-'TRADE IN'!$F268=0,"",(VLOOKUP($C268,REV!$C:$AA,9,0)-'TRADE IN'!$F268))</f>
        <v>899</v>
      </c>
      <c r="L268" s="46">
        <f>IF(VLOOKUP($C268,REV!$C:$AA,10,0)-'TRADE IN'!$F268=0,"",(VLOOKUP($C268,REV!$C:$AA,10,0)-'TRADE IN'!$F268))</f>
        <v>899</v>
      </c>
      <c r="M268" s="46">
        <f>IF(VLOOKUP($C268,REV!$C:$AA,11,0)-'TRADE IN'!$F268=0,"",(VLOOKUP($C268,REV!$C:$AA,11,0)-'TRADE IN'!$F268))</f>
        <v>899</v>
      </c>
      <c r="N268" s="46">
        <f>IF(VLOOKUP($C268,REV!$C:$AA,12,0)-'TRADE IN'!$F268=0,"",(VLOOKUP($C268,REV!$C:$AA,12,0)-'TRADE IN'!$F268))</f>
        <v>899</v>
      </c>
      <c r="O268" s="46">
        <f>IF(VLOOKUP($C268,REV!$C:$AA,13,0)-'TRADE IN'!$F268=0,"",(VLOOKUP($C268,REV!$C:$AA,13,0)-'TRADE IN'!$F268))</f>
        <v>799</v>
      </c>
      <c r="P268" s="46">
        <f>IF(VLOOKUP($C268,REV!$C:$AA,14,0)-'TRADE IN'!$F268=0,"",(VLOOKUP($C268,REV!$C:$AA,14,0)-'TRADE IN'!$F268))</f>
        <v>699</v>
      </c>
      <c r="Q268" s="46">
        <f>IF(VLOOKUP($C268,REV!$C:$AA,15,0)-'TRADE IN'!$F268=0,"",(VLOOKUP($C268,REV!$C:$AA,15,0)-'TRADE IN'!$F268))</f>
        <v>599</v>
      </c>
      <c r="R268" s="46">
        <f>IF(VLOOKUP($C268,REV!$C:$AA,16,0)-'TRADE IN'!$F268=0,"",(VLOOKUP($C268,REV!$C:$AA,16,0)-'TRADE IN'!$F268))</f>
        <v>799</v>
      </c>
      <c r="S268" s="46">
        <f>IF(VLOOKUP($C268,REV!$C:$AA,17,0)-'TRADE IN'!$F268=0,"",(VLOOKUP($C268,REV!$C:$AA,17,0)-'TRADE IN'!$F268))</f>
        <v>699</v>
      </c>
      <c r="T268" s="46">
        <f>IF(VLOOKUP($C268,REV!$C:$AA,18,0)-'TRADE IN'!$F268=0,"",(VLOOKUP($C268,REV!$C:$AA,18,0)-'TRADE IN'!$F268))</f>
        <v>599</v>
      </c>
      <c r="U268" s="46">
        <f>IF(VLOOKUP($C268,REV!$C:$AA,19,0)-'TRADE IN'!$F268=0,"",(VLOOKUP($C268,REV!$C:$AA,19,0)-'TRADE IN'!$F268))</f>
        <v>599</v>
      </c>
      <c r="V268" s="46">
        <f>IF(VLOOKUP($C268,REV!$C:$AA,20,0)-'TRADE IN'!$F268=0,"",(VLOOKUP($C268,REV!$C:$AA,20,0)-'TRADE IN'!$F268))</f>
        <v>599</v>
      </c>
      <c r="W268" s="46">
        <f>IF(VLOOKUP($C268,REV!$C:$AA,21,0)-'TRADE IN'!$F268=0,"",(VLOOKUP($C268,REV!$C:$AA,21,0)-'TRADE IN'!$F268))</f>
        <v>599</v>
      </c>
      <c r="X268" s="46">
        <f>IF(VLOOKUP($C268,REV!$C:$AA,22,0)-'TRADE IN'!$F268=0,"",(VLOOKUP($C268,REV!$C:$AA,22,0)-'TRADE IN'!$F268))</f>
        <v>549</v>
      </c>
      <c r="Y268" s="46">
        <f>IF(VLOOKUP($C268,REV!$C:$AA,23,0)-'TRADE IN'!$F268=0,"",(VLOOKUP($C268,REV!$C:$AA,23,0)-'TRADE IN'!$F268))</f>
        <v>499</v>
      </c>
      <c r="Z268" s="46">
        <f>IF(VLOOKUP($C268,REV!$C:$AA,24,0)-'TRADE IN'!$F268=0,"",(VLOOKUP($C268,REV!$C:$AA,24,0)-'TRADE IN'!$F268))</f>
        <v>499</v>
      </c>
      <c r="AA268" s="46">
        <f>IF(VLOOKUP($C268,REV!$C:$AA,25,0)-'TRADE IN'!$F268=0,"",(VLOOKUP($C268,REV!$C:$AA,25,0)-'TRADE IN'!$F268))</f>
        <v>479</v>
      </c>
      <c r="AB268" s="45"/>
      <c r="AC268" s="45"/>
      <c r="AD268" s="45"/>
      <c r="AE268" s="45"/>
      <c r="AF268" s="45"/>
      <c r="AG268" s="45"/>
      <c r="AH268" s="45"/>
      <c r="AI268" s="45"/>
      <c r="AJ268" s="45"/>
      <c r="AK268" s="45"/>
      <c r="AL268" s="45"/>
      <c r="AM268" s="45"/>
      <c r="AN268" s="45"/>
      <c r="AO268" s="45"/>
      <c r="AP268" s="45"/>
      <c r="AQ268" s="45"/>
      <c r="AR268" s="45"/>
      <c r="AS268" s="45"/>
      <c r="AT268" s="45"/>
      <c r="AU268" s="45"/>
      <c r="AV268" s="47"/>
      <c r="AW268" s="48" t="str">
        <f>REV!AW268</f>
        <v>13.08.2026</v>
      </c>
      <c r="AX268" s="149" t="s">
        <v>68</v>
      </c>
    </row>
    <row r="269" spans="1:50" ht="22.5" customHeight="1">
      <c r="A269" s="55" t="s">
        <v>222</v>
      </c>
      <c r="B269" s="42" t="s">
        <v>64</v>
      </c>
      <c r="C269" s="43">
        <v>4015915</v>
      </c>
      <c r="D269" s="56" t="s">
        <v>425</v>
      </c>
      <c r="E269" s="56" t="s">
        <v>428</v>
      </c>
      <c r="F269" s="45">
        <v>100</v>
      </c>
      <c r="G269" s="45"/>
      <c r="H269" s="45"/>
      <c r="I269" s="45"/>
      <c r="J269" s="46">
        <f>IF(VLOOKUP($C269,REV!$C:$AA,8,0)-'TRADE IN'!$F269=0,"",(VLOOKUP($C269,REV!$C:$AA,8,0)-'TRADE IN'!$F269))</f>
        <v>899</v>
      </c>
      <c r="K269" s="46">
        <f>IF(VLOOKUP($C269,REV!$C:$AA,9,0)-'TRADE IN'!$F269=0,"",(VLOOKUP($C269,REV!$C:$AA,9,0)-'TRADE IN'!$F269))</f>
        <v>899</v>
      </c>
      <c r="L269" s="46">
        <f>IF(VLOOKUP($C269,REV!$C:$AA,10,0)-'TRADE IN'!$F269=0,"",(VLOOKUP($C269,REV!$C:$AA,10,0)-'TRADE IN'!$F269))</f>
        <v>899</v>
      </c>
      <c r="M269" s="46">
        <f>IF(VLOOKUP($C269,REV!$C:$AA,11,0)-'TRADE IN'!$F269=0,"",(VLOOKUP($C269,REV!$C:$AA,11,0)-'TRADE IN'!$F269))</f>
        <v>899</v>
      </c>
      <c r="N269" s="46">
        <f>IF(VLOOKUP($C269,REV!$C:$AA,12,0)-'TRADE IN'!$F269=0,"",(VLOOKUP($C269,REV!$C:$AA,12,0)-'TRADE IN'!$F269))</f>
        <v>899</v>
      </c>
      <c r="O269" s="46">
        <f>IF(VLOOKUP($C269,REV!$C:$AA,13,0)-'TRADE IN'!$F269=0,"",(VLOOKUP($C269,REV!$C:$AA,13,0)-'TRADE IN'!$F269))</f>
        <v>799</v>
      </c>
      <c r="P269" s="46">
        <f>IF(VLOOKUP($C269,REV!$C:$AA,14,0)-'TRADE IN'!$F269=0,"",(VLOOKUP($C269,REV!$C:$AA,14,0)-'TRADE IN'!$F269))</f>
        <v>699</v>
      </c>
      <c r="Q269" s="46">
        <f>IF(VLOOKUP($C269,REV!$C:$AA,15,0)-'TRADE IN'!$F269=0,"",(VLOOKUP($C269,REV!$C:$AA,15,0)-'TRADE IN'!$F269))</f>
        <v>599</v>
      </c>
      <c r="R269" s="46">
        <f>IF(VLOOKUP($C269,REV!$C:$AA,16,0)-'TRADE IN'!$F269=0,"",(VLOOKUP($C269,REV!$C:$AA,16,0)-'TRADE IN'!$F269))</f>
        <v>799</v>
      </c>
      <c r="S269" s="46">
        <f>IF(VLOOKUP($C269,REV!$C:$AA,17,0)-'TRADE IN'!$F269=0,"",(VLOOKUP($C269,REV!$C:$AA,17,0)-'TRADE IN'!$F269))</f>
        <v>699</v>
      </c>
      <c r="T269" s="46">
        <f>IF(VLOOKUP($C269,REV!$C:$AA,18,0)-'TRADE IN'!$F269=0,"",(VLOOKUP($C269,REV!$C:$AA,18,0)-'TRADE IN'!$F269))</f>
        <v>599</v>
      </c>
      <c r="U269" s="46">
        <f>IF(VLOOKUP($C269,REV!$C:$AA,19,0)-'TRADE IN'!$F269=0,"",(VLOOKUP($C269,REV!$C:$AA,19,0)-'TRADE IN'!$F269))</f>
        <v>599</v>
      </c>
      <c r="V269" s="46">
        <f>IF(VLOOKUP($C269,REV!$C:$AA,20,0)-'TRADE IN'!$F269=0,"",(VLOOKUP($C269,REV!$C:$AA,20,0)-'TRADE IN'!$F269))</f>
        <v>599</v>
      </c>
      <c r="W269" s="46">
        <f>IF(VLOOKUP($C269,REV!$C:$AA,21,0)-'TRADE IN'!$F269=0,"",(VLOOKUP($C269,REV!$C:$AA,21,0)-'TRADE IN'!$F269))</f>
        <v>599</v>
      </c>
      <c r="X269" s="46">
        <f>IF(VLOOKUP($C269,REV!$C:$AA,22,0)-'TRADE IN'!$F269=0,"",(VLOOKUP($C269,REV!$C:$AA,22,0)-'TRADE IN'!$F269))</f>
        <v>549</v>
      </c>
      <c r="Y269" s="46">
        <f>IF(VLOOKUP($C269,REV!$C:$AA,23,0)-'TRADE IN'!$F269=0,"",(VLOOKUP($C269,REV!$C:$AA,23,0)-'TRADE IN'!$F269))</f>
        <v>499</v>
      </c>
      <c r="Z269" s="46">
        <f>IF(VLOOKUP($C269,REV!$C:$AA,24,0)-'TRADE IN'!$F269=0,"",(VLOOKUP($C269,REV!$C:$AA,24,0)-'TRADE IN'!$F269))</f>
        <v>499</v>
      </c>
      <c r="AA269" s="46">
        <f>IF(VLOOKUP($C269,REV!$C:$AA,25,0)-'TRADE IN'!$F269=0,"",(VLOOKUP($C269,REV!$C:$AA,25,0)-'TRADE IN'!$F269))</f>
        <v>479</v>
      </c>
      <c r="AB269" s="45"/>
      <c r="AC269" s="45"/>
      <c r="AD269" s="45"/>
      <c r="AE269" s="45"/>
      <c r="AF269" s="45"/>
      <c r="AG269" s="45"/>
      <c r="AH269" s="45"/>
      <c r="AI269" s="45"/>
      <c r="AJ269" s="45"/>
      <c r="AK269" s="45"/>
      <c r="AL269" s="45"/>
      <c r="AM269" s="45"/>
      <c r="AN269" s="45"/>
      <c r="AO269" s="45"/>
      <c r="AP269" s="45"/>
      <c r="AQ269" s="45"/>
      <c r="AR269" s="45"/>
      <c r="AS269" s="45"/>
      <c r="AT269" s="45"/>
      <c r="AU269" s="45"/>
      <c r="AV269" s="47"/>
      <c r="AW269" s="48" t="str">
        <f>REV!AW269</f>
        <v>13.08.2026</v>
      </c>
      <c r="AX269" s="149" t="s">
        <v>68</v>
      </c>
    </row>
    <row r="270" spans="1:50" ht="22.5" customHeight="1">
      <c r="A270" s="55" t="s">
        <v>222</v>
      </c>
      <c r="B270" s="42" t="s">
        <v>64</v>
      </c>
      <c r="C270" s="43">
        <v>4015935</v>
      </c>
      <c r="D270" s="56" t="s">
        <v>429</v>
      </c>
      <c r="E270" s="56" t="s">
        <v>430</v>
      </c>
      <c r="F270" s="45">
        <v>100</v>
      </c>
      <c r="G270" s="45"/>
      <c r="H270" s="45"/>
      <c r="I270" s="45"/>
      <c r="J270" s="46">
        <f>IF(VLOOKUP($C270,REV!$C:$AA,8,0)-'TRADE IN'!$F270=0,"",(VLOOKUP($C270,REV!$C:$AA,8,0)-'TRADE IN'!$F270))</f>
        <v>1499</v>
      </c>
      <c r="K270" s="46">
        <f>IF(VLOOKUP($C270,REV!$C:$AA,9,0)-'TRADE IN'!$F270=0,"",(VLOOKUP($C270,REV!$C:$AA,9,0)-'TRADE IN'!$F270))</f>
        <v>1399</v>
      </c>
      <c r="L270" s="46">
        <f>IF(VLOOKUP($C270,REV!$C:$AA,10,0)-'TRADE IN'!$F270=0,"",(VLOOKUP($C270,REV!$C:$AA,10,0)-'TRADE IN'!$F270))</f>
        <v>1399</v>
      </c>
      <c r="M270" s="46">
        <f>IF(VLOOKUP($C270,REV!$C:$AA,11,0)-'TRADE IN'!$F270=0,"",(VLOOKUP($C270,REV!$C:$AA,11,0)-'TRADE IN'!$F270))</f>
        <v>1499</v>
      </c>
      <c r="N270" s="46">
        <f>IF(VLOOKUP($C270,REV!$C:$AA,12,0)-'TRADE IN'!$F270=0,"",(VLOOKUP($C270,REV!$C:$AA,12,0)-'TRADE IN'!$F270))</f>
        <v>1399</v>
      </c>
      <c r="O270" s="46">
        <f>IF(VLOOKUP($C270,REV!$C:$AA,13,0)-'TRADE IN'!$F270=0,"",(VLOOKUP($C270,REV!$C:$AA,13,0)-'TRADE IN'!$F270))</f>
        <v>1299</v>
      </c>
      <c r="P270" s="46">
        <f>IF(VLOOKUP($C270,REV!$C:$AA,14,0)-'TRADE IN'!$F270=0,"",(VLOOKUP($C270,REV!$C:$AA,14,0)-'TRADE IN'!$F270))</f>
        <v>1199</v>
      </c>
      <c r="Q270" s="46">
        <f>IF(VLOOKUP($C270,REV!$C:$AA,15,0)-'TRADE IN'!$F270=0,"",(VLOOKUP($C270,REV!$C:$AA,15,0)-'TRADE IN'!$F270))</f>
        <v>899</v>
      </c>
      <c r="R270" s="46">
        <f>IF(VLOOKUP($C270,REV!$C:$AA,16,0)-'TRADE IN'!$F270=0,"",(VLOOKUP($C270,REV!$C:$AA,16,0)-'TRADE IN'!$F270))</f>
        <v>1299</v>
      </c>
      <c r="S270" s="46">
        <f>IF(VLOOKUP($C270,REV!$C:$AA,17,0)-'TRADE IN'!$F270=0,"",(VLOOKUP($C270,REV!$C:$AA,17,0)-'TRADE IN'!$F270))</f>
        <v>1199</v>
      </c>
      <c r="T270" s="46">
        <f>IF(VLOOKUP($C270,REV!$C:$AA,18,0)-'TRADE IN'!$F270=0,"",(VLOOKUP($C270,REV!$C:$AA,18,0)-'TRADE IN'!$F270))</f>
        <v>899</v>
      </c>
      <c r="U270" s="46">
        <f>IF(VLOOKUP($C270,REV!$C:$AA,19,0)-'TRADE IN'!$F270=0,"",(VLOOKUP($C270,REV!$C:$AA,19,0)-'TRADE IN'!$F270))</f>
        <v>899</v>
      </c>
      <c r="V270" s="46">
        <f>IF(VLOOKUP($C270,REV!$C:$AA,20,0)-'TRADE IN'!$F270=0,"",(VLOOKUP($C270,REV!$C:$AA,20,0)-'TRADE IN'!$F270))</f>
        <v>899</v>
      </c>
      <c r="W270" s="46">
        <f>IF(VLOOKUP($C270,REV!$C:$AA,21,0)-'TRADE IN'!$F270=0,"",(VLOOKUP($C270,REV!$C:$AA,21,0)-'TRADE IN'!$F270))</f>
        <v>899</v>
      </c>
      <c r="X270" s="46">
        <f>IF(VLOOKUP($C270,REV!$C:$AA,22,0)-'TRADE IN'!$F270=0,"",(VLOOKUP($C270,REV!$C:$AA,22,0)-'TRADE IN'!$F270))</f>
        <v>899</v>
      </c>
      <c r="Y270" s="46">
        <f>IF(VLOOKUP($C270,REV!$C:$AA,23,0)-'TRADE IN'!$F270=0,"",(VLOOKUP($C270,REV!$C:$AA,23,0)-'TRADE IN'!$F270))</f>
        <v>899</v>
      </c>
      <c r="Z270" s="46">
        <f>IF(VLOOKUP($C270,REV!$C:$AA,24,0)-'TRADE IN'!$F270=0,"",(VLOOKUP($C270,REV!$C:$AA,24,0)-'TRADE IN'!$F270))</f>
        <v>899</v>
      </c>
      <c r="AA270" s="46">
        <f>IF(VLOOKUP($C270,REV!$C:$AA,25,0)-'TRADE IN'!$F270=0,"",(VLOOKUP($C270,REV!$C:$AA,25,0)-'TRADE IN'!$F270))</f>
        <v>899</v>
      </c>
      <c r="AB270" s="45"/>
      <c r="AC270" s="45"/>
      <c r="AD270" s="45"/>
      <c r="AE270" s="45"/>
      <c r="AF270" s="45"/>
      <c r="AG270" s="45"/>
      <c r="AH270" s="45"/>
      <c r="AI270" s="45"/>
      <c r="AJ270" s="45"/>
      <c r="AK270" s="45"/>
      <c r="AL270" s="45"/>
      <c r="AM270" s="45"/>
      <c r="AN270" s="45"/>
      <c r="AO270" s="45"/>
      <c r="AP270" s="45"/>
      <c r="AQ270" s="45"/>
      <c r="AR270" s="45"/>
      <c r="AS270" s="45"/>
      <c r="AT270" s="45"/>
      <c r="AU270" s="45"/>
      <c r="AV270" s="47"/>
      <c r="AW270" s="48" t="str">
        <f>REV!AW270</f>
        <v>13.08.2026</v>
      </c>
      <c r="AX270" s="149" t="s">
        <v>68</v>
      </c>
    </row>
    <row r="271" spans="1:50" ht="22.5" customHeight="1">
      <c r="A271" s="55" t="s">
        <v>222</v>
      </c>
      <c r="B271" s="42" t="s">
        <v>64</v>
      </c>
      <c r="C271" s="43">
        <v>4016155</v>
      </c>
      <c r="D271" s="56" t="s">
        <v>429</v>
      </c>
      <c r="E271" s="56" t="s">
        <v>431</v>
      </c>
      <c r="F271" s="45">
        <v>100</v>
      </c>
      <c r="G271" s="45"/>
      <c r="H271" s="45"/>
      <c r="I271" s="45"/>
      <c r="J271" s="46">
        <f>IF(VLOOKUP($C271,REV!$C:$AA,8,0)-'TRADE IN'!$F271=0,"",(VLOOKUP($C271,REV!$C:$AA,8,0)-'TRADE IN'!$F271))</f>
        <v>1499</v>
      </c>
      <c r="K271" s="46">
        <f>IF(VLOOKUP($C271,REV!$C:$AA,9,0)-'TRADE IN'!$F271=0,"",(VLOOKUP($C271,REV!$C:$AA,9,0)-'TRADE IN'!$F271))</f>
        <v>1399</v>
      </c>
      <c r="L271" s="46">
        <f>IF(VLOOKUP($C271,REV!$C:$AA,10,0)-'TRADE IN'!$F271=0,"",(VLOOKUP($C271,REV!$C:$AA,10,0)-'TRADE IN'!$F271))</f>
        <v>1399</v>
      </c>
      <c r="M271" s="46">
        <f>IF(VLOOKUP($C271,REV!$C:$AA,11,0)-'TRADE IN'!$F271=0,"",(VLOOKUP($C271,REV!$C:$AA,11,0)-'TRADE IN'!$F271))</f>
        <v>1499</v>
      </c>
      <c r="N271" s="46">
        <f>IF(VLOOKUP($C271,REV!$C:$AA,12,0)-'TRADE IN'!$F271=0,"",(VLOOKUP($C271,REV!$C:$AA,12,0)-'TRADE IN'!$F271))</f>
        <v>1399</v>
      </c>
      <c r="O271" s="46">
        <f>IF(VLOOKUP($C271,REV!$C:$AA,13,0)-'TRADE IN'!$F271=0,"",(VLOOKUP($C271,REV!$C:$AA,13,0)-'TRADE IN'!$F271))</f>
        <v>1299</v>
      </c>
      <c r="P271" s="46">
        <f>IF(VLOOKUP($C271,REV!$C:$AA,14,0)-'TRADE IN'!$F271=0,"",(VLOOKUP($C271,REV!$C:$AA,14,0)-'TRADE IN'!$F271))</f>
        <v>1199</v>
      </c>
      <c r="Q271" s="46">
        <f>IF(VLOOKUP($C271,REV!$C:$AA,15,0)-'TRADE IN'!$F271=0,"",(VLOOKUP($C271,REV!$C:$AA,15,0)-'TRADE IN'!$F271))</f>
        <v>899</v>
      </c>
      <c r="R271" s="46">
        <f>IF(VLOOKUP($C271,REV!$C:$AA,16,0)-'TRADE IN'!$F271=0,"",(VLOOKUP($C271,REV!$C:$AA,16,0)-'TRADE IN'!$F271))</f>
        <v>1299</v>
      </c>
      <c r="S271" s="46">
        <f>IF(VLOOKUP($C271,REV!$C:$AA,17,0)-'TRADE IN'!$F271=0,"",(VLOOKUP($C271,REV!$C:$AA,17,0)-'TRADE IN'!$F271))</f>
        <v>1199</v>
      </c>
      <c r="T271" s="46">
        <f>IF(VLOOKUP($C271,REV!$C:$AA,18,0)-'TRADE IN'!$F271=0,"",(VLOOKUP($C271,REV!$C:$AA,18,0)-'TRADE IN'!$F271))</f>
        <v>899</v>
      </c>
      <c r="U271" s="46">
        <f>IF(VLOOKUP($C271,REV!$C:$AA,19,0)-'TRADE IN'!$F271=0,"",(VLOOKUP($C271,REV!$C:$AA,19,0)-'TRADE IN'!$F271))</f>
        <v>899</v>
      </c>
      <c r="V271" s="46">
        <f>IF(VLOOKUP($C271,REV!$C:$AA,20,0)-'TRADE IN'!$F271=0,"",(VLOOKUP($C271,REV!$C:$AA,20,0)-'TRADE IN'!$F271))</f>
        <v>899</v>
      </c>
      <c r="W271" s="46">
        <f>IF(VLOOKUP($C271,REV!$C:$AA,21,0)-'TRADE IN'!$F271=0,"",(VLOOKUP($C271,REV!$C:$AA,21,0)-'TRADE IN'!$F271))</f>
        <v>899</v>
      </c>
      <c r="X271" s="46">
        <f>IF(VLOOKUP($C271,REV!$C:$AA,22,0)-'TRADE IN'!$F271=0,"",(VLOOKUP($C271,REV!$C:$AA,22,0)-'TRADE IN'!$F271))</f>
        <v>899</v>
      </c>
      <c r="Y271" s="46">
        <f>IF(VLOOKUP($C271,REV!$C:$AA,23,0)-'TRADE IN'!$F271=0,"",(VLOOKUP($C271,REV!$C:$AA,23,0)-'TRADE IN'!$F271))</f>
        <v>899</v>
      </c>
      <c r="Z271" s="46">
        <f>IF(VLOOKUP($C271,REV!$C:$AA,24,0)-'TRADE IN'!$F271=0,"",(VLOOKUP($C271,REV!$C:$AA,24,0)-'TRADE IN'!$F271))</f>
        <v>899</v>
      </c>
      <c r="AA271" s="46">
        <f>IF(VLOOKUP($C271,REV!$C:$AA,25,0)-'TRADE IN'!$F271=0,"",(VLOOKUP($C271,REV!$C:$AA,25,0)-'TRADE IN'!$F271))</f>
        <v>899</v>
      </c>
      <c r="AB271" s="45"/>
      <c r="AC271" s="45"/>
      <c r="AD271" s="45"/>
      <c r="AE271" s="45"/>
      <c r="AF271" s="45"/>
      <c r="AG271" s="45"/>
      <c r="AH271" s="45"/>
      <c r="AI271" s="45"/>
      <c r="AJ271" s="45"/>
      <c r="AK271" s="45"/>
      <c r="AL271" s="45"/>
      <c r="AM271" s="45"/>
      <c r="AN271" s="45"/>
      <c r="AO271" s="45"/>
      <c r="AP271" s="45"/>
      <c r="AQ271" s="45"/>
      <c r="AR271" s="45"/>
      <c r="AS271" s="45"/>
      <c r="AT271" s="45"/>
      <c r="AU271" s="45"/>
      <c r="AV271" s="47"/>
      <c r="AW271" s="48" t="str">
        <f>REV!AW271</f>
        <v>13.08.2026</v>
      </c>
      <c r="AX271" s="149" t="s">
        <v>68</v>
      </c>
    </row>
    <row r="272" spans="1:50" ht="22.5" customHeight="1">
      <c r="A272" s="55" t="s">
        <v>222</v>
      </c>
      <c r="B272" s="42" t="s">
        <v>64</v>
      </c>
      <c r="C272" s="43">
        <v>4015939</v>
      </c>
      <c r="D272" s="56" t="s">
        <v>429</v>
      </c>
      <c r="E272" s="56" t="s">
        <v>432</v>
      </c>
      <c r="F272" s="45">
        <v>100</v>
      </c>
      <c r="G272" s="45"/>
      <c r="H272" s="45"/>
      <c r="I272" s="45"/>
      <c r="J272" s="46">
        <f>IF(VLOOKUP($C272,REV!$C:$AA,8,0)-'TRADE IN'!$F272=0,"",(VLOOKUP($C272,REV!$C:$AA,8,0)-'TRADE IN'!$F272))</f>
        <v>1499</v>
      </c>
      <c r="K272" s="46">
        <f>IF(VLOOKUP($C272,REV!$C:$AA,9,0)-'TRADE IN'!$F272=0,"",(VLOOKUP($C272,REV!$C:$AA,9,0)-'TRADE IN'!$F272))</f>
        <v>1399</v>
      </c>
      <c r="L272" s="46">
        <f>IF(VLOOKUP($C272,REV!$C:$AA,10,0)-'TRADE IN'!$F272=0,"",(VLOOKUP($C272,REV!$C:$AA,10,0)-'TRADE IN'!$F272))</f>
        <v>1399</v>
      </c>
      <c r="M272" s="46">
        <f>IF(VLOOKUP($C272,REV!$C:$AA,11,0)-'TRADE IN'!$F272=0,"",(VLOOKUP($C272,REV!$C:$AA,11,0)-'TRADE IN'!$F272))</f>
        <v>1499</v>
      </c>
      <c r="N272" s="46">
        <f>IF(VLOOKUP($C272,REV!$C:$AA,12,0)-'TRADE IN'!$F272=0,"",(VLOOKUP($C272,REV!$C:$AA,12,0)-'TRADE IN'!$F272))</f>
        <v>1399</v>
      </c>
      <c r="O272" s="46">
        <f>IF(VLOOKUP($C272,REV!$C:$AA,13,0)-'TRADE IN'!$F272=0,"",(VLOOKUP($C272,REV!$C:$AA,13,0)-'TRADE IN'!$F272))</f>
        <v>1299</v>
      </c>
      <c r="P272" s="46">
        <f>IF(VLOOKUP($C272,REV!$C:$AA,14,0)-'TRADE IN'!$F272=0,"",(VLOOKUP($C272,REV!$C:$AA,14,0)-'TRADE IN'!$F272))</f>
        <v>1199</v>
      </c>
      <c r="Q272" s="46">
        <f>IF(VLOOKUP($C272,REV!$C:$AA,15,0)-'TRADE IN'!$F272=0,"",(VLOOKUP($C272,REV!$C:$AA,15,0)-'TRADE IN'!$F272))</f>
        <v>899</v>
      </c>
      <c r="R272" s="46">
        <f>IF(VLOOKUP($C272,REV!$C:$AA,16,0)-'TRADE IN'!$F272=0,"",(VLOOKUP($C272,REV!$C:$AA,16,0)-'TRADE IN'!$F272))</f>
        <v>1299</v>
      </c>
      <c r="S272" s="46">
        <f>IF(VLOOKUP($C272,REV!$C:$AA,17,0)-'TRADE IN'!$F272=0,"",(VLOOKUP($C272,REV!$C:$AA,17,0)-'TRADE IN'!$F272))</f>
        <v>1199</v>
      </c>
      <c r="T272" s="46">
        <f>IF(VLOOKUP($C272,REV!$C:$AA,18,0)-'TRADE IN'!$F272=0,"",(VLOOKUP($C272,REV!$C:$AA,18,0)-'TRADE IN'!$F272))</f>
        <v>899</v>
      </c>
      <c r="U272" s="46">
        <f>IF(VLOOKUP($C272,REV!$C:$AA,19,0)-'TRADE IN'!$F272=0,"",(VLOOKUP($C272,REV!$C:$AA,19,0)-'TRADE IN'!$F272))</f>
        <v>899</v>
      </c>
      <c r="V272" s="46">
        <f>IF(VLOOKUP($C272,REV!$C:$AA,20,0)-'TRADE IN'!$F272=0,"",(VLOOKUP($C272,REV!$C:$AA,20,0)-'TRADE IN'!$F272))</f>
        <v>899</v>
      </c>
      <c r="W272" s="46">
        <f>IF(VLOOKUP($C272,REV!$C:$AA,21,0)-'TRADE IN'!$F272=0,"",(VLOOKUP($C272,REV!$C:$AA,21,0)-'TRADE IN'!$F272))</f>
        <v>899</v>
      </c>
      <c r="X272" s="46">
        <f>IF(VLOOKUP($C272,REV!$C:$AA,22,0)-'TRADE IN'!$F272=0,"",(VLOOKUP($C272,REV!$C:$AA,22,0)-'TRADE IN'!$F272))</f>
        <v>899</v>
      </c>
      <c r="Y272" s="46">
        <f>IF(VLOOKUP($C272,REV!$C:$AA,23,0)-'TRADE IN'!$F272=0,"",(VLOOKUP($C272,REV!$C:$AA,23,0)-'TRADE IN'!$F272))</f>
        <v>899</v>
      </c>
      <c r="Z272" s="46">
        <f>IF(VLOOKUP($C272,REV!$C:$AA,24,0)-'TRADE IN'!$F272=0,"",(VLOOKUP($C272,REV!$C:$AA,24,0)-'TRADE IN'!$F272))</f>
        <v>899</v>
      </c>
      <c r="AA272" s="46">
        <f>IF(VLOOKUP($C272,REV!$C:$AA,25,0)-'TRADE IN'!$F272=0,"",(VLOOKUP($C272,REV!$C:$AA,25,0)-'TRADE IN'!$F272))</f>
        <v>899</v>
      </c>
      <c r="AB272" s="45"/>
      <c r="AC272" s="45"/>
      <c r="AD272" s="45"/>
      <c r="AE272" s="45"/>
      <c r="AF272" s="45"/>
      <c r="AG272" s="45"/>
      <c r="AH272" s="45"/>
      <c r="AI272" s="45"/>
      <c r="AJ272" s="45"/>
      <c r="AK272" s="45"/>
      <c r="AL272" s="45"/>
      <c r="AM272" s="45"/>
      <c r="AN272" s="45"/>
      <c r="AO272" s="45"/>
      <c r="AP272" s="45"/>
      <c r="AQ272" s="45"/>
      <c r="AR272" s="45"/>
      <c r="AS272" s="45"/>
      <c r="AT272" s="45"/>
      <c r="AU272" s="45"/>
      <c r="AV272" s="47"/>
      <c r="AW272" s="48" t="str">
        <f>REV!AW272</f>
        <v>13.08.2026</v>
      </c>
      <c r="AX272" s="149" t="s">
        <v>68</v>
      </c>
    </row>
    <row r="273" spans="1:50" ht="22.5" customHeight="1">
      <c r="A273" s="55" t="s">
        <v>222</v>
      </c>
      <c r="B273" s="42" t="s">
        <v>64</v>
      </c>
      <c r="C273" s="43">
        <v>4016152</v>
      </c>
      <c r="D273" s="56" t="s">
        <v>429</v>
      </c>
      <c r="E273" s="56" t="s">
        <v>433</v>
      </c>
      <c r="F273" s="45">
        <v>100</v>
      </c>
      <c r="G273" s="45"/>
      <c r="H273" s="45"/>
      <c r="I273" s="45"/>
      <c r="J273" s="46">
        <f>IF(VLOOKUP($C273,REV!$C:$AA,8,0)-'TRADE IN'!$F273=0,"",(VLOOKUP($C273,REV!$C:$AA,8,0)-'TRADE IN'!$F273))</f>
        <v>1499</v>
      </c>
      <c r="K273" s="46">
        <f>IF(VLOOKUP($C273,REV!$C:$AA,9,0)-'TRADE IN'!$F273=0,"",(VLOOKUP($C273,REV!$C:$AA,9,0)-'TRADE IN'!$F273))</f>
        <v>1399</v>
      </c>
      <c r="L273" s="46">
        <f>IF(VLOOKUP($C273,REV!$C:$AA,10,0)-'TRADE IN'!$F273=0,"",(VLOOKUP($C273,REV!$C:$AA,10,0)-'TRADE IN'!$F273))</f>
        <v>1399</v>
      </c>
      <c r="M273" s="46">
        <f>IF(VLOOKUP($C273,REV!$C:$AA,11,0)-'TRADE IN'!$F273=0,"",(VLOOKUP($C273,REV!$C:$AA,11,0)-'TRADE IN'!$F273))</f>
        <v>1499</v>
      </c>
      <c r="N273" s="46">
        <f>IF(VLOOKUP($C273,REV!$C:$AA,12,0)-'TRADE IN'!$F273=0,"",(VLOOKUP($C273,REV!$C:$AA,12,0)-'TRADE IN'!$F273))</f>
        <v>1399</v>
      </c>
      <c r="O273" s="46">
        <f>IF(VLOOKUP($C273,REV!$C:$AA,13,0)-'TRADE IN'!$F273=0,"",(VLOOKUP($C273,REV!$C:$AA,13,0)-'TRADE IN'!$F273))</f>
        <v>1299</v>
      </c>
      <c r="P273" s="46">
        <f>IF(VLOOKUP($C273,REV!$C:$AA,14,0)-'TRADE IN'!$F273=0,"",(VLOOKUP($C273,REV!$C:$AA,14,0)-'TRADE IN'!$F273))</f>
        <v>1199</v>
      </c>
      <c r="Q273" s="46">
        <f>IF(VLOOKUP($C273,REV!$C:$AA,15,0)-'TRADE IN'!$F273=0,"",(VLOOKUP($C273,REV!$C:$AA,15,0)-'TRADE IN'!$F273))</f>
        <v>899</v>
      </c>
      <c r="R273" s="46">
        <f>IF(VLOOKUP($C273,REV!$C:$AA,16,0)-'TRADE IN'!$F273=0,"",(VLOOKUP($C273,REV!$C:$AA,16,0)-'TRADE IN'!$F273))</f>
        <v>1299</v>
      </c>
      <c r="S273" s="46">
        <f>IF(VLOOKUP($C273,REV!$C:$AA,17,0)-'TRADE IN'!$F273=0,"",(VLOOKUP($C273,REV!$C:$AA,17,0)-'TRADE IN'!$F273))</f>
        <v>1199</v>
      </c>
      <c r="T273" s="46">
        <f>IF(VLOOKUP($C273,REV!$C:$AA,18,0)-'TRADE IN'!$F273=0,"",(VLOOKUP($C273,REV!$C:$AA,18,0)-'TRADE IN'!$F273))</f>
        <v>899</v>
      </c>
      <c r="U273" s="46">
        <f>IF(VLOOKUP($C273,REV!$C:$AA,19,0)-'TRADE IN'!$F273=0,"",(VLOOKUP($C273,REV!$C:$AA,19,0)-'TRADE IN'!$F273))</f>
        <v>899</v>
      </c>
      <c r="V273" s="46">
        <f>IF(VLOOKUP($C273,REV!$C:$AA,20,0)-'TRADE IN'!$F273=0,"",(VLOOKUP($C273,REV!$C:$AA,20,0)-'TRADE IN'!$F273))</f>
        <v>899</v>
      </c>
      <c r="W273" s="46">
        <f>IF(VLOOKUP($C273,REV!$C:$AA,21,0)-'TRADE IN'!$F273=0,"",(VLOOKUP($C273,REV!$C:$AA,21,0)-'TRADE IN'!$F273))</f>
        <v>899</v>
      </c>
      <c r="X273" s="46">
        <f>IF(VLOOKUP($C273,REV!$C:$AA,22,0)-'TRADE IN'!$F273=0,"",(VLOOKUP($C273,REV!$C:$AA,22,0)-'TRADE IN'!$F273))</f>
        <v>899</v>
      </c>
      <c r="Y273" s="46">
        <f>IF(VLOOKUP($C273,REV!$C:$AA,23,0)-'TRADE IN'!$F273=0,"",(VLOOKUP($C273,REV!$C:$AA,23,0)-'TRADE IN'!$F273))</f>
        <v>899</v>
      </c>
      <c r="Z273" s="46">
        <f>IF(VLOOKUP($C273,REV!$C:$AA,24,0)-'TRADE IN'!$F273=0,"",(VLOOKUP($C273,REV!$C:$AA,24,0)-'TRADE IN'!$F273))</f>
        <v>899</v>
      </c>
      <c r="AA273" s="46">
        <f>IF(VLOOKUP($C273,REV!$C:$AA,25,0)-'TRADE IN'!$F273=0,"",(VLOOKUP($C273,REV!$C:$AA,25,0)-'TRADE IN'!$F273))</f>
        <v>899</v>
      </c>
      <c r="AB273" s="45"/>
      <c r="AC273" s="45"/>
      <c r="AD273" s="45"/>
      <c r="AE273" s="45"/>
      <c r="AF273" s="45"/>
      <c r="AG273" s="45"/>
      <c r="AH273" s="45"/>
      <c r="AI273" s="45"/>
      <c r="AJ273" s="45"/>
      <c r="AK273" s="45"/>
      <c r="AL273" s="45"/>
      <c r="AM273" s="45"/>
      <c r="AN273" s="45"/>
      <c r="AO273" s="45"/>
      <c r="AP273" s="45"/>
      <c r="AQ273" s="45"/>
      <c r="AR273" s="45"/>
      <c r="AS273" s="45"/>
      <c r="AT273" s="45"/>
      <c r="AU273" s="45"/>
      <c r="AV273" s="47"/>
      <c r="AW273" s="48" t="str">
        <f>REV!AW273</f>
        <v>13.08.2026</v>
      </c>
      <c r="AX273" s="149" t="s">
        <v>68</v>
      </c>
    </row>
    <row r="274" spans="1:50" ht="22.5" customHeight="1">
      <c r="A274" s="55" t="s">
        <v>222</v>
      </c>
      <c r="B274" s="42" t="s">
        <v>64</v>
      </c>
      <c r="C274" s="43">
        <v>4016159</v>
      </c>
      <c r="D274" s="56" t="s">
        <v>429</v>
      </c>
      <c r="E274" s="56" t="s">
        <v>434</v>
      </c>
      <c r="F274" s="45">
        <v>100</v>
      </c>
      <c r="G274" s="45"/>
      <c r="H274" s="45"/>
      <c r="I274" s="45"/>
      <c r="J274" s="46">
        <f>IF(VLOOKUP($C274,REV!$C:$AA,8,0)-'TRADE IN'!$F274=0,"",(VLOOKUP($C274,REV!$C:$AA,8,0)-'TRADE IN'!$F274))</f>
        <v>1499</v>
      </c>
      <c r="K274" s="46">
        <f>IF(VLOOKUP($C274,REV!$C:$AA,9,0)-'TRADE IN'!$F274=0,"",(VLOOKUP($C274,REV!$C:$AA,9,0)-'TRADE IN'!$F274))</f>
        <v>1399</v>
      </c>
      <c r="L274" s="46">
        <f>IF(VLOOKUP($C274,REV!$C:$AA,10,0)-'TRADE IN'!$F274=0,"",(VLOOKUP($C274,REV!$C:$AA,10,0)-'TRADE IN'!$F274))</f>
        <v>1399</v>
      </c>
      <c r="M274" s="46">
        <f>IF(VLOOKUP($C274,REV!$C:$AA,11,0)-'TRADE IN'!$F274=0,"",(VLOOKUP($C274,REV!$C:$AA,11,0)-'TRADE IN'!$F274))</f>
        <v>1499</v>
      </c>
      <c r="N274" s="46">
        <f>IF(VLOOKUP($C274,REV!$C:$AA,12,0)-'TRADE IN'!$F274=0,"",(VLOOKUP($C274,REV!$C:$AA,12,0)-'TRADE IN'!$F274))</f>
        <v>1399</v>
      </c>
      <c r="O274" s="46">
        <f>IF(VLOOKUP($C274,REV!$C:$AA,13,0)-'TRADE IN'!$F274=0,"",(VLOOKUP($C274,REV!$C:$AA,13,0)-'TRADE IN'!$F274))</f>
        <v>1299</v>
      </c>
      <c r="P274" s="46">
        <f>IF(VLOOKUP($C274,REV!$C:$AA,14,0)-'TRADE IN'!$F274=0,"",(VLOOKUP($C274,REV!$C:$AA,14,0)-'TRADE IN'!$F274))</f>
        <v>1199</v>
      </c>
      <c r="Q274" s="46">
        <f>IF(VLOOKUP($C274,REV!$C:$AA,15,0)-'TRADE IN'!$F274=0,"",(VLOOKUP($C274,REV!$C:$AA,15,0)-'TRADE IN'!$F274))</f>
        <v>899</v>
      </c>
      <c r="R274" s="46">
        <f>IF(VLOOKUP($C274,REV!$C:$AA,16,0)-'TRADE IN'!$F274=0,"",(VLOOKUP($C274,REV!$C:$AA,16,0)-'TRADE IN'!$F274))</f>
        <v>1299</v>
      </c>
      <c r="S274" s="46">
        <f>IF(VLOOKUP($C274,REV!$C:$AA,17,0)-'TRADE IN'!$F274=0,"",(VLOOKUP($C274,REV!$C:$AA,17,0)-'TRADE IN'!$F274))</f>
        <v>1199</v>
      </c>
      <c r="T274" s="46">
        <f>IF(VLOOKUP($C274,REV!$C:$AA,18,0)-'TRADE IN'!$F274=0,"",(VLOOKUP($C274,REV!$C:$AA,18,0)-'TRADE IN'!$F274))</f>
        <v>899</v>
      </c>
      <c r="U274" s="46">
        <f>IF(VLOOKUP($C274,REV!$C:$AA,19,0)-'TRADE IN'!$F274=0,"",(VLOOKUP($C274,REV!$C:$AA,19,0)-'TRADE IN'!$F274))</f>
        <v>899</v>
      </c>
      <c r="V274" s="46">
        <f>IF(VLOOKUP($C274,REV!$C:$AA,20,0)-'TRADE IN'!$F274=0,"",(VLOOKUP($C274,REV!$C:$AA,20,0)-'TRADE IN'!$F274))</f>
        <v>899</v>
      </c>
      <c r="W274" s="46">
        <f>IF(VLOOKUP($C274,REV!$C:$AA,21,0)-'TRADE IN'!$F274=0,"",(VLOOKUP($C274,REV!$C:$AA,21,0)-'TRADE IN'!$F274))</f>
        <v>899</v>
      </c>
      <c r="X274" s="46">
        <f>IF(VLOOKUP($C274,REV!$C:$AA,22,0)-'TRADE IN'!$F274=0,"",(VLOOKUP($C274,REV!$C:$AA,22,0)-'TRADE IN'!$F274))</f>
        <v>899</v>
      </c>
      <c r="Y274" s="46">
        <f>IF(VLOOKUP($C274,REV!$C:$AA,23,0)-'TRADE IN'!$F274=0,"",(VLOOKUP($C274,REV!$C:$AA,23,0)-'TRADE IN'!$F274))</f>
        <v>899</v>
      </c>
      <c r="Z274" s="46">
        <f>IF(VLOOKUP($C274,REV!$C:$AA,24,0)-'TRADE IN'!$F274=0,"",(VLOOKUP($C274,REV!$C:$AA,24,0)-'TRADE IN'!$F274))</f>
        <v>899</v>
      </c>
      <c r="AA274" s="46">
        <f>IF(VLOOKUP($C274,REV!$C:$AA,25,0)-'TRADE IN'!$F274=0,"",(VLOOKUP($C274,REV!$C:$AA,25,0)-'TRADE IN'!$F274))</f>
        <v>899</v>
      </c>
      <c r="AB274" s="45"/>
      <c r="AC274" s="45"/>
      <c r="AD274" s="45"/>
      <c r="AE274" s="45"/>
      <c r="AF274" s="45"/>
      <c r="AG274" s="45"/>
      <c r="AH274" s="45"/>
      <c r="AI274" s="45"/>
      <c r="AJ274" s="45"/>
      <c r="AK274" s="45"/>
      <c r="AL274" s="45"/>
      <c r="AM274" s="45"/>
      <c r="AN274" s="45"/>
      <c r="AO274" s="45"/>
      <c r="AP274" s="45"/>
      <c r="AQ274" s="45"/>
      <c r="AR274" s="45"/>
      <c r="AS274" s="45"/>
      <c r="AT274" s="45"/>
      <c r="AU274" s="45"/>
      <c r="AV274" s="47"/>
      <c r="AW274" s="48" t="str">
        <f>REV!AW274</f>
        <v>13.08.2026</v>
      </c>
      <c r="AX274" s="149" t="s">
        <v>68</v>
      </c>
    </row>
    <row r="275" spans="1:50" ht="22.5" customHeight="1">
      <c r="A275" s="55" t="s">
        <v>222</v>
      </c>
      <c r="B275" s="42" t="s">
        <v>64</v>
      </c>
      <c r="C275" s="43">
        <v>4016147</v>
      </c>
      <c r="D275" s="56" t="s">
        <v>429</v>
      </c>
      <c r="E275" s="56" t="s">
        <v>435</v>
      </c>
      <c r="F275" s="45">
        <v>100</v>
      </c>
      <c r="G275" s="45"/>
      <c r="H275" s="45"/>
      <c r="I275" s="45"/>
      <c r="J275" s="46">
        <f>IF(VLOOKUP($C275,REV!$C:$AA,8,0)-'TRADE IN'!$F275=0,"",(VLOOKUP($C275,REV!$C:$AA,8,0)-'TRADE IN'!$F275))</f>
        <v>1499</v>
      </c>
      <c r="K275" s="46">
        <f>IF(VLOOKUP($C275,REV!$C:$AA,9,0)-'TRADE IN'!$F275=0,"",(VLOOKUP($C275,REV!$C:$AA,9,0)-'TRADE IN'!$F275))</f>
        <v>1399</v>
      </c>
      <c r="L275" s="46">
        <f>IF(VLOOKUP($C275,REV!$C:$AA,10,0)-'TRADE IN'!$F275=0,"",(VLOOKUP($C275,REV!$C:$AA,10,0)-'TRADE IN'!$F275))</f>
        <v>1399</v>
      </c>
      <c r="M275" s="46">
        <f>IF(VLOOKUP($C275,REV!$C:$AA,11,0)-'TRADE IN'!$F275=0,"",(VLOOKUP($C275,REV!$C:$AA,11,0)-'TRADE IN'!$F275))</f>
        <v>1499</v>
      </c>
      <c r="N275" s="46">
        <f>IF(VLOOKUP($C275,REV!$C:$AA,12,0)-'TRADE IN'!$F275=0,"",(VLOOKUP($C275,REV!$C:$AA,12,0)-'TRADE IN'!$F275))</f>
        <v>1399</v>
      </c>
      <c r="O275" s="46">
        <f>IF(VLOOKUP($C275,REV!$C:$AA,13,0)-'TRADE IN'!$F275=0,"",(VLOOKUP($C275,REV!$C:$AA,13,0)-'TRADE IN'!$F275))</f>
        <v>1299</v>
      </c>
      <c r="P275" s="46">
        <f>IF(VLOOKUP($C275,REV!$C:$AA,14,0)-'TRADE IN'!$F275=0,"",(VLOOKUP($C275,REV!$C:$AA,14,0)-'TRADE IN'!$F275))</f>
        <v>1199</v>
      </c>
      <c r="Q275" s="46">
        <f>IF(VLOOKUP($C275,REV!$C:$AA,15,0)-'TRADE IN'!$F275=0,"",(VLOOKUP($C275,REV!$C:$AA,15,0)-'TRADE IN'!$F275))</f>
        <v>899</v>
      </c>
      <c r="R275" s="46">
        <f>IF(VLOOKUP($C275,REV!$C:$AA,16,0)-'TRADE IN'!$F275=0,"",(VLOOKUP($C275,REV!$C:$AA,16,0)-'TRADE IN'!$F275))</f>
        <v>1299</v>
      </c>
      <c r="S275" s="46">
        <f>IF(VLOOKUP($C275,REV!$C:$AA,17,0)-'TRADE IN'!$F275=0,"",(VLOOKUP($C275,REV!$C:$AA,17,0)-'TRADE IN'!$F275))</f>
        <v>1199</v>
      </c>
      <c r="T275" s="46">
        <f>IF(VLOOKUP($C275,REV!$C:$AA,18,0)-'TRADE IN'!$F275=0,"",(VLOOKUP($C275,REV!$C:$AA,18,0)-'TRADE IN'!$F275))</f>
        <v>899</v>
      </c>
      <c r="U275" s="46">
        <f>IF(VLOOKUP($C275,REV!$C:$AA,19,0)-'TRADE IN'!$F275=0,"",(VLOOKUP($C275,REV!$C:$AA,19,0)-'TRADE IN'!$F275))</f>
        <v>899</v>
      </c>
      <c r="V275" s="46">
        <f>IF(VLOOKUP($C275,REV!$C:$AA,20,0)-'TRADE IN'!$F275=0,"",(VLOOKUP($C275,REV!$C:$AA,20,0)-'TRADE IN'!$F275))</f>
        <v>899</v>
      </c>
      <c r="W275" s="46">
        <f>IF(VLOOKUP($C275,REV!$C:$AA,21,0)-'TRADE IN'!$F275=0,"",(VLOOKUP($C275,REV!$C:$AA,21,0)-'TRADE IN'!$F275))</f>
        <v>899</v>
      </c>
      <c r="X275" s="46">
        <f>IF(VLOOKUP($C275,REV!$C:$AA,22,0)-'TRADE IN'!$F275=0,"",(VLOOKUP($C275,REV!$C:$AA,22,0)-'TRADE IN'!$F275))</f>
        <v>899</v>
      </c>
      <c r="Y275" s="46">
        <f>IF(VLOOKUP($C275,REV!$C:$AA,23,0)-'TRADE IN'!$F275=0,"",(VLOOKUP($C275,REV!$C:$AA,23,0)-'TRADE IN'!$F275))</f>
        <v>899</v>
      </c>
      <c r="Z275" s="46">
        <f>IF(VLOOKUP($C275,REV!$C:$AA,24,0)-'TRADE IN'!$F275=0,"",(VLOOKUP($C275,REV!$C:$AA,24,0)-'TRADE IN'!$F275))</f>
        <v>899</v>
      </c>
      <c r="AA275" s="46">
        <f>IF(VLOOKUP($C275,REV!$C:$AA,25,0)-'TRADE IN'!$F275=0,"",(VLOOKUP($C275,REV!$C:$AA,25,0)-'TRADE IN'!$F275))</f>
        <v>899</v>
      </c>
      <c r="AB275" s="45"/>
      <c r="AC275" s="45"/>
      <c r="AD275" s="45"/>
      <c r="AE275" s="45"/>
      <c r="AF275" s="45"/>
      <c r="AG275" s="45"/>
      <c r="AH275" s="45"/>
      <c r="AI275" s="45"/>
      <c r="AJ275" s="45"/>
      <c r="AK275" s="45"/>
      <c r="AL275" s="45"/>
      <c r="AM275" s="45"/>
      <c r="AN275" s="45"/>
      <c r="AO275" s="45"/>
      <c r="AP275" s="45"/>
      <c r="AQ275" s="45"/>
      <c r="AR275" s="45"/>
      <c r="AS275" s="45"/>
      <c r="AT275" s="45"/>
      <c r="AU275" s="45"/>
      <c r="AV275" s="47"/>
      <c r="AW275" s="48" t="str">
        <f>REV!AW275</f>
        <v>13.08.2026</v>
      </c>
      <c r="AX275" s="149" t="s">
        <v>68</v>
      </c>
    </row>
    <row r="276" spans="1:50" ht="22.5" customHeight="1">
      <c r="A276" s="55" t="s">
        <v>222</v>
      </c>
      <c r="B276" s="42" t="s">
        <v>64</v>
      </c>
      <c r="C276" s="43">
        <v>4016974</v>
      </c>
      <c r="D276" s="56" t="s">
        <v>436</v>
      </c>
      <c r="E276" s="56" t="s">
        <v>437</v>
      </c>
      <c r="F276" s="45">
        <v>100</v>
      </c>
      <c r="G276" s="45"/>
      <c r="H276" s="45"/>
      <c r="I276" s="45"/>
      <c r="J276" s="46">
        <f>IF(VLOOKUP($C276,REV!$C:$AA,8,0)-'TRADE IN'!$F276=0,"",(VLOOKUP($C276,REV!$C:$AA,8,0)-'TRADE IN'!$F276))</f>
        <v>1699</v>
      </c>
      <c r="K276" s="46">
        <f>IF(VLOOKUP($C276,REV!$C:$AA,9,0)-'TRADE IN'!$F276=0,"",(VLOOKUP($C276,REV!$C:$AA,9,0)-'TRADE IN'!$F276))</f>
        <v>1499</v>
      </c>
      <c r="L276" s="46">
        <f>IF(VLOOKUP($C276,REV!$C:$AA,10,0)-'TRADE IN'!$F276=0,"",(VLOOKUP($C276,REV!$C:$AA,10,0)-'TRADE IN'!$F276))</f>
        <v>1499</v>
      </c>
      <c r="M276" s="46">
        <f>IF(VLOOKUP($C276,REV!$C:$AA,11,0)-'TRADE IN'!$F276=0,"",(VLOOKUP($C276,REV!$C:$AA,11,0)-'TRADE IN'!$F276))</f>
        <v>1699</v>
      </c>
      <c r="N276" s="46">
        <f>IF(VLOOKUP($C276,REV!$C:$AA,12,0)-'TRADE IN'!$F276=0,"",(VLOOKUP($C276,REV!$C:$AA,12,0)-'TRADE IN'!$F276))</f>
        <v>1499</v>
      </c>
      <c r="O276" s="46">
        <f>IF(VLOOKUP($C276,REV!$C:$AA,13,0)-'TRADE IN'!$F276=0,"",(VLOOKUP($C276,REV!$C:$AA,13,0)-'TRADE IN'!$F276))</f>
        <v>1449</v>
      </c>
      <c r="P276" s="46">
        <f>IF(VLOOKUP($C276,REV!$C:$AA,14,0)-'TRADE IN'!$F276=0,"",(VLOOKUP($C276,REV!$C:$AA,14,0)-'TRADE IN'!$F276))</f>
        <v>1399</v>
      </c>
      <c r="Q276" s="46">
        <f>IF(VLOOKUP($C276,REV!$C:$AA,15,0)-'TRADE IN'!$F276=0,"",(VLOOKUP($C276,REV!$C:$AA,15,0)-'TRADE IN'!$F276))</f>
        <v>1199</v>
      </c>
      <c r="R276" s="46">
        <f>IF(VLOOKUP($C276,REV!$C:$AA,16,0)-'TRADE IN'!$F276=0,"",(VLOOKUP($C276,REV!$C:$AA,16,0)-'TRADE IN'!$F276))</f>
        <v>1449</v>
      </c>
      <c r="S276" s="46">
        <f>IF(VLOOKUP($C276,REV!$C:$AA,17,0)-'TRADE IN'!$F276=0,"",(VLOOKUP($C276,REV!$C:$AA,17,0)-'TRADE IN'!$F276))</f>
        <v>1399</v>
      </c>
      <c r="T276" s="46">
        <f>IF(VLOOKUP($C276,REV!$C:$AA,18,0)-'TRADE IN'!$F276=0,"",(VLOOKUP($C276,REV!$C:$AA,18,0)-'TRADE IN'!$F276))</f>
        <v>1199</v>
      </c>
      <c r="U276" s="46">
        <f>IF(VLOOKUP($C276,REV!$C:$AA,19,0)-'TRADE IN'!$F276=0,"",(VLOOKUP($C276,REV!$C:$AA,19,0)-'TRADE IN'!$F276))</f>
        <v>1199</v>
      </c>
      <c r="V276" s="46">
        <f>IF(VLOOKUP($C276,REV!$C:$AA,20,0)-'TRADE IN'!$F276=0,"",(VLOOKUP($C276,REV!$C:$AA,20,0)-'TRADE IN'!$F276))</f>
        <v>1199</v>
      </c>
      <c r="W276" s="46">
        <f>IF(VLOOKUP($C276,REV!$C:$AA,21,0)-'TRADE IN'!$F276=0,"",(VLOOKUP($C276,REV!$C:$AA,21,0)-'TRADE IN'!$F276))</f>
        <v>1199</v>
      </c>
      <c r="X276" s="46">
        <f>IF(VLOOKUP($C276,REV!$C:$AA,22,0)-'TRADE IN'!$F276=0,"",(VLOOKUP($C276,REV!$C:$AA,22,0)-'TRADE IN'!$F276))</f>
        <v>1199</v>
      </c>
      <c r="Y276" s="46">
        <f>IF(VLOOKUP($C276,REV!$C:$AA,23,0)-'TRADE IN'!$F276=0,"",(VLOOKUP($C276,REV!$C:$AA,23,0)-'TRADE IN'!$F276))</f>
        <v>1199</v>
      </c>
      <c r="Z276" s="46">
        <f>IF(VLOOKUP($C276,REV!$C:$AA,24,0)-'TRADE IN'!$F276=0,"",(VLOOKUP($C276,REV!$C:$AA,24,0)-'TRADE IN'!$F276))</f>
        <v>1199</v>
      </c>
      <c r="AA276" s="46">
        <f>IF(VLOOKUP($C276,REV!$C:$AA,25,0)-'TRADE IN'!$F276=0,"",(VLOOKUP($C276,REV!$C:$AA,25,0)-'TRADE IN'!$F276))</f>
        <v>1199</v>
      </c>
      <c r="AB276" s="45"/>
      <c r="AC276" s="45"/>
      <c r="AD276" s="45"/>
      <c r="AE276" s="45"/>
      <c r="AF276" s="45"/>
      <c r="AG276" s="45"/>
      <c r="AH276" s="45"/>
      <c r="AI276" s="45"/>
      <c r="AJ276" s="45"/>
      <c r="AK276" s="45"/>
      <c r="AL276" s="45"/>
      <c r="AM276" s="45"/>
      <c r="AN276" s="45"/>
      <c r="AO276" s="45"/>
      <c r="AP276" s="45"/>
      <c r="AQ276" s="45"/>
      <c r="AR276" s="45"/>
      <c r="AS276" s="45"/>
      <c r="AT276" s="45"/>
      <c r="AU276" s="45"/>
      <c r="AV276" s="47"/>
      <c r="AW276" s="48" t="str">
        <f>REV!AW276</f>
        <v>13.08.2026</v>
      </c>
      <c r="AX276" s="149" t="s">
        <v>68</v>
      </c>
    </row>
    <row r="277" spans="1:50" ht="22.5" customHeight="1">
      <c r="A277" s="55" t="s">
        <v>222</v>
      </c>
      <c r="B277" s="42" t="s">
        <v>64</v>
      </c>
      <c r="C277" s="43">
        <v>4016989</v>
      </c>
      <c r="D277" s="56" t="s">
        <v>436</v>
      </c>
      <c r="E277" s="56" t="s">
        <v>438</v>
      </c>
      <c r="F277" s="45">
        <v>100</v>
      </c>
      <c r="G277" s="45"/>
      <c r="H277" s="45"/>
      <c r="I277" s="45"/>
      <c r="J277" s="46">
        <f>IF(VLOOKUP($C277,REV!$C:$AA,8,0)-'TRADE IN'!$F277=0,"",(VLOOKUP($C277,REV!$C:$AA,8,0)-'TRADE IN'!$F277))</f>
        <v>1699</v>
      </c>
      <c r="K277" s="46">
        <f>IF(VLOOKUP($C277,REV!$C:$AA,9,0)-'TRADE IN'!$F277=0,"",(VLOOKUP($C277,REV!$C:$AA,9,0)-'TRADE IN'!$F277))</f>
        <v>1499</v>
      </c>
      <c r="L277" s="46">
        <f>IF(VLOOKUP($C277,REV!$C:$AA,10,0)-'TRADE IN'!$F277=0,"",(VLOOKUP($C277,REV!$C:$AA,10,0)-'TRADE IN'!$F277))</f>
        <v>1499</v>
      </c>
      <c r="M277" s="46">
        <f>IF(VLOOKUP($C277,REV!$C:$AA,11,0)-'TRADE IN'!$F277=0,"",(VLOOKUP($C277,REV!$C:$AA,11,0)-'TRADE IN'!$F277))</f>
        <v>1699</v>
      </c>
      <c r="N277" s="46">
        <f>IF(VLOOKUP($C277,REV!$C:$AA,12,0)-'TRADE IN'!$F277=0,"",(VLOOKUP($C277,REV!$C:$AA,12,0)-'TRADE IN'!$F277))</f>
        <v>1499</v>
      </c>
      <c r="O277" s="46">
        <f>IF(VLOOKUP($C277,REV!$C:$AA,13,0)-'TRADE IN'!$F277=0,"",(VLOOKUP($C277,REV!$C:$AA,13,0)-'TRADE IN'!$F277))</f>
        <v>1449</v>
      </c>
      <c r="P277" s="46">
        <f>IF(VLOOKUP($C277,REV!$C:$AA,14,0)-'TRADE IN'!$F277=0,"",(VLOOKUP($C277,REV!$C:$AA,14,0)-'TRADE IN'!$F277))</f>
        <v>1399</v>
      </c>
      <c r="Q277" s="46">
        <f>IF(VLOOKUP($C277,REV!$C:$AA,15,0)-'TRADE IN'!$F277=0,"",(VLOOKUP($C277,REV!$C:$AA,15,0)-'TRADE IN'!$F277))</f>
        <v>1199</v>
      </c>
      <c r="R277" s="46">
        <f>IF(VLOOKUP($C277,REV!$C:$AA,16,0)-'TRADE IN'!$F277=0,"",(VLOOKUP($C277,REV!$C:$AA,16,0)-'TRADE IN'!$F277))</f>
        <v>1449</v>
      </c>
      <c r="S277" s="46">
        <f>IF(VLOOKUP($C277,REV!$C:$AA,17,0)-'TRADE IN'!$F277=0,"",(VLOOKUP($C277,REV!$C:$AA,17,0)-'TRADE IN'!$F277))</f>
        <v>1399</v>
      </c>
      <c r="T277" s="46">
        <f>IF(VLOOKUP($C277,REV!$C:$AA,18,0)-'TRADE IN'!$F277=0,"",(VLOOKUP($C277,REV!$C:$AA,18,0)-'TRADE IN'!$F277))</f>
        <v>1199</v>
      </c>
      <c r="U277" s="46">
        <f>IF(VLOOKUP($C277,REV!$C:$AA,19,0)-'TRADE IN'!$F277=0,"",(VLOOKUP($C277,REV!$C:$AA,19,0)-'TRADE IN'!$F277))</f>
        <v>1199</v>
      </c>
      <c r="V277" s="46">
        <f>IF(VLOOKUP($C277,REV!$C:$AA,20,0)-'TRADE IN'!$F277=0,"",(VLOOKUP($C277,REV!$C:$AA,20,0)-'TRADE IN'!$F277))</f>
        <v>1199</v>
      </c>
      <c r="W277" s="46">
        <f>IF(VLOOKUP($C277,REV!$C:$AA,21,0)-'TRADE IN'!$F277=0,"",(VLOOKUP($C277,REV!$C:$AA,21,0)-'TRADE IN'!$F277))</f>
        <v>1199</v>
      </c>
      <c r="X277" s="46">
        <f>IF(VLOOKUP($C277,REV!$C:$AA,22,0)-'TRADE IN'!$F277=0,"",(VLOOKUP($C277,REV!$C:$AA,22,0)-'TRADE IN'!$F277))</f>
        <v>1199</v>
      </c>
      <c r="Y277" s="46">
        <f>IF(VLOOKUP($C277,REV!$C:$AA,23,0)-'TRADE IN'!$F277=0,"",(VLOOKUP($C277,REV!$C:$AA,23,0)-'TRADE IN'!$F277))</f>
        <v>1199</v>
      </c>
      <c r="Z277" s="46">
        <f>IF(VLOOKUP($C277,REV!$C:$AA,24,0)-'TRADE IN'!$F277=0,"",(VLOOKUP($C277,REV!$C:$AA,24,0)-'TRADE IN'!$F277))</f>
        <v>1199</v>
      </c>
      <c r="AA277" s="46">
        <f>IF(VLOOKUP($C277,REV!$C:$AA,25,0)-'TRADE IN'!$F277=0,"",(VLOOKUP($C277,REV!$C:$AA,25,0)-'TRADE IN'!$F277))</f>
        <v>1199</v>
      </c>
      <c r="AB277" s="45"/>
      <c r="AC277" s="45"/>
      <c r="AD277" s="45"/>
      <c r="AE277" s="45"/>
      <c r="AF277" s="45"/>
      <c r="AG277" s="45"/>
      <c r="AH277" s="45"/>
      <c r="AI277" s="45"/>
      <c r="AJ277" s="45"/>
      <c r="AK277" s="45"/>
      <c r="AL277" s="45"/>
      <c r="AM277" s="45"/>
      <c r="AN277" s="45"/>
      <c r="AO277" s="45"/>
      <c r="AP277" s="45"/>
      <c r="AQ277" s="45"/>
      <c r="AR277" s="45"/>
      <c r="AS277" s="45"/>
      <c r="AT277" s="45"/>
      <c r="AU277" s="45"/>
      <c r="AV277" s="47"/>
      <c r="AW277" s="48" t="str">
        <f>REV!AW277</f>
        <v>13.08.2026</v>
      </c>
      <c r="AX277" s="149" t="s">
        <v>68</v>
      </c>
    </row>
    <row r="278" spans="1:50" ht="22.5" customHeight="1">
      <c r="A278" s="55" t="s">
        <v>222</v>
      </c>
      <c r="B278" s="42" t="s">
        <v>64</v>
      </c>
      <c r="C278" s="43">
        <v>4016978</v>
      </c>
      <c r="D278" s="56" t="s">
        <v>436</v>
      </c>
      <c r="E278" s="56" t="s">
        <v>439</v>
      </c>
      <c r="F278" s="45">
        <v>100</v>
      </c>
      <c r="G278" s="45"/>
      <c r="H278" s="45"/>
      <c r="I278" s="45"/>
      <c r="J278" s="46">
        <f>IF(VLOOKUP($C278,REV!$C:$AA,8,0)-'TRADE IN'!$F278=0,"",(VLOOKUP($C278,REV!$C:$AA,8,0)-'TRADE IN'!$F278))</f>
        <v>1699</v>
      </c>
      <c r="K278" s="46">
        <f>IF(VLOOKUP($C278,REV!$C:$AA,9,0)-'TRADE IN'!$F278=0,"",(VLOOKUP($C278,REV!$C:$AA,9,0)-'TRADE IN'!$F278))</f>
        <v>1499</v>
      </c>
      <c r="L278" s="46">
        <f>IF(VLOOKUP($C278,REV!$C:$AA,10,0)-'TRADE IN'!$F278=0,"",(VLOOKUP($C278,REV!$C:$AA,10,0)-'TRADE IN'!$F278))</f>
        <v>1499</v>
      </c>
      <c r="M278" s="46">
        <f>IF(VLOOKUP($C278,REV!$C:$AA,11,0)-'TRADE IN'!$F278=0,"",(VLOOKUP($C278,REV!$C:$AA,11,0)-'TRADE IN'!$F278))</f>
        <v>1699</v>
      </c>
      <c r="N278" s="46">
        <f>IF(VLOOKUP($C278,REV!$C:$AA,12,0)-'TRADE IN'!$F278=0,"",(VLOOKUP($C278,REV!$C:$AA,12,0)-'TRADE IN'!$F278))</f>
        <v>1499</v>
      </c>
      <c r="O278" s="46">
        <f>IF(VLOOKUP($C278,REV!$C:$AA,13,0)-'TRADE IN'!$F278=0,"",(VLOOKUP($C278,REV!$C:$AA,13,0)-'TRADE IN'!$F278))</f>
        <v>1449</v>
      </c>
      <c r="P278" s="46">
        <f>IF(VLOOKUP($C278,REV!$C:$AA,14,0)-'TRADE IN'!$F278=0,"",(VLOOKUP($C278,REV!$C:$AA,14,0)-'TRADE IN'!$F278))</f>
        <v>1399</v>
      </c>
      <c r="Q278" s="46">
        <f>IF(VLOOKUP($C278,REV!$C:$AA,15,0)-'TRADE IN'!$F278=0,"",(VLOOKUP($C278,REV!$C:$AA,15,0)-'TRADE IN'!$F278))</f>
        <v>1199</v>
      </c>
      <c r="R278" s="46">
        <f>IF(VLOOKUP($C278,REV!$C:$AA,16,0)-'TRADE IN'!$F278=0,"",(VLOOKUP($C278,REV!$C:$AA,16,0)-'TRADE IN'!$F278))</f>
        <v>1449</v>
      </c>
      <c r="S278" s="46">
        <f>IF(VLOOKUP($C278,REV!$C:$AA,17,0)-'TRADE IN'!$F278=0,"",(VLOOKUP($C278,REV!$C:$AA,17,0)-'TRADE IN'!$F278))</f>
        <v>1399</v>
      </c>
      <c r="T278" s="46">
        <f>IF(VLOOKUP($C278,REV!$C:$AA,18,0)-'TRADE IN'!$F278=0,"",(VLOOKUP($C278,REV!$C:$AA,18,0)-'TRADE IN'!$F278))</f>
        <v>1199</v>
      </c>
      <c r="U278" s="46">
        <f>IF(VLOOKUP($C278,REV!$C:$AA,19,0)-'TRADE IN'!$F278=0,"",(VLOOKUP($C278,REV!$C:$AA,19,0)-'TRADE IN'!$F278))</f>
        <v>1199</v>
      </c>
      <c r="V278" s="46">
        <f>IF(VLOOKUP($C278,REV!$C:$AA,20,0)-'TRADE IN'!$F278=0,"",(VLOOKUP($C278,REV!$C:$AA,20,0)-'TRADE IN'!$F278))</f>
        <v>1199</v>
      </c>
      <c r="W278" s="46">
        <f>IF(VLOOKUP($C278,REV!$C:$AA,21,0)-'TRADE IN'!$F278=0,"",(VLOOKUP($C278,REV!$C:$AA,21,0)-'TRADE IN'!$F278))</f>
        <v>1199</v>
      </c>
      <c r="X278" s="46">
        <f>IF(VLOOKUP($C278,REV!$C:$AA,22,0)-'TRADE IN'!$F278=0,"",(VLOOKUP($C278,REV!$C:$AA,22,0)-'TRADE IN'!$F278))</f>
        <v>1199</v>
      </c>
      <c r="Y278" s="46">
        <f>IF(VLOOKUP($C278,REV!$C:$AA,23,0)-'TRADE IN'!$F278=0,"",(VLOOKUP($C278,REV!$C:$AA,23,0)-'TRADE IN'!$F278))</f>
        <v>1199</v>
      </c>
      <c r="Z278" s="46">
        <f>IF(VLOOKUP($C278,REV!$C:$AA,24,0)-'TRADE IN'!$F278=0,"",(VLOOKUP($C278,REV!$C:$AA,24,0)-'TRADE IN'!$F278))</f>
        <v>1199</v>
      </c>
      <c r="AA278" s="46">
        <f>IF(VLOOKUP($C278,REV!$C:$AA,25,0)-'TRADE IN'!$F278=0,"",(VLOOKUP($C278,REV!$C:$AA,25,0)-'TRADE IN'!$F278))</f>
        <v>1199</v>
      </c>
      <c r="AB278" s="45"/>
      <c r="AC278" s="45"/>
      <c r="AD278" s="45"/>
      <c r="AE278" s="45"/>
      <c r="AF278" s="45"/>
      <c r="AG278" s="45"/>
      <c r="AH278" s="45"/>
      <c r="AI278" s="45"/>
      <c r="AJ278" s="45"/>
      <c r="AK278" s="45"/>
      <c r="AL278" s="45"/>
      <c r="AM278" s="45"/>
      <c r="AN278" s="45"/>
      <c r="AO278" s="45"/>
      <c r="AP278" s="45"/>
      <c r="AQ278" s="45"/>
      <c r="AR278" s="45"/>
      <c r="AS278" s="45"/>
      <c r="AT278" s="45"/>
      <c r="AU278" s="45"/>
      <c r="AV278" s="47"/>
      <c r="AW278" s="48" t="str">
        <f>REV!AW278</f>
        <v>13.08.2026</v>
      </c>
      <c r="AX278" s="149" t="s">
        <v>68</v>
      </c>
    </row>
    <row r="279" spans="1:50" ht="22.5" customHeight="1">
      <c r="A279" s="55" t="s">
        <v>222</v>
      </c>
      <c r="B279" s="42" t="s">
        <v>64</v>
      </c>
      <c r="C279" s="43">
        <v>4016994</v>
      </c>
      <c r="D279" s="56" t="s">
        <v>436</v>
      </c>
      <c r="E279" s="56" t="s">
        <v>440</v>
      </c>
      <c r="F279" s="45">
        <v>100</v>
      </c>
      <c r="G279" s="45"/>
      <c r="H279" s="45"/>
      <c r="I279" s="45"/>
      <c r="J279" s="46">
        <f>IF(VLOOKUP($C279,REV!$C:$AA,8,0)-'TRADE IN'!$F279=0,"",(VLOOKUP($C279,REV!$C:$AA,8,0)-'TRADE IN'!$F279))</f>
        <v>1699</v>
      </c>
      <c r="K279" s="46">
        <f>IF(VLOOKUP($C279,REV!$C:$AA,9,0)-'TRADE IN'!$F279=0,"",(VLOOKUP($C279,REV!$C:$AA,9,0)-'TRADE IN'!$F279))</f>
        <v>1499</v>
      </c>
      <c r="L279" s="46">
        <f>IF(VLOOKUP($C279,REV!$C:$AA,10,0)-'TRADE IN'!$F279=0,"",(VLOOKUP($C279,REV!$C:$AA,10,0)-'TRADE IN'!$F279))</f>
        <v>1499</v>
      </c>
      <c r="M279" s="46">
        <f>IF(VLOOKUP($C279,REV!$C:$AA,11,0)-'TRADE IN'!$F279=0,"",(VLOOKUP($C279,REV!$C:$AA,11,0)-'TRADE IN'!$F279))</f>
        <v>1699</v>
      </c>
      <c r="N279" s="46">
        <f>IF(VLOOKUP($C279,REV!$C:$AA,12,0)-'TRADE IN'!$F279=0,"",(VLOOKUP($C279,REV!$C:$AA,12,0)-'TRADE IN'!$F279))</f>
        <v>1499</v>
      </c>
      <c r="O279" s="46">
        <f>IF(VLOOKUP($C279,REV!$C:$AA,13,0)-'TRADE IN'!$F279=0,"",(VLOOKUP($C279,REV!$C:$AA,13,0)-'TRADE IN'!$F279))</f>
        <v>1449</v>
      </c>
      <c r="P279" s="46">
        <f>IF(VLOOKUP($C279,REV!$C:$AA,14,0)-'TRADE IN'!$F279=0,"",(VLOOKUP($C279,REV!$C:$AA,14,0)-'TRADE IN'!$F279))</f>
        <v>1399</v>
      </c>
      <c r="Q279" s="46">
        <f>IF(VLOOKUP($C279,REV!$C:$AA,15,0)-'TRADE IN'!$F279=0,"",(VLOOKUP($C279,REV!$C:$AA,15,0)-'TRADE IN'!$F279))</f>
        <v>1199</v>
      </c>
      <c r="R279" s="46">
        <f>IF(VLOOKUP($C279,REV!$C:$AA,16,0)-'TRADE IN'!$F279=0,"",(VLOOKUP($C279,REV!$C:$AA,16,0)-'TRADE IN'!$F279))</f>
        <v>1449</v>
      </c>
      <c r="S279" s="46">
        <f>IF(VLOOKUP($C279,REV!$C:$AA,17,0)-'TRADE IN'!$F279=0,"",(VLOOKUP($C279,REV!$C:$AA,17,0)-'TRADE IN'!$F279))</f>
        <v>1399</v>
      </c>
      <c r="T279" s="46">
        <f>IF(VLOOKUP($C279,REV!$C:$AA,18,0)-'TRADE IN'!$F279=0,"",(VLOOKUP($C279,REV!$C:$AA,18,0)-'TRADE IN'!$F279))</f>
        <v>1199</v>
      </c>
      <c r="U279" s="46">
        <f>IF(VLOOKUP($C279,REV!$C:$AA,19,0)-'TRADE IN'!$F279=0,"",(VLOOKUP($C279,REV!$C:$AA,19,0)-'TRADE IN'!$F279))</f>
        <v>1199</v>
      </c>
      <c r="V279" s="46">
        <f>IF(VLOOKUP($C279,REV!$C:$AA,20,0)-'TRADE IN'!$F279=0,"",(VLOOKUP($C279,REV!$C:$AA,20,0)-'TRADE IN'!$F279))</f>
        <v>1199</v>
      </c>
      <c r="W279" s="46">
        <f>IF(VLOOKUP($C279,REV!$C:$AA,21,0)-'TRADE IN'!$F279=0,"",(VLOOKUP($C279,REV!$C:$AA,21,0)-'TRADE IN'!$F279))</f>
        <v>1199</v>
      </c>
      <c r="X279" s="46">
        <f>IF(VLOOKUP($C279,REV!$C:$AA,22,0)-'TRADE IN'!$F279=0,"",(VLOOKUP($C279,REV!$C:$AA,22,0)-'TRADE IN'!$F279))</f>
        <v>1199</v>
      </c>
      <c r="Y279" s="46">
        <f>IF(VLOOKUP($C279,REV!$C:$AA,23,0)-'TRADE IN'!$F279=0,"",(VLOOKUP($C279,REV!$C:$AA,23,0)-'TRADE IN'!$F279))</f>
        <v>1199</v>
      </c>
      <c r="Z279" s="46">
        <f>IF(VLOOKUP($C279,REV!$C:$AA,24,0)-'TRADE IN'!$F279=0,"",(VLOOKUP($C279,REV!$C:$AA,24,0)-'TRADE IN'!$F279))</f>
        <v>1199</v>
      </c>
      <c r="AA279" s="46">
        <f>IF(VLOOKUP($C279,REV!$C:$AA,25,0)-'TRADE IN'!$F279=0,"",(VLOOKUP($C279,REV!$C:$AA,25,0)-'TRADE IN'!$F279))</f>
        <v>1199</v>
      </c>
      <c r="AB279" s="45"/>
      <c r="AC279" s="45"/>
      <c r="AD279" s="45"/>
      <c r="AE279" s="45"/>
      <c r="AF279" s="45"/>
      <c r="AG279" s="45"/>
      <c r="AH279" s="45"/>
      <c r="AI279" s="45"/>
      <c r="AJ279" s="45"/>
      <c r="AK279" s="45"/>
      <c r="AL279" s="45"/>
      <c r="AM279" s="45"/>
      <c r="AN279" s="45"/>
      <c r="AO279" s="45"/>
      <c r="AP279" s="45"/>
      <c r="AQ279" s="45"/>
      <c r="AR279" s="45"/>
      <c r="AS279" s="45"/>
      <c r="AT279" s="45"/>
      <c r="AU279" s="45"/>
      <c r="AV279" s="47"/>
      <c r="AW279" s="48" t="str">
        <f>REV!AW279</f>
        <v>13.08.2026</v>
      </c>
      <c r="AX279" s="149" t="s">
        <v>68</v>
      </c>
    </row>
    <row r="280" spans="1:50" ht="22.5" customHeight="1">
      <c r="A280" s="55" t="s">
        <v>222</v>
      </c>
      <c r="B280" s="42" t="s">
        <v>64</v>
      </c>
      <c r="C280" s="43">
        <v>4017063</v>
      </c>
      <c r="D280" s="56" t="s">
        <v>436</v>
      </c>
      <c r="E280" s="56" t="s">
        <v>442</v>
      </c>
      <c r="F280" s="45">
        <v>100</v>
      </c>
      <c r="G280" s="45"/>
      <c r="H280" s="45"/>
      <c r="I280" s="45"/>
      <c r="J280" s="46">
        <f>IF(VLOOKUP($C280,REV!$C:$AA,8,0)-'TRADE IN'!$F280=0,"",(VLOOKUP($C280,REV!$C:$AA,8,0)-'TRADE IN'!$F280))</f>
        <v>1699</v>
      </c>
      <c r="K280" s="46">
        <f>IF(VLOOKUP($C280,REV!$C:$AA,9,0)-'TRADE IN'!$F280=0,"",(VLOOKUP($C280,REV!$C:$AA,9,0)-'TRADE IN'!$F280))</f>
        <v>1499</v>
      </c>
      <c r="L280" s="46">
        <f>IF(VLOOKUP($C280,REV!$C:$AA,10,0)-'TRADE IN'!$F280=0,"",(VLOOKUP($C280,REV!$C:$AA,10,0)-'TRADE IN'!$F280))</f>
        <v>1499</v>
      </c>
      <c r="M280" s="46">
        <f>IF(VLOOKUP($C280,REV!$C:$AA,11,0)-'TRADE IN'!$F280=0,"",(VLOOKUP($C280,REV!$C:$AA,11,0)-'TRADE IN'!$F280))</f>
        <v>1699</v>
      </c>
      <c r="N280" s="46">
        <f>IF(VLOOKUP($C280,REV!$C:$AA,12,0)-'TRADE IN'!$F280=0,"",(VLOOKUP($C280,REV!$C:$AA,12,0)-'TRADE IN'!$F280))</f>
        <v>1499</v>
      </c>
      <c r="O280" s="46">
        <f>IF(VLOOKUP($C280,REV!$C:$AA,13,0)-'TRADE IN'!$F280=0,"",(VLOOKUP($C280,REV!$C:$AA,13,0)-'TRADE IN'!$F280))</f>
        <v>1449</v>
      </c>
      <c r="P280" s="46">
        <f>IF(VLOOKUP($C280,REV!$C:$AA,14,0)-'TRADE IN'!$F280=0,"",(VLOOKUP($C280,REV!$C:$AA,14,0)-'TRADE IN'!$F280))</f>
        <v>1399</v>
      </c>
      <c r="Q280" s="46">
        <f>IF(VLOOKUP($C280,REV!$C:$AA,15,0)-'TRADE IN'!$F280=0,"",(VLOOKUP($C280,REV!$C:$AA,15,0)-'TRADE IN'!$F280))</f>
        <v>1199</v>
      </c>
      <c r="R280" s="46">
        <f>IF(VLOOKUP($C280,REV!$C:$AA,16,0)-'TRADE IN'!$F280=0,"",(VLOOKUP($C280,REV!$C:$AA,16,0)-'TRADE IN'!$F280))</f>
        <v>1449</v>
      </c>
      <c r="S280" s="46">
        <f>IF(VLOOKUP($C280,REV!$C:$AA,17,0)-'TRADE IN'!$F280=0,"",(VLOOKUP($C280,REV!$C:$AA,17,0)-'TRADE IN'!$F280))</f>
        <v>1399</v>
      </c>
      <c r="T280" s="46">
        <f>IF(VLOOKUP($C280,REV!$C:$AA,18,0)-'TRADE IN'!$F280=0,"",(VLOOKUP($C280,REV!$C:$AA,18,0)-'TRADE IN'!$F280))</f>
        <v>1199</v>
      </c>
      <c r="U280" s="46">
        <f>IF(VLOOKUP($C280,REV!$C:$AA,19,0)-'TRADE IN'!$F280=0,"",(VLOOKUP($C280,REV!$C:$AA,19,0)-'TRADE IN'!$F280))</f>
        <v>1199</v>
      </c>
      <c r="V280" s="46">
        <f>IF(VLOOKUP($C280,REV!$C:$AA,20,0)-'TRADE IN'!$F280=0,"",(VLOOKUP($C280,REV!$C:$AA,20,0)-'TRADE IN'!$F280))</f>
        <v>1199</v>
      </c>
      <c r="W280" s="46">
        <f>IF(VLOOKUP($C280,REV!$C:$AA,21,0)-'TRADE IN'!$F280=0,"",(VLOOKUP($C280,REV!$C:$AA,21,0)-'TRADE IN'!$F280))</f>
        <v>1199</v>
      </c>
      <c r="X280" s="46">
        <f>IF(VLOOKUP($C280,REV!$C:$AA,22,0)-'TRADE IN'!$F280=0,"",(VLOOKUP($C280,REV!$C:$AA,22,0)-'TRADE IN'!$F280))</f>
        <v>1199</v>
      </c>
      <c r="Y280" s="46">
        <f>IF(VLOOKUP($C280,REV!$C:$AA,23,0)-'TRADE IN'!$F280=0,"",(VLOOKUP($C280,REV!$C:$AA,23,0)-'TRADE IN'!$F280))</f>
        <v>1199</v>
      </c>
      <c r="Z280" s="46">
        <f>IF(VLOOKUP($C280,REV!$C:$AA,24,0)-'TRADE IN'!$F280=0,"",(VLOOKUP($C280,REV!$C:$AA,24,0)-'TRADE IN'!$F280))</f>
        <v>1199</v>
      </c>
      <c r="AA280" s="46">
        <f>IF(VLOOKUP($C280,REV!$C:$AA,25,0)-'TRADE IN'!$F280=0,"",(VLOOKUP($C280,REV!$C:$AA,25,0)-'TRADE IN'!$F280))</f>
        <v>1199</v>
      </c>
      <c r="AB280" s="45"/>
      <c r="AC280" s="45"/>
      <c r="AD280" s="45"/>
      <c r="AE280" s="45"/>
      <c r="AF280" s="45"/>
      <c r="AG280" s="45"/>
      <c r="AH280" s="45"/>
      <c r="AI280" s="45"/>
      <c r="AJ280" s="45"/>
      <c r="AK280" s="45"/>
      <c r="AL280" s="45"/>
      <c r="AM280" s="45"/>
      <c r="AN280" s="45"/>
      <c r="AO280" s="45"/>
      <c r="AP280" s="45"/>
      <c r="AQ280" s="45"/>
      <c r="AR280" s="45"/>
      <c r="AS280" s="45"/>
      <c r="AT280" s="45"/>
      <c r="AU280" s="45"/>
      <c r="AV280" s="47"/>
      <c r="AW280" s="48" t="str">
        <f>REV!AW280</f>
        <v>13.08.2026</v>
      </c>
      <c r="AX280" s="149" t="s">
        <v>68</v>
      </c>
    </row>
    <row r="281" spans="1:50" ht="22.5" customHeight="1">
      <c r="A281" s="55" t="s">
        <v>222</v>
      </c>
      <c r="B281" s="42" t="s">
        <v>64</v>
      </c>
      <c r="C281" s="43">
        <v>4017060</v>
      </c>
      <c r="D281" s="56" t="s">
        <v>436</v>
      </c>
      <c r="E281" s="56" t="s">
        <v>441</v>
      </c>
      <c r="F281" s="45">
        <v>100</v>
      </c>
      <c r="G281" s="45"/>
      <c r="H281" s="45"/>
      <c r="I281" s="45"/>
      <c r="J281" s="46">
        <f>IF(VLOOKUP($C281,REV!$C:$AA,8,0)-'TRADE IN'!$F281=0,"",(VLOOKUP($C281,REV!$C:$AA,8,0)-'TRADE IN'!$F281))</f>
        <v>1699</v>
      </c>
      <c r="K281" s="46">
        <f>IF(VLOOKUP($C281,REV!$C:$AA,9,0)-'TRADE IN'!$F281=0,"",(VLOOKUP($C281,REV!$C:$AA,9,0)-'TRADE IN'!$F281))</f>
        <v>1499</v>
      </c>
      <c r="L281" s="46">
        <f>IF(VLOOKUP($C281,REV!$C:$AA,10,0)-'TRADE IN'!$F281=0,"",(VLOOKUP($C281,REV!$C:$AA,10,0)-'TRADE IN'!$F281))</f>
        <v>1499</v>
      </c>
      <c r="M281" s="46">
        <f>IF(VLOOKUP($C281,REV!$C:$AA,11,0)-'TRADE IN'!$F281=0,"",(VLOOKUP($C281,REV!$C:$AA,11,0)-'TRADE IN'!$F281))</f>
        <v>1699</v>
      </c>
      <c r="N281" s="46">
        <f>IF(VLOOKUP($C281,REV!$C:$AA,12,0)-'TRADE IN'!$F281=0,"",(VLOOKUP($C281,REV!$C:$AA,12,0)-'TRADE IN'!$F281))</f>
        <v>1499</v>
      </c>
      <c r="O281" s="46">
        <f>IF(VLOOKUP($C281,REV!$C:$AA,13,0)-'TRADE IN'!$F281=0,"",(VLOOKUP($C281,REV!$C:$AA,13,0)-'TRADE IN'!$F281))</f>
        <v>1449</v>
      </c>
      <c r="P281" s="46">
        <f>IF(VLOOKUP($C281,REV!$C:$AA,14,0)-'TRADE IN'!$F281=0,"",(VLOOKUP($C281,REV!$C:$AA,14,0)-'TRADE IN'!$F281))</f>
        <v>1399</v>
      </c>
      <c r="Q281" s="46">
        <f>IF(VLOOKUP($C281,REV!$C:$AA,15,0)-'TRADE IN'!$F281=0,"",(VLOOKUP($C281,REV!$C:$AA,15,0)-'TRADE IN'!$F281))</f>
        <v>1199</v>
      </c>
      <c r="R281" s="46">
        <f>IF(VLOOKUP($C281,REV!$C:$AA,16,0)-'TRADE IN'!$F281=0,"",(VLOOKUP($C281,REV!$C:$AA,16,0)-'TRADE IN'!$F281))</f>
        <v>1449</v>
      </c>
      <c r="S281" s="46">
        <f>IF(VLOOKUP($C281,REV!$C:$AA,17,0)-'TRADE IN'!$F281=0,"",(VLOOKUP($C281,REV!$C:$AA,17,0)-'TRADE IN'!$F281))</f>
        <v>1399</v>
      </c>
      <c r="T281" s="46">
        <f>IF(VLOOKUP($C281,REV!$C:$AA,18,0)-'TRADE IN'!$F281=0,"",(VLOOKUP($C281,REV!$C:$AA,18,0)-'TRADE IN'!$F281))</f>
        <v>1199</v>
      </c>
      <c r="U281" s="46">
        <f>IF(VLOOKUP($C281,REV!$C:$AA,19,0)-'TRADE IN'!$F281=0,"",(VLOOKUP($C281,REV!$C:$AA,19,0)-'TRADE IN'!$F281))</f>
        <v>1199</v>
      </c>
      <c r="V281" s="46">
        <f>IF(VLOOKUP($C281,REV!$C:$AA,20,0)-'TRADE IN'!$F281=0,"",(VLOOKUP($C281,REV!$C:$AA,20,0)-'TRADE IN'!$F281))</f>
        <v>1199</v>
      </c>
      <c r="W281" s="46">
        <f>IF(VLOOKUP($C281,REV!$C:$AA,21,0)-'TRADE IN'!$F281=0,"",(VLOOKUP($C281,REV!$C:$AA,21,0)-'TRADE IN'!$F281))</f>
        <v>1199</v>
      </c>
      <c r="X281" s="46">
        <f>IF(VLOOKUP($C281,REV!$C:$AA,22,0)-'TRADE IN'!$F281=0,"",(VLOOKUP($C281,REV!$C:$AA,22,0)-'TRADE IN'!$F281))</f>
        <v>1199</v>
      </c>
      <c r="Y281" s="46">
        <f>IF(VLOOKUP($C281,REV!$C:$AA,23,0)-'TRADE IN'!$F281=0,"",(VLOOKUP($C281,REV!$C:$AA,23,0)-'TRADE IN'!$F281))</f>
        <v>1199</v>
      </c>
      <c r="Z281" s="46">
        <f>IF(VLOOKUP($C281,REV!$C:$AA,24,0)-'TRADE IN'!$F281=0,"",(VLOOKUP($C281,REV!$C:$AA,24,0)-'TRADE IN'!$F281))</f>
        <v>1199</v>
      </c>
      <c r="AA281" s="46">
        <f>IF(VLOOKUP($C281,REV!$C:$AA,25,0)-'TRADE IN'!$F281=0,"",(VLOOKUP($C281,REV!$C:$AA,25,0)-'TRADE IN'!$F281))</f>
        <v>1199</v>
      </c>
      <c r="AB281" s="45"/>
      <c r="AC281" s="45"/>
      <c r="AD281" s="45"/>
      <c r="AE281" s="45"/>
      <c r="AF281" s="45"/>
      <c r="AG281" s="45"/>
      <c r="AH281" s="45"/>
      <c r="AI281" s="45"/>
      <c r="AJ281" s="45"/>
      <c r="AK281" s="45"/>
      <c r="AL281" s="45"/>
      <c r="AM281" s="45"/>
      <c r="AN281" s="45"/>
      <c r="AO281" s="45"/>
      <c r="AP281" s="45"/>
      <c r="AQ281" s="45"/>
      <c r="AR281" s="45"/>
      <c r="AS281" s="45"/>
      <c r="AT281" s="45"/>
      <c r="AU281" s="45"/>
      <c r="AV281" s="47"/>
      <c r="AW281" s="48" t="str">
        <f>REV!AW281</f>
        <v>13.08.2026</v>
      </c>
      <c r="AX281" s="149" t="s">
        <v>68</v>
      </c>
    </row>
    <row r="282" spans="1:50" ht="22.5" customHeight="1">
      <c r="A282" s="55" t="s">
        <v>222</v>
      </c>
      <c r="B282" s="42" t="s">
        <v>64</v>
      </c>
      <c r="C282" s="43">
        <v>4017856</v>
      </c>
      <c r="D282" s="57" t="s">
        <v>443</v>
      </c>
      <c r="E282" s="56" t="s">
        <v>444</v>
      </c>
      <c r="F282" s="54">
        <v>200</v>
      </c>
      <c r="G282" s="45"/>
      <c r="H282" s="45"/>
      <c r="I282" s="45"/>
      <c r="J282" s="46">
        <f>IF(VLOOKUP($C282,REV!$C:$AA,8,0)-'TRADE IN'!$F282=0,"",(VLOOKUP($C282,REV!$C:$AA,8,0)-'TRADE IN'!$F282))</f>
        <v>2099</v>
      </c>
      <c r="K282" s="46">
        <f>IF(VLOOKUP($C282,REV!$C:$AA,9,0)-'TRADE IN'!$F282=0,"",(VLOOKUP($C282,REV!$C:$AA,9,0)-'TRADE IN'!$F282))</f>
        <v>2099</v>
      </c>
      <c r="L282" s="46">
        <f>IF(VLOOKUP($C282,REV!$C:$AA,10,0)-'TRADE IN'!$F282=0,"",(VLOOKUP($C282,REV!$C:$AA,10,0)-'TRADE IN'!$F282))</f>
        <v>2099</v>
      </c>
      <c r="M282" s="46">
        <f>IF(VLOOKUP($C282,REV!$C:$AA,11,0)-'TRADE IN'!$F282=0,"",(VLOOKUP($C282,REV!$C:$AA,11,0)-'TRADE IN'!$F282))</f>
        <v>2099</v>
      </c>
      <c r="N282" s="46">
        <f>IF(VLOOKUP($C282,REV!$C:$AA,12,0)-'TRADE IN'!$F282=0,"",(VLOOKUP($C282,REV!$C:$AA,12,0)-'TRADE IN'!$F282))</f>
        <v>2099</v>
      </c>
      <c r="O282" s="46">
        <f>IF(VLOOKUP($C282,REV!$C:$AA,13,0)-'TRADE IN'!$F282=0,"",(VLOOKUP($C282,REV!$C:$AA,13,0)-'TRADE IN'!$F282))</f>
        <v>2049</v>
      </c>
      <c r="P282" s="46">
        <f>IF(VLOOKUP($C282,REV!$C:$AA,14,0)-'TRADE IN'!$F282=0,"",(VLOOKUP($C282,REV!$C:$AA,14,0)-'TRADE IN'!$F282))</f>
        <v>1999</v>
      </c>
      <c r="Q282" s="46">
        <f>IF(VLOOKUP($C282,REV!$C:$AA,15,0)-'TRADE IN'!$F282=0,"",(VLOOKUP($C282,REV!$C:$AA,15,0)-'TRADE IN'!$F282))</f>
        <v>1299</v>
      </c>
      <c r="R282" s="46">
        <f>IF(VLOOKUP($C282,REV!$C:$AA,16,0)-'TRADE IN'!$F282=0,"",(VLOOKUP($C282,REV!$C:$AA,16,0)-'TRADE IN'!$F282))</f>
        <v>2049</v>
      </c>
      <c r="S282" s="46">
        <f>IF(VLOOKUP($C282,REV!$C:$AA,17,0)-'TRADE IN'!$F282=0,"",(VLOOKUP($C282,REV!$C:$AA,17,0)-'TRADE IN'!$F282))</f>
        <v>1999</v>
      </c>
      <c r="T282" s="46">
        <f>IF(VLOOKUP($C282,REV!$C:$AA,18,0)-'TRADE IN'!$F282=0,"",(VLOOKUP($C282,REV!$C:$AA,18,0)-'TRADE IN'!$F282))</f>
        <v>1299</v>
      </c>
      <c r="U282" s="46">
        <f>IF(VLOOKUP($C282,REV!$C:$AA,19,0)-'TRADE IN'!$F282=0,"",(VLOOKUP($C282,REV!$C:$AA,19,0)-'TRADE IN'!$F282))</f>
        <v>1299</v>
      </c>
      <c r="V282" s="46">
        <f>IF(VLOOKUP($C282,REV!$C:$AA,20,0)-'TRADE IN'!$F282=0,"",(VLOOKUP($C282,REV!$C:$AA,20,0)-'TRADE IN'!$F282))</f>
        <v>1299</v>
      </c>
      <c r="W282" s="46">
        <f>IF(VLOOKUP($C282,REV!$C:$AA,21,0)-'TRADE IN'!$F282=0,"",(VLOOKUP($C282,REV!$C:$AA,21,0)-'TRADE IN'!$F282))</f>
        <v>1299</v>
      </c>
      <c r="X282" s="46">
        <f>IF(VLOOKUP($C282,REV!$C:$AA,22,0)-'TRADE IN'!$F282=0,"",(VLOOKUP($C282,REV!$C:$AA,22,0)-'TRADE IN'!$F282))</f>
        <v>1249</v>
      </c>
      <c r="Y282" s="46">
        <f>IF(VLOOKUP($C282,REV!$C:$AA,23,0)-'TRADE IN'!$F282=0,"",(VLOOKUP($C282,REV!$C:$AA,23,0)-'TRADE IN'!$F282))</f>
        <v>1199</v>
      </c>
      <c r="Z282" s="46">
        <f>IF(VLOOKUP($C282,REV!$C:$AA,24,0)-'TRADE IN'!$F282=0,"",(VLOOKUP($C282,REV!$C:$AA,24,0)-'TRADE IN'!$F282))</f>
        <v>1199</v>
      </c>
      <c r="AA282" s="46">
        <f>IF(VLOOKUP($C282,REV!$C:$AA,25,0)-'TRADE IN'!$F282=0,"",(VLOOKUP($C282,REV!$C:$AA,25,0)-'TRADE IN'!$F282))</f>
        <v>1199</v>
      </c>
      <c r="AB282" s="45">
        <f>IF(VLOOKUP($C282,REV!$C:$AL,27,0)-'TRADE IN'!$F282=0,"",(VLOOKUP($C282,REV!$C:$AL,27,0)-'TRADE IN'!$F282))</f>
        <v>2099</v>
      </c>
      <c r="AC282" s="45">
        <f>IF(VLOOKUP($C282,REV!$C:$AL,28,0)-'TRADE IN'!$F282=0,"",(VLOOKUP($C282,REV!$C:$AL,28,0)-'TRADE IN'!$F282))</f>
        <v>2099</v>
      </c>
      <c r="AD282" s="45">
        <f>IF(VLOOKUP($C282,REV!$C:$AL,29,0)-'TRADE IN'!$F282=0,"",(VLOOKUP($C282,REV!$C:$AL,29,0)-'TRADE IN'!$F282))</f>
        <v>2049</v>
      </c>
      <c r="AE282" s="45">
        <f>IF(VLOOKUP($C282,REV!$C:$AL,30,0)-'TRADE IN'!$F282=0,"",(VLOOKUP($C282,REV!$C:$AL,30,0)-'TRADE IN'!$F282))</f>
        <v>1999</v>
      </c>
      <c r="AF282" s="45">
        <f>IF(VLOOKUP($C282,REV!$C:$AL,31,0)-'TRADE IN'!$F282=0,"",(VLOOKUP($C282,REV!$C:$AL,31,0)-'TRADE IN'!$F282))</f>
        <v>1999</v>
      </c>
      <c r="AG282" s="45">
        <f>IF(VLOOKUP($C282,REV!$C:$AL,31,0)-'TRADE IN'!$F282=0,"",(VLOOKUP($C282,REV!$C:$AL,31,0)-'TRADE IN'!$F282))</f>
        <v>1999</v>
      </c>
      <c r="AH282" s="45">
        <f>IF(VLOOKUP($C282,REV!$C:$AL,32,0)-'TRADE IN'!$F282=0,"",(VLOOKUP($C282,REV!$C:$AL,32,0)-'TRADE IN'!$F282))</f>
        <v>1299</v>
      </c>
      <c r="AI282" s="45">
        <f>IF(VLOOKUP($C282,REV!$C:$AL,33,0)-'TRADE IN'!$F282=0,"",(VLOOKUP($C282,REV!$C:$AL,33,0)-'TRADE IN'!$F282))</f>
        <v>1299</v>
      </c>
      <c r="AJ282" s="45">
        <f>IF(VLOOKUP($C282,REV!$C:$AL,34,0)-'TRADE IN'!$F282=0,"",(VLOOKUP($C282,REV!$C:$AL,34,0)-'TRADE IN'!$F282))</f>
        <v>1299</v>
      </c>
      <c r="AK282" s="45">
        <f>IF(VLOOKUP($C282,REV!$C:$AL,35,0)-'TRADE IN'!$F282=0,"",(VLOOKUP($C282,REV!$C:$AL,35,0)-'TRADE IN'!$F282))</f>
        <v>1299</v>
      </c>
      <c r="AL282" s="45">
        <f>IF(VLOOKUP($C282,REV!$C:$AL,36,0)-'TRADE IN'!$F282=0,"",(VLOOKUP($C282,REV!$C:$AL,36,0)-'TRADE IN'!$F282))</f>
        <v>1199</v>
      </c>
      <c r="AM282" s="45"/>
      <c r="AN282" s="45"/>
      <c r="AO282" s="45"/>
      <c r="AP282" s="45"/>
      <c r="AQ282" s="45"/>
      <c r="AR282" s="45"/>
      <c r="AS282" s="45"/>
      <c r="AT282" s="45"/>
      <c r="AU282" s="45"/>
      <c r="AV282" s="47"/>
      <c r="AW282" s="48" t="str">
        <f>REV!AW282</f>
        <v>13.08.2026</v>
      </c>
      <c r="AX282" s="149" t="s">
        <v>68</v>
      </c>
    </row>
    <row r="283" spans="1:50" ht="22.5" customHeight="1">
      <c r="A283" s="55" t="s">
        <v>222</v>
      </c>
      <c r="B283" s="42" t="s">
        <v>64</v>
      </c>
      <c r="C283" s="43">
        <v>4017873</v>
      </c>
      <c r="D283" s="57" t="s">
        <v>443</v>
      </c>
      <c r="E283" s="56" t="s">
        <v>445</v>
      </c>
      <c r="F283" s="54">
        <v>200</v>
      </c>
      <c r="G283" s="45"/>
      <c r="H283" s="45"/>
      <c r="I283" s="45"/>
      <c r="J283" s="46">
        <f>IF(VLOOKUP($C283,REV!$C:$AA,8,0)-'TRADE IN'!$F283=0,"",(VLOOKUP($C283,REV!$C:$AA,8,0)-'TRADE IN'!$F283))</f>
        <v>2099</v>
      </c>
      <c r="K283" s="46">
        <f>IF(VLOOKUP($C283,REV!$C:$AA,9,0)-'TRADE IN'!$F283=0,"",(VLOOKUP($C283,REV!$C:$AA,9,0)-'TRADE IN'!$F283))</f>
        <v>2099</v>
      </c>
      <c r="L283" s="46">
        <f>IF(VLOOKUP($C283,REV!$C:$AA,10,0)-'TRADE IN'!$F283=0,"",(VLOOKUP($C283,REV!$C:$AA,10,0)-'TRADE IN'!$F283))</f>
        <v>2099</v>
      </c>
      <c r="M283" s="46">
        <f>IF(VLOOKUP($C283,REV!$C:$AA,11,0)-'TRADE IN'!$F283=0,"",(VLOOKUP($C283,REV!$C:$AA,11,0)-'TRADE IN'!$F283))</f>
        <v>2099</v>
      </c>
      <c r="N283" s="46">
        <f>IF(VLOOKUP($C283,REV!$C:$AA,12,0)-'TRADE IN'!$F283=0,"",(VLOOKUP($C283,REV!$C:$AA,12,0)-'TRADE IN'!$F283))</f>
        <v>2099</v>
      </c>
      <c r="O283" s="46">
        <f>IF(VLOOKUP($C283,REV!$C:$AA,13,0)-'TRADE IN'!$F283=0,"",(VLOOKUP($C283,REV!$C:$AA,13,0)-'TRADE IN'!$F283))</f>
        <v>2049</v>
      </c>
      <c r="P283" s="46">
        <f>IF(VLOOKUP($C283,REV!$C:$AA,14,0)-'TRADE IN'!$F283=0,"",(VLOOKUP($C283,REV!$C:$AA,14,0)-'TRADE IN'!$F283))</f>
        <v>1999</v>
      </c>
      <c r="Q283" s="46">
        <f>IF(VLOOKUP($C283,REV!$C:$AA,15,0)-'TRADE IN'!$F283=0,"",(VLOOKUP($C283,REV!$C:$AA,15,0)-'TRADE IN'!$F283))</f>
        <v>1299</v>
      </c>
      <c r="R283" s="46">
        <f>IF(VLOOKUP($C283,REV!$C:$AA,16,0)-'TRADE IN'!$F283=0,"",(VLOOKUP($C283,REV!$C:$AA,16,0)-'TRADE IN'!$F283))</f>
        <v>2049</v>
      </c>
      <c r="S283" s="46">
        <f>IF(VLOOKUP($C283,REV!$C:$AA,17,0)-'TRADE IN'!$F283=0,"",(VLOOKUP($C283,REV!$C:$AA,17,0)-'TRADE IN'!$F283))</f>
        <v>1999</v>
      </c>
      <c r="T283" s="46">
        <f>IF(VLOOKUP($C283,REV!$C:$AA,18,0)-'TRADE IN'!$F283=0,"",(VLOOKUP($C283,REV!$C:$AA,18,0)-'TRADE IN'!$F283))</f>
        <v>1299</v>
      </c>
      <c r="U283" s="46">
        <f>IF(VLOOKUP($C283,REV!$C:$AA,19,0)-'TRADE IN'!$F283=0,"",(VLOOKUP($C283,REV!$C:$AA,19,0)-'TRADE IN'!$F283))</f>
        <v>1299</v>
      </c>
      <c r="V283" s="46">
        <f>IF(VLOOKUP($C283,REV!$C:$AA,20,0)-'TRADE IN'!$F283=0,"",(VLOOKUP($C283,REV!$C:$AA,20,0)-'TRADE IN'!$F283))</f>
        <v>1299</v>
      </c>
      <c r="W283" s="46">
        <f>IF(VLOOKUP($C283,REV!$C:$AA,21,0)-'TRADE IN'!$F283=0,"",(VLOOKUP($C283,REV!$C:$AA,21,0)-'TRADE IN'!$F283))</f>
        <v>1299</v>
      </c>
      <c r="X283" s="46">
        <f>IF(VLOOKUP($C283,REV!$C:$AA,22,0)-'TRADE IN'!$F283=0,"",(VLOOKUP($C283,REV!$C:$AA,22,0)-'TRADE IN'!$F283))</f>
        <v>1249</v>
      </c>
      <c r="Y283" s="46">
        <f>IF(VLOOKUP($C283,REV!$C:$AA,23,0)-'TRADE IN'!$F283=0,"",(VLOOKUP($C283,REV!$C:$AA,23,0)-'TRADE IN'!$F283))</f>
        <v>1199</v>
      </c>
      <c r="Z283" s="46">
        <f>IF(VLOOKUP($C283,REV!$C:$AA,24,0)-'TRADE IN'!$F283=0,"",(VLOOKUP($C283,REV!$C:$AA,24,0)-'TRADE IN'!$F283))</f>
        <v>1199</v>
      </c>
      <c r="AA283" s="46">
        <f>IF(VLOOKUP($C283,REV!$C:$AA,25,0)-'TRADE IN'!$F283=0,"",(VLOOKUP($C283,REV!$C:$AA,25,0)-'TRADE IN'!$F283))</f>
        <v>1199</v>
      </c>
      <c r="AB283" s="45">
        <f>IF(VLOOKUP($C283,REV!$C:$AL,27,0)-'TRADE IN'!$F283=0,"",(VLOOKUP($C283,REV!$C:$AL,27,0)-'TRADE IN'!$F283))</f>
        <v>2099</v>
      </c>
      <c r="AC283" s="45">
        <f>IF(VLOOKUP($C283,REV!$C:$AL,28,0)-'TRADE IN'!$F283=0,"",(VLOOKUP($C283,REV!$C:$AL,28,0)-'TRADE IN'!$F283))</f>
        <v>2099</v>
      </c>
      <c r="AD283" s="45">
        <f>IF(VLOOKUP($C283,REV!$C:$AL,29,0)-'TRADE IN'!$F283=0,"",(VLOOKUP($C283,REV!$C:$AL,29,0)-'TRADE IN'!$F283))</f>
        <v>2049</v>
      </c>
      <c r="AE283" s="45">
        <f>IF(VLOOKUP($C283,REV!$C:$AL,30,0)-'TRADE IN'!$F283=0,"",(VLOOKUP($C283,REV!$C:$AL,30,0)-'TRADE IN'!$F283))</f>
        <v>1999</v>
      </c>
      <c r="AF283" s="45">
        <f>IF(VLOOKUP($C283,REV!$C:$AL,31,0)-'TRADE IN'!$F283=0,"",(VLOOKUP($C283,REV!$C:$AL,31,0)-'TRADE IN'!$F283))</f>
        <v>1999</v>
      </c>
      <c r="AG283" s="45">
        <f>IF(VLOOKUP($C283,REV!$C:$AL,31,0)-'TRADE IN'!$F283=0,"",(VLOOKUP($C283,REV!$C:$AL,31,0)-'TRADE IN'!$F283))</f>
        <v>1999</v>
      </c>
      <c r="AH283" s="45">
        <f>IF(VLOOKUP($C283,REV!$C:$AL,32,0)-'TRADE IN'!$F283=0,"",(VLOOKUP($C283,REV!$C:$AL,32,0)-'TRADE IN'!$F283))</f>
        <v>1299</v>
      </c>
      <c r="AI283" s="45">
        <f>IF(VLOOKUP($C283,REV!$C:$AL,33,0)-'TRADE IN'!$F283=0,"",(VLOOKUP($C283,REV!$C:$AL,33,0)-'TRADE IN'!$F283))</f>
        <v>1299</v>
      </c>
      <c r="AJ283" s="45">
        <f>IF(VLOOKUP($C283,REV!$C:$AL,34,0)-'TRADE IN'!$F283=0,"",(VLOOKUP($C283,REV!$C:$AL,34,0)-'TRADE IN'!$F283))</f>
        <v>1299</v>
      </c>
      <c r="AK283" s="45">
        <f>IF(VLOOKUP($C283,REV!$C:$AL,35,0)-'TRADE IN'!$F283=0,"",(VLOOKUP($C283,REV!$C:$AL,35,0)-'TRADE IN'!$F283))</f>
        <v>1299</v>
      </c>
      <c r="AL283" s="45">
        <f>IF(VLOOKUP($C283,REV!$C:$AL,36,0)-'TRADE IN'!$F283=0,"",(VLOOKUP($C283,REV!$C:$AL,36,0)-'TRADE IN'!$F283))</f>
        <v>1199</v>
      </c>
      <c r="AM283" s="45"/>
      <c r="AN283" s="45"/>
      <c r="AO283" s="45"/>
      <c r="AP283" s="45"/>
      <c r="AQ283" s="45"/>
      <c r="AR283" s="45"/>
      <c r="AS283" s="45"/>
      <c r="AT283" s="45"/>
      <c r="AU283" s="45"/>
      <c r="AV283" s="47"/>
      <c r="AW283" s="48" t="str">
        <f>REV!AW283</f>
        <v>13.08.2026</v>
      </c>
      <c r="AX283" s="149" t="s">
        <v>68</v>
      </c>
    </row>
    <row r="284" spans="1:50" ht="22.5" customHeight="1">
      <c r="A284" s="55" t="s">
        <v>222</v>
      </c>
      <c r="B284" s="42" t="s">
        <v>64</v>
      </c>
      <c r="C284" s="43">
        <v>4017838</v>
      </c>
      <c r="D284" s="57" t="s">
        <v>443</v>
      </c>
      <c r="E284" s="56" t="s">
        <v>446</v>
      </c>
      <c r="F284" s="54">
        <v>200</v>
      </c>
      <c r="G284" s="45"/>
      <c r="H284" s="45"/>
      <c r="I284" s="45"/>
      <c r="J284" s="46">
        <f>IF(VLOOKUP($C284,REV!$C:$AA,8,0)-'TRADE IN'!$F284=0,"",(VLOOKUP($C284,REV!$C:$AA,8,0)-'TRADE IN'!$F284))</f>
        <v>2099</v>
      </c>
      <c r="K284" s="46">
        <f>IF(VLOOKUP($C284,REV!$C:$AA,9,0)-'TRADE IN'!$F284=0,"",(VLOOKUP($C284,REV!$C:$AA,9,0)-'TRADE IN'!$F284))</f>
        <v>2099</v>
      </c>
      <c r="L284" s="46">
        <f>IF(VLOOKUP($C284,REV!$C:$AA,10,0)-'TRADE IN'!$F284=0,"",(VLOOKUP($C284,REV!$C:$AA,10,0)-'TRADE IN'!$F284))</f>
        <v>2099</v>
      </c>
      <c r="M284" s="46">
        <f>IF(VLOOKUP($C284,REV!$C:$AA,11,0)-'TRADE IN'!$F284=0,"",(VLOOKUP($C284,REV!$C:$AA,11,0)-'TRADE IN'!$F284))</f>
        <v>2099</v>
      </c>
      <c r="N284" s="46">
        <f>IF(VLOOKUP($C284,REV!$C:$AA,12,0)-'TRADE IN'!$F284=0,"",(VLOOKUP($C284,REV!$C:$AA,12,0)-'TRADE IN'!$F284))</f>
        <v>2099</v>
      </c>
      <c r="O284" s="46">
        <f>IF(VLOOKUP($C284,REV!$C:$AA,13,0)-'TRADE IN'!$F284=0,"",(VLOOKUP($C284,REV!$C:$AA,13,0)-'TRADE IN'!$F284))</f>
        <v>2049</v>
      </c>
      <c r="P284" s="46">
        <f>IF(VLOOKUP($C284,REV!$C:$AA,14,0)-'TRADE IN'!$F284=0,"",(VLOOKUP($C284,REV!$C:$AA,14,0)-'TRADE IN'!$F284))</f>
        <v>1999</v>
      </c>
      <c r="Q284" s="46">
        <f>IF(VLOOKUP($C284,REV!$C:$AA,15,0)-'TRADE IN'!$F284=0,"",(VLOOKUP($C284,REV!$C:$AA,15,0)-'TRADE IN'!$F284))</f>
        <v>1299</v>
      </c>
      <c r="R284" s="46">
        <f>IF(VLOOKUP($C284,REV!$C:$AA,16,0)-'TRADE IN'!$F284=0,"",(VLOOKUP($C284,REV!$C:$AA,16,0)-'TRADE IN'!$F284))</f>
        <v>2049</v>
      </c>
      <c r="S284" s="46">
        <f>IF(VLOOKUP($C284,REV!$C:$AA,17,0)-'TRADE IN'!$F284=0,"",(VLOOKUP($C284,REV!$C:$AA,17,0)-'TRADE IN'!$F284))</f>
        <v>1999</v>
      </c>
      <c r="T284" s="46">
        <f>IF(VLOOKUP($C284,REV!$C:$AA,18,0)-'TRADE IN'!$F284=0,"",(VLOOKUP($C284,REV!$C:$AA,18,0)-'TRADE IN'!$F284))</f>
        <v>1299</v>
      </c>
      <c r="U284" s="46">
        <f>IF(VLOOKUP($C284,REV!$C:$AA,19,0)-'TRADE IN'!$F284=0,"",(VLOOKUP($C284,REV!$C:$AA,19,0)-'TRADE IN'!$F284))</f>
        <v>1299</v>
      </c>
      <c r="V284" s="46">
        <f>IF(VLOOKUP($C284,REV!$C:$AA,20,0)-'TRADE IN'!$F284=0,"",(VLOOKUP($C284,REV!$C:$AA,20,0)-'TRADE IN'!$F284))</f>
        <v>1299</v>
      </c>
      <c r="W284" s="46">
        <f>IF(VLOOKUP($C284,REV!$C:$AA,21,0)-'TRADE IN'!$F284=0,"",(VLOOKUP($C284,REV!$C:$AA,21,0)-'TRADE IN'!$F284))</f>
        <v>1299</v>
      </c>
      <c r="X284" s="46">
        <f>IF(VLOOKUP($C284,REV!$C:$AA,22,0)-'TRADE IN'!$F284=0,"",(VLOOKUP($C284,REV!$C:$AA,22,0)-'TRADE IN'!$F284))</f>
        <v>1249</v>
      </c>
      <c r="Y284" s="46">
        <f>IF(VLOOKUP($C284,REV!$C:$AA,23,0)-'TRADE IN'!$F284=0,"",(VLOOKUP($C284,REV!$C:$AA,23,0)-'TRADE IN'!$F284))</f>
        <v>1199</v>
      </c>
      <c r="Z284" s="46">
        <f>IF(VLOOKUP($C284,REV!$C:$AA,24,0)-'TRADE IN'!$F284=0,"",(VLOOKUP($C284,REV!$C:$AA,24,0)-'TRADE IN'!$F284))</f>
        <v>1199</v>
      </c>
      <c r="AA284" s="46">
        <f>IF(VLOOKUP($C284,REV!$C:$AA,25,0)-'TRADE IN'!$F284=0,"",(VLOOKUP($C284,REV!$C:$AA,25,0)-'TRADE IN'!$F284))</f>
        <v>1199</v>
      </c>
      <c r="AB284" s="45">
        <f>IF(VLOOKUP($C284,REV!$C:$AL,27,0)-'TRADE IN'!$F284=0,"",(VLOOKUP($C284,REV!$C:$AL,27,0)-'TRADE IN'!$F284))</f>
        <v>2099</v>
      </c>
      <c r="AC284" s="45">
        <f>IF(VLOOKUP($C284,REV!$C:$AL,28,0)-'TRADE IN'!$F284=0,"",(VLOOKUP($C284,REV!$C:$AL,28,0)-'TRADE IN'!$F284))</f>
        <v>2099</v>
      </c>
      <c r="AD284" s="45">
        <f>IF(VLOOKUP($C284,REV!$C:$AL,29,0)-'TRADE IN'!$F284=0,"",(VLOOKUP($C284,REV!$C:$AL,29,0)-'TRADE IN'!$F284))</f>
        <v>2049</v>
      </c>
      <c r="AE284" s="45">
        <f>IF(VLOOKUP($C284,REV!$C:$AL,30,0)-'TRADE IN'!$F284=0,"",(VLOOKUP($C284,REV!$C:$AL,30,0)-'TRADE IN'!$F284))</f>
        <v>1999</v>
      </c>
      <c r="AF284" s="45">
        <f>IF(VLOOKUP($C284,REV!$C:$AL,31,0)-'TRADE IN'!$F284=0,"",(VLOOKUP($C284,REV!$C:$AL,31,0)-'TRADE IN'!$F284))</f>
        <v>1999</v>
      </c>
      <c r="AG284" s="45">
        <f>IF(VLOOKUP($C284,REV!$C:$AL,31,0)-'TRADE IN'!$F284=0,"",(VLOOKUP($C284,REV!$C:$AL,31,0)-'TRADE IN'!$F284))</f>
        <v>1999</v>
      </c>
      <c r="AH284" s="45">
        <f>IF(VLOOKUP($C284,REV!$C:$AL,32,0)-'TRADE IN'!$F284=0,"",(VLOOKUP($C284,REV!$C:$AL,32,0)-'TRADE IN'!$F284))</f>
        <v>1299</v>
      </c>
      <c r="AI284" s="45">
        <f>IF(VLOOKUP($C284,REV!$C:$AL,33,0)-'TRADE IN'!$F284=0,"",(VLOOKUP($C284,REV!$C:$AL,33,0)-'TRADE IN'!$F284))</f>
        <v>1299</v>
      </c>
      <c r="AJ284" s="45">
        <f>IF(VLOOKUP($C284,REV!$C:$AL,34,0)-'TRADE IN'!$F284=0,"",(VLOOKUP($C284,REV!$C:$AL,34,0)-'TRADE IN'!$F284))</f>
        <v>1299</v>
      </c>
      <c r="AK284" s="45">
        <f>IF(VLOOKUP($C284,REV!$C:$AL,35,0)-'TRADE IN'!$F284=0,"",(VLOOKUP($C284,REV!$C:$AL,35,0)-'TRADE IN'!$F284))</f>
        <v>1299</v>
      </c>
      <c r="AL284" s="45">
        <f>IF(VLOOKUP($C284,REV!$C:$AL,36,0)-'TRADE IN'!$F284=0,"",(VLOOKUP($C284,REV!$C:$AL,36,0)-'TRADE IN'!$F284))</f>
        <v>1199</v>
      </c>
      <c r="AM284" s="45"/>
      <c r="AN284" s="45"/>
      <c r="AO284" s="45"/>
      <c r="AP284" s="45"/>
      <c r="AQ284" s="45"/>
      <c r="AR284" s="45"/>
      <c r="AS284" s="45"/>
      <c r="AT284" s="45"/>
      <c r="AU284" s="45"/>
      <c r="AV284" s="47"/>
      <c r="AW284" s="48" t="str">
        <f>REV!AW284</f>
        <v>13.08.2026</v>
      </c>
      <c r="AX284" s="149" t="s">
        <v>68</v>
      </c>
    </row>
    <row r="285" spans="1:50" ht="22.5" customHeight="1">
      <c r="A285" s="55" t="s">
        <v>222</v>
      </c>
      <c r="B285" s="42" t="s">
        <v>64</v>
      </c>
      <c r="C285" s="43">
        <v>4017854</v>
      </c>
      <c r="D285" s="57" t="s">
        <v>443</v>
      </c>
      <c r="E285" s="56" t="s">
        <v>447</v>
      </c>
      <c r="F285" s="54">
        <v>200</v>
      </c>
      <c r="G285" s="45"/>
      <c r="H285" s="45"/>
      <c r="I285" s="45"/>
      <c r="J285" s="46">
        <f>IF(VLOOKUP($C285,REV!$C:$AA,8,0)-'TRADE IN'!$F285=0,"",(VLOOKUP($C285,REV!$C:$AA,8,0)-'TRADE IN'!$F285))</f>
        <v>2099</v>
      </c>
      <c r="K285" s="46">
        <f>IF(VLOOKUP($C285,REV!$C:$AA,9,0)-'TRADE IN'!$F285=0,"",(VLOOKUP($C285,REV!$C:$AA,9,0)-'TRADE IN'!$F285))</f>
        <v>2099</v>
      </c>
      <c r="L285" s="46">
        <f>IF(VLOOKUP($C285,REV!$C:$AA,10,0)-'TRADE IN'!$F285=0,"",(VLOOKUP($C285,REV!$C:$AA,10,0)-'TRADE IN'!$F285))</f>
        <v>2099</v>
      </c>
      <c r="M285" s="46">
        <f>IF(VLOOKUP($C285,REV!$C:$AA,11,0)-'TRADE IN'!$F285=0,"",(VLOOKUP($C285,REV!$C:$AA,11,0)-'TRADE IN'!$F285))</f>
        <v>2099</v>
      </c>
      <c r="N285" s="46">
        <f>IF(VLOOKUP($C285,REV!$C:$AA,12,0)-'TRADE IN'!$F285=0,"",(VLOOKUP($C285,REV!$C:$AA,12,0)-'TRADE IN'!$F285))</f>
        <v>2099</v>
      </c>
      <c r="O285" s="46">
        <f>IF(VLOOKUP($C285,REV!$C:$AA,13,0)-'TRADE IN'!$F285=0,"",(VLOOKUP($C285,REV!$C:$AA,13,0)-'TRADE IN'!$F285))</f>
        <v>2049</v>
      </c>
      <c r="P285" s="46">
        <f>IF(VLOOKUP($C285,REV!$C:$AA,14,0)-'TRADE IN'!$F285=0,"",(VLOOKUP($C285,REV!$C:$AA,14,0)-'TRADE IN'!$F285))</f>
        <v>1999</v>
      </c>
      <c r="Q285" s="46">
        <f>IF(VLOOKUP($C285,REV!$C:$AA,15,0)-'TRADE IN'!$F285=0,"",(VLOOKUP($C285,REV!$C:$AA,15,0)-'TRADE IN'!$F285))</f>
        <v>1299</v>
      </c>
      <c r="R285" s="46">
        <f>IF(VLOOKUP($C285,REV!$C:$AA,16,0)-'TRADE IN'!$F285=0,"",(VLOOKUP($C285,REV!$C:$AA,16,0)-'TRADE IN'!$F285))</f>
        <v>2049</v>
      </c>
      <c r="S285" s="46">
        <f>IF(VLOOKUP($C285,REV!$C:$AA,17,0)-'TRADE IN'!$F285=0,"",(VLOOKUP($C285,REV!$C:$AA,17,0)-'TRADE IN'!$F285))</f>
        <v>1999</v>
      </c>
      <c r="T285" s="46">
        <f>IF(VLOOKUP($C285,REV!$C:$AA,18,0)-'TRADE IN'!$F285=0,"",(VLOOKUP($C285,REV!$C:$AA,18,0)-'TRADE IN'!$F285))</f>
        <v>1299</v>
      </c>
      <c r="U285" s="46">
        <f>IF(VLOOKUP($C285,REV!$C:$AA,19,0)-'TRADE IN'!$F285=0,"",(VLOOKUP($C285,REV!$C:$AA,19,0)-'TRADE IN'!$F285))</f>
        <v>1299</v>
      </c>
      <c r="V285" s="46">
        <f>IF(VLOOKUP($C285,REV!$C:$AA,20,0)-'TRADE IN'!$F285=0,"",(VLOOKUP($C285,REV!$C:$AA,20,0)-'TRADE IN'!$F285))</f>
        <v>1299</v>
      </c>
      <c r="W285" s="46">
        <f>IF(VLOOKUP($C285,REV!$C:$AA,21,0)-'TRADE IN'!$F285=0,"",(VLOOKUP($C285,REV!$C:$AA,21,0)-'TRADE IN'!$F285))</f>
        <v>1299</v>
      </c>
      <c r="X285" s="46">
        <f>IF(VLOOKUP($C285,REV!$C:$AA,22,0)-'TRADE IN'!$F285=0,"",(VLOOKUP($C285,REV!$C:$AA,22,0)-'TRADE IN'!$F285))</f>
        <v>1249</v>
      </c>
      <c r="Y285" s="46">
        <f>IF(VLOOKUP($C285,REV!$C:$AA,23,0)-'TRADE IN'!$F285=0,"",(VLOOKUP($C285,REV!$C:$AA,23,0)-'TRADE IN'!$F285))</f>
        <v>1199</v>
      </c>
      <c r="Z285" s="46">
        <f>IF(VLOOKUP($C285,REV!$C:$AA,24,0)-'TRADE IN'!$F285=0,"",(VLOOKUP($C285,REV!$C:$AA,24,0)-'TRADE IN'!$F285))</f>
        <v>1199</v>
      </c>
      <c r="AA285" s="46">
        <f>IF(VLOOKUP($C285,REV!$C:$AA,25,0)-'TRADE IN'!$F285=0,"",(VLOOKUP($C285,REV!$C:$AA,25,0)-'TRADE IN'!$F285))</f>
        <v>1199</v>
      </c>
      <c r="AB285" s="45">
        <f>IF(VLOOKUP($C285,REV!$C:$AL,27,0)-'TRADE IN'!$F285=0,"",(VLOOKUP($C285,REV!$C:$AL,27,0)-'TRADE IN'!$F285))</f>
        <v>2099</v>
      </c>
      <c r="AC285" s="45">
        <f>IF(VLOOKUP($C285,REV!$C:$AL,28,0)-'TRADE IN'!$F285=0,"",(VLOOKUP($C285,REV!$C:$AL,28,0)-'TRADE IN'!$F285))</f>
        <v>2099</v>
      </c>
      <c r="AD285" s="45">
        <f>IF(VLOOKUP($C285,REV!$C:$AL,29,0)-'TRADE IN'!$F285=0,"",(VLOOKUP($C285,REV!$C:$AL,29,0)-'TRADE IN'!$F285))</f>
        <v>2049</v>
      </c>
      <c r="AE285" s="45">
        <f>IF(VLOOKUP($C285,REV!$C:$AL,30,0)-'TRADE IN'!$F285=0,"",(VLOOKUP($C285,REV!$C:$AL,30,0)-'TRADE IN'!$F285))</f>
        <v>1999</v>
      </c>
      <c r="AF285" s="45">
        <f>IF(VLOOKUP($C285,REV!$C:$AL,31,0)-'TRADE IN'!$F285=0,"",(VLOOKUP($C285,REV!$C:$AL,31,0)-'TRADE IN'!$F285))</f>
        <v>1999</v>
      </c>
      <c r="AG285" s="45">
        <f>IF(VLOOKUP($C285,REV!$C:$AL,31,0)-'TRADE IN'!$F285=0,"",(VLOOKUP($C285,REV!$C:$AL,31,0)-'TRADE IN'!$F285))</f>
        <v>1999</v>
      </c>
      <c r="AH285" s="45">
        <f>IF(VLOOKUP($C285,REV!$C:$AL,32,0)-'TRADE IN'!$F285=0,"",(VLOOKUP($C285,REV!$C:$AL,32,0)-'TRADE IN'!$F285))</f>
        <v>1299</v>
      </c>
      <c r="AI285" s="45">
        <f>IF(VLOOKUP($C285,REV!$C:$AL,33,0)-'TRADE IN'!$F285=0,"",(VLOOKUP($C285,REV!$C:$AL,33,0)-'TRADE IN'!$F285))</f>
        <v>1299</v>
      </c>
      <c r="AJ285" s="45">
        <f>IF(VLOOKUP($C285,REV!$C:$AL,34,0)-'TRADE IN'!$F285=0,"",(VLOOKUP($C285,REV!$C:$AL,34,0)-'TRADE IN'!$F285))</f>
        <v>1299</v>
      </c>
      <c r="AK285" s="45">
        <f>IF(VLOOKUP($C285,REV!$C:$AL,35,0)-'TRADE IN'!$F285=0,"",(VLOOKUP($C285,REV!$C:$AL,35,0)-'TRADE IN'!$F285))</f>
        <v>1299</v>
      </c>
      <c r="AL285" s="45">
        <f>IF(VLOOKUP($C285,REV!$C:$AL,36,0)-'TRADE IN'!$F285=0,"",(VLOOKUP($C285,REV!$C:$AL,36,0)-'TRADE IN'!$F285))</f>
        <v>1199</v>
      </c>
      <c r="AM285" s="45"/>
      <c r="AN285" s="45"/>
      <c r="AO285" s="45"/>
      <c r="AP285" s="45"/>
      <c r="AQ285" s="45"/>
      <c r="AR285" s="45"/>
      <c r="AS285" s="45"/>
      <c r="AT285" s="45"/>
      <c r="AU285" s="45"/>
      <c r="AV285" s="47"/>
      <c r="AW285" s="48" t="str">
        <f>REV!AW285</f>
        <v>13.08.2026</v>
      </c>
      <c r="AX285" s="149" t="s">
        <v>68</v>
      </c>
    </row>
    <row r="286" spans="1:50" ht="22.5" customHeight="1">
      <c r="A286" s="55" t="s">
        <v>222</v>
      </c>
      <c r="B286" s="42" t="s">
        <v>64</v>
      </c>
      <c r="C286" s="43">
        <v>4017850</v>
      </c>
      <c r="D286" s="57" t="s">
        <v>443</v>
      </c>
      <c r="E286" s="56" t="s">
        <v>448</v>
      </c>
      <c r="F286" s="54">
        <v>200</v>
      </c>
      <c r="G286" s="45"/>
      <c r="H286" s="45"/>
      <c r="I286" s="45"/>
      <c r="J286" s="46">
        <f>IF(VLOOKUP($C286,REV!$C:$AA,8,0)-'TRADE IN'!$F286=0,"",(VLOOKUP($C286,REV!$C:$AA,8,0)-'TRADE IN'!$F286))</f>
        <v>2099</v>
      </c>
      <c r="K286" s="46">
        <f>IF(VLOOKUP($C286,REV!$C:$AA,9,0)-'TRADE IN'!$F286=0,"",(VLOOKUP($C286,REV!$C:$AA,9,0)-'TRADE IN'!$F286))</f>
        <v>2099</v>
      </c>
      <c r="L286" s="46">
        <f>IF(VLOOKUP($C286,REV!$C:$AA,10,0)-'TRADE IN'!$F286=0,"",(VLOOKUP($C286,REV!$C:$AA,10,0)-'TRADE IN'!$F286))</f>
        <v>2099</v>
      </c>
      <c r="M286" s="46">
        <f>IF(VLOOKUP($C286,REV!$C:$AA,11,0)-'TRADE IN'!$F286=0,"",(VLOOKUP($C286,REV!$C:$AA,11,0)-'TRADE IN'!$F286))</f>
        <v>2099</v>
      </c>
      <c r="N286" s="46">
        <f>IF(VLOOKUP($C286,REV!$C:$AA,12,0)-'TRADE IN'!$F286=0,"",(VLOOKUP($C286,REV!$C:$AA,12,0)-'TRADE IN'!$F286))</f>
        <v>2099</v>
      </c>
      <c r="O286" s="46">
        <f>IF(VLOOKUP($C286,REV!$C:$AA,13,0)-'TRADE IN'!$F286=0,"",(VLOOKUP($C286,REV!$C:$AA,13,0)-'TRADE IN'!$F286))</f>
        <v>2049</v>
      </c>
      <c r="P286" s="46">
        <f>IF(VLOOKUP($C286,REV!$C:$AA,14,0)-'TRADE IN'!$F286=0,"",(VLOOKUP($C286,REV!$C:$AA,14,0)-'TRADE IN'!$F286))</f>
        <v>1999</v>
      </c>
      <c r="Q286" s="46">
        <f>IF(VLOOKUP($C286,REV!$C:$AA,15,0)-'TRADE IN'!$F286=0,"",(VLOOKUP($C286,REV!$C:$AA,15,0)-'TRADE IN'!$F286))</f>
        <v>1299</v>
      </c>
      <c r="R286" s="46">
        <f>IF(VLOOKUP($C286,REV!$C:$AA,16,0)-'TRADE IN'!$F286=0,"",(VLOOKUP($C286,REV!$C:$AA,16,0)-'TRADE IN'!$F286))</f>
        <v>2049</v>
      </c>
      <c r="S286" s="46">
        <f>IF(VLOOKUP($C286,REV!$C:$AA,17,0)-'TRADE IN'!$F286=0,"",(VLOOKUP($C286,REV!$C:$AA,17,0)-'TRADE IN'!$F286))</f>
        <v>1999</v>
      </c>
      <c r="T286" s="46">
        <f>IF(VLOOKUP($C286,REV!$C:$AA,18,0)-'TRADE IN'!$F286=0,"",(VLOOKUP($C286,REV!$C:$AA,18,0)-'TRADE IN'!$F286))</f>
        <v>1299</v>
      </c>
      <c r="U286" s="46">
        <f>IF(VLOOKUP($C286,REV!$C:$AA,19,0)-'TRADE IN'!$F286=0,"",(VLOOKUP($C286,REV!$C:$AA,19,0)-'TRADE IN'!$F286))</f>
        <v>1299</v>
      </c>
      <c r="V286" s="46">
        <f>IF(VLOOKUP($C286,REV!$C:$AA,20,0)-'TRADE IN'!$F286=0,"",(VLOOKUP($C286,REV!$C:$AA,20,0)-'TRADE IN'!$F286))</f>
        <v>1299</v>
      </c>
      <c r="W286" s="46">
        <f>IF(VLOOKUP($C286,REV!$C:$AA,21,0)-'TRADE IN'!$F286=0,"",(VLOOKUP($C286,REV!$C:$AA,21,0)-'TRADE IN'!$F286))</f>
        <v>1299</v>
      </c>
      <c r="X286" s="46">
        <f>IF(VLOOKUP($C286,REV!$C:$AA,22,0)-'TRADE IN'!$F286=0,"",(VLOOKUP($C286,REV!$C:$AA,22,0)-'TRADE IN'!$F286))</f>
        <v>1249</v>
      </c>
      <c r="Y286" s="46">
        <f>IF(VLOOKUP($C286,REV!$C:$AA,23,0)-'TRADE IN'!$F286=0,"",(VLOOKUP($C286,REV!$C:$AA,23,0)-'TRADE IN'!$F286))</f>
        <v>1199</v>
      </c>
      <c r="Z286" s="46">
        <f>IF(VLOOKUP($C286,REV!$C:$AA,24,0)-'TRADE IN'!$F286=0,"",(VLOOKUP($C286,REV!$C:$AA,24,0)-'TRADE IN'!$F286))</f>
        <v>1199</v>
      </c>
      <c r="AA286" s="46">
        <f>IF(VLOOKUP($C286,REV!$C:$AA,25,0)-'TRADE IN'!$F286=0,"",(VLOOKUP($C286,REV!$C:$AA,25,0)-'TRADE IN'!$F286))</f>
        <v>1199</v>
      </c>
      <c r="AB286" s="45">
        <f>IF(VLOOKUP($C286,REV!$C:$AL,27,0)-'TRADE IN'!$F286=0,"",(VLOOKUP($C286,REV!$C:$AL,27,0)-'TRADE IN'!$F286))</f>
        <v>2099</v>
      </c>
      <c r="AC286" s="45">
        <f>IF(VLOOKUP($C286,REV!$C:$AL,28,0)-'TRADE IN'!$F286=0,"",(VLOOKUP($C286,REV!$C:$AL,28,0)-'TRADE IN'!$F286))</f>
        <v>2099</v>
      </c>
      <c r="AD286" s="45">
        <f>IF(VLOOKUP($C286,REV!$C:$AL,29,0)-'TRADE IN'!$F286=0,"",(VLOOKUP($C286,REV!$C:$AL,29,0)-'TRADE IN'!$F286))</f>
        <v>2049</v>
      </c>
      <c r="AE286" s="45">
        <f>IF(VLOOKUP($C286,REV!$C:$AL,30,0)-'TRADE IN'!$F286=0,"",(VLOOKUP($C286,REV!$C:$AL,30,0)-'TRADE IN'!$F286))</f>
        <v>1999</v>
      </c>
      <c r="AF286" s="45">
        <f>IF(VLOOKUP($C286,REV!$C:$AL,31,0)-'TRADE IN'!$F286=0,"",(VLOOKUP($C286,REV!$C:$AL,31,0)-'TRADE IN'!$F286))</f>
        <v>1999</v>
      </c>
      <c r="AG286" s="45">
        <f>IF(VLOOKUP($C286,REV!$C:$AL,31,0)-'TRADE IN'!$F286=0,"",(VLOOKUP($C286,REV!$C:$AL,31,0)-'TRADE IN'!$F286))</f>
        <v>1999</v>
      </c>
      <c r="AH286" s="45">
        <f>IF(VLOOKUP($C286,REV!$C:$AL,32,0)-'TRADE IN'!$F286=0,"",(VLOOKUP($C286,REV!$C:$AL,32,0)-'TRADE IN'!$F286))</f>
        <v>1299</v>
      </c>
      <c r="AI286" s="45">
        <f>IF(VLOOKUP($C286,REV!$C:$AL,33,0)-'TRADE IN'!$F286=0,"",(VLOOKUP($C286,REV!$C:$AL,33,0)-'TRADE IN'!$F286))</f>
        <v>1299</v>
      </c>
      <c r="AJ286" s="45">
        <f>IF(VLOOKUP($C286,REV!$C:$AL,34,0)-'TRADE IN'!$F286=0,"",(VLOOKUP($C286,REV!$C:$AL,34,0)-'TRADE IN'!$F286))</f>
        <v>1299</v>
      </c>
      <c r="AK286" s="45">
        <f>IF(VLOOKUP($C286,REV!$C:$AL,35,0)-'TRADE IN'!$F286=0,"",(VLOOKUP($C286,REV!$C:$AL,35,0)-'TRADE IN'!$F286))</f>
        <v>1299</v>
      </c>
      <c r="AL286" s="45">
        <f>IF(VLOOKUP($C286,REV!$C:$AL,36,0)-'TRADE IN'!$F286=0,"",(VLOOKUP($C286,REV!$C:$AL,36,0)-'TRADE IN'!$F286))</f>
        <v>1199</v>
      </c>
      <c r="AM286" s="45"/>
      <c r="AN286" s="45"/>
      <c r="AO286" s="45"/>
      <c r="AP286" s="45"/>
      <c r="AQ286" s="45"/>
      <c r="AR286" s="45"/>
      <c r="AS286" s="45"/>
      <c r="AT286" s="45"/>
      <c r="AU286" s="45"/>
      <c r="AV286" s="47"/>
      <c r="AW286" s="48" t="str">
        <f>REV!AW286</f>
        <v>13.08.2026</v>
      </c>
      <c r="AX286" s="149" t="s">
        <v>68</v>
      </c>
    </row>
    <row r="287" spans="1:50" ht="22.5" customHeight="1">
      <c r="A287" s="55" t="s">
        <v>222</v>
      </c>
      <c r="B287" s="42" t="s">
        <v>64</v>
      </c>
      <c r="C287" s="43">
        <v>4017869</v>
      </c>
      <c r="D287" s="57" t="s">
        <v>443</v>
      </c>
      <c r="E287" s="56" t="s">
        <v>449</v>
      </c>
      <c r="F287" s="54">
        <v>200</v>
      </c>
      <c r="G287" s="45"/>
      <c r="H287" s="45"/>
      <c r="I287" s="45"/>
      <c r="J287" s="46">
        <f>IF(VLOOKUP($C287,REV!$C:$AA,8,0)-'TRADE IN'!$F287=0,"",(VLOOKUP($C287,REV!$C:$AA,8,0)-'TRADE IN'!$F287))</f>
        <v>2099</v>
      </c>
      <c r="K287" s="46">
        <f>IF(VLOOKUP($C287,REV!$C:$AA,9,0)-'TRADE IN'!$F287=0,"",(VLOOKUP($C287,REV!$C:$AA,9,0)-'TRADE IN'!$F287))</f>
        <v>2099</v>
      </c>
      <c r="L287" s="46">
        <f>IF(VLOOKUP($C287,REV!$C:$AA,10,0)-'TRADE IN'!$F287=0,"",(VLOOKUP($C287,REV!$C:$AA,10,0)-'TRADE IN'!$F287))</f>
        <v>2099</v>
      </c>
      <c r="M287" s="46">
        <f>IF(VLOOKUP($C287,REV!$C:$AA,11,0)-'TRADE IN'!$F287=0,"",(VLOOKUP($C287,REV!$C:$AA,11,0)-'TRADE IN'!$F287))</f>
        <v>2099</v>
      </c>
      <c r="N287" s="46">
        <f>IF(VLOOKUP($C287,REV!$C:$AA,12,0)-'TRADE IN'!$F287=0,"",(VLOOKUP($C287,REV!$C:$AA,12,0)-'TRADE IN'!$F287))</f>
        <v>2099</v>
      </c>
      <c r="O287" s="46">
        <f>IF(VLOOKUP($C287,REV!$C:$AA,13,0)-'TRADE IN'!$F287=0,"",(VLOOKUP($C287,REV!$C:$AA,13,0)-'TRADE IN'!$F287))</f>
        <v>2049</v>
      </c>
      <c r="P287" s="46">
        <f>IF(VLOOKUP($C287,REV!$C:$AA,14,0)-'TRADE IN'!$F287=0,"",(VLOOKUP($C287,REV!$C:$AA,14,0)-'TRADE IN'!$F287))</f>
        <v>1999</v>
      </c>
      <c r="Q287" s="46">
        <f>IF(VLOOKUP($C287,REV!$C:$AA,15,0)-'TRADE IN'!$F287=0,"",(VLOOKUP($C287,REV!$C:$AA,15,0)-'TRADE IN'!$F287))</f>
        <v>1299</v>
      </c>
      <c r="R287" s="46">
        <f>IF(VLOOKUP($C287,REV!$C:$AA,16,0)-'TRADE IN'!$F287=0,"",(VLOOKUP($C287,REV!$C:$AA,16,0)-'TRADE IN'!$F287))</f>
        <v>2049</v>
      </c>
      <c r="S287" s="46">
        <f>IF(VLOOKUP($C287,REV!$C:$AA,17,0)-'TRADE IN'!$F287=0,"",(VLOOKUP($C287,REV!$C:$AA,17,0)-'TRADE IN'!$F287))</f>
        <v>1999</v>
      </c>
      <c r="T287" s="46">
        <f>IF(VLOOKUP($C287,REV!$C:$AA,18,0)-'TRADE IN'!$F287=0,"",(VLOOKUP($C287,REV!$C:$AA,18,0)-'TRADE IN'!$F287))</f>
        <v>1299</v>
      </c>
      <c r="U287" s="46">
        <f>IF(VLOOKUP($C287,REV!$C:$AA,19,0)-'TRADE IN'!$F287=0,"",(VLOOKUP($C287,REV!$C:$AA,19,0)-'TRADE IN'!$F287))</f>
        <v>1299</v>
      </c>
      <c r="V287" s="46">
        <f>IF(VLOOKUP($C287,REV!$C:$AA,20,0)-'TRADE IN'!$F287=0,"",(VLOOKUP($C287,REV!$C:$AA,20,0)-'TRADE IN'!$F287))</f>
        <v>1299</v>
      </c>
      <c r="W287" s="46">
        <f>IF(VLOOKUP($C287,REV!$C:$AA,21,0)-'TRADE IN'!$F287=0,"",(VLOOKUP($C287,REV!$C:$AA,21,0)-'TRADE IN'!$F287))</f>
        <v>1299</v>
      </c>
      <c r="X287" s="46">
        <f>IF(VLOOKUP($C287,REV!$C:$AA,22,0)-'TRADE IN'!$F287=0,"",(VLOOKUP($C287,REV!$C:$AA,22,0)-'TRADE IN'!$F287))</f>
        <v>1249</v>
      </c>
      <c r="Y287" s="46">
        <f>IF(VLOOKUP($C287,REV!$C:$AA,23,0)-'TRADE IN'!$F287=0,"",(VLOOKUP($C287,REV!$C:$AA,23,0)-'TRADE IN'!$F287))</f>
        <v>1199</v>
      </c>
      <c r="Z287" s="46">
        <f>IF(VLOOKUP($C287,REV!$C:$AA,24,0)-'TRADE IN'!$F287=0,"",(VLOOKUP($C287,REV!$C:$AA,24,0)-'TRADE IN'!$F287))</f>
        <v>1199</v>
      </c>
      <c r="AA287" s="46">
        <f>IF(VLOOKUP($C287,REV!$C:$AA,25,0)-'TRADE IN'!$F287=0,"",(VLOOKUP($C287,REV!$C:$AA,25,0)-'TRADE IN'!$F287))</f>
        <v>1199</v>
      </c>
      <c r="AB287" s="45">
        <f>IF(VLOOKUP($C287,REV!$C:$AL,27,0)-'TRADE IN'!$F287=0,"",(VLOOKUP($C287,REV!$C:$AL,27,0)-'TRADE IN'!$F287))</f>
        <v>2099</v>
      </c>
      <c r="AC287" s="45">
        <f>IF(VLOOKUP($C287,REV!$C:$AL,28,0)-'TRADE IN'!$F287=0,"",(VLOOKUP($C287,REV!$C:$AL,28,0)-'TRADE IN'!$F287))</f>
        <v>2099</v>
      </c>
      <c r="AD287" s="45">
        <f>IF(VLOOKUP($C287,REV!$C:$AL,29,0)-'TRADE IN'!$F287=0,"",(VLOOKUP($C287,REV!$C:$AL,29,0)-'TRADE IN'!$F287))</f>
        <v>2049</v>
      </c>
      <c r="AE287" s="45">
        <f>IF(VLOOKUP($C287,REV!$C:$AL,30,0)-'TRADE IN'!$F287=0,"",(VLOOKUP($C287,REV!$C:$AL,30,0)-'TRADE IN'!$F287))</f>
        <v>1999</v>
      </c>
      <c r="AF287" s="45">
        <f>IF(VLOOKUP($C287,REV!$C:$AL,31,0)-'TRADE IN'!$F287=0,"",(VLOOKUP($C287,REV!$C:$AL,31,0)-'TRADE IN'!$F287))</f>
        <v>1999</v>
      </c>
      <c r="AG287" s="45">
        <f>IF(VLOOKUP($C287,REV!$C:$AL,31,0)-'TRADE IN'!$F287=0,"",(VLOOKUP($C287,REV!$C:$AL,31,0)-'TRADE IN'!$F287))</f>
        <v>1999</v>
      </c>
      <c r="AH287" s="45">
        <f>IF(VLOOKUP($C287,REV!$C:$AL,32,0)-'TRADE IN'!$F287=0,"",(VLOOKUP($C287,REV!$C:$AL,32,0)-'TRADE IN'!$F287))</f>
        <v>1299</v>
      </c>
      <c r="AI287" s="45">
        <f>IF(VLOOKUP($C287,REV!$C:$AL,33,0)-'TRADE IN'!$F287=0,"",(VLOOKUP($C287,REV!$C:$AL,33,0)-'TRADE IN'!$F287))</f>
        <v>1299</v>
      </c>
      <c r="AJ287" s="45">
        <f>IF(VLOOKUP($C287,REV!$C:$AL,34,0)-'TRADE IN'!$F287=0,"",(VLOOKUP($C287,REV!$C:$AL,34,0)-'TRADE IN'!$F287))</f>
        <v>1299</v>
      </c>
      <c r="AK287" s="45">
        <f>IF(VLOOKUP($C287,REV!$C:$AL,35,0)-'TRADE IN'!$F287=0,"",(VLOOKUP($C287,REV!$C:$AL,35,0)-'TRADE IN'!$F287))</f>
        <v>1299</v>
      </c>
      <c r="AL287" s="45">
        <f>IF(VLOOKUP($C287,REV!$C:$AL,36,0)-'TRADE IN'!$F287=0,"",(VLOOKUP($C287,REV!$C:$AL,36,0)-'TRADE IN'!$F287))</f>
        <v>1199</v>
      </c>
      <c r="AM287" s="45"/>
      <c r="AN287" s="45"/>
      <c r="AO287" s="45"/>
      <c r="AP287" s="45"/>
      <c r="AQ287" s="45"/>
      <c r="AR287" s="45"/>
      <c r="AS287" s="45"/>
      <c r="AT287" s="45"/>
      <c r="AU287" s="45"/>
      <c r="AV287" s="47"/>
      <c r="AW287" s="48" t="str">
        <f>REV!AW287</f>
        <v>13.08.2026</v>
      </c>
      <c r="AX287" s="149" t="s">
        <v>68</v>
      </c>
    </row>
    <row r="288" spans="1:50" ht="22.5" customHeight="1">
      <c r="A288" s="55" t="s">
        <v>222</v>
      </c>
      <c r="B288" s="42" t="s">
        <v>64</v>
      </c>
      <c r="C288" s="43">
        <v>4014478</v>
      </c>
      <c r="D288" s="56" t="s">
        <v>450</v>
      </c>
      <c r="E288" s="56" t="s">
        <v>451</v>
      </c>
      <c r="F288" s="45">
        <v>100</v>
      </c>
      <c r="G288" s="45"/>
      <c r="H288" s="45"/>
      <c r="I288" s="45"/>
      <c r="J288" s="46">
        <f>IF(VLOOKUP($C288,REV!$C:$AA,8,0)-'TRADE IN'!$F288=0,"",(VLOOKUP($C288,REV!$C:$AA,8,0)-'TRADE IN'!$F288))</f>
        <v>399</v>
      </c>
      <c r="K288" s="46">
        <f>IF(VLOOKUP($C288,REV!$C:$AA,9,0)-'TRADE IN'!$F288=0,"",(VLOOKUP($C288,REV!$C:$AA,9,0)-'TRADE IN'!$F288))</f>
        <v>399</v>
      </c>
      <c r="L288" s="46">
        <f>IF(VLOOKUP($C288,REV!$C:$AA,10,0)-'TRADE IN'!$F288=0,"",(VLOOKUP($C288,REV!$C:$AA,10,0)-'TRADE IN'!$F288))</f>
        <v>399</v>
      </c>
      <c r="M288" s="46">
        <f>IF(VLOOKUP($C288,REV!$C:$AA,11,0)-'TRADE IN'!$F288=0,"",(VLOOKUP($C288,REV!$C:$AA,11,0)-'TRADE IN'!$F288))</f>
        <v>399</v>
      </c>
      <c r="N288" s="46">
        <f>IF(VLOOKUP($C288,REV!$C:$AA,12,0)-'TRADE IN'!$F288=0,"",(VLOOKUP($C288,REV!$C:$AA,12,0)-'TRADE IN'!$F288))</f>
        <v>399</v>
      </c>
      <c r="O288" s="46">
        <f>IF(VLOOKUP($C288,REV!$C:$AA,13,0)-'TRADE IN'!$F288=0,"",(VLOOKUP($C288,REV!$C:$AA,13,0)-'TRADE IN'!$F288))</f>
        <v>349</v>
      </c>
      <c r="P288" s="46">
        <f>IF(VLOOKUP($C288,REV!$C:$AA,14,0)-'TRADE IN'!$F288=0,"",(VLOOKUP($C288,REV!$C:$AA,14,0)-'TRADE IN'!$F288))</f>
        <v>349</v>
      </c>
      <c r="Q288" s="46">
        <f>IF(VLOOKUP($C288,REV!$C:$AA,15,0)-'TRADE IN'!$F288=0,"",(VLOOKUP($C288,REV!$C:$AA,15,0)-'TRADE IN'!$F288))</f>
        <v>349</v>
      </c>
      <c r="R288" s="46">
        <f>IF(VLOOKUP($C288,REV!$C:$AA,16,0)-'TRADE IN'!$F288=0,"",(VLOOKUP($C288,REV!$C:$AA,16,0)-'TRADE IN'!$F288))</f>
        <v>349</v>
      </c>
      <c r="S288" s="46">
        <f>IF(VLOOKUP($C288,REV!$C:$AA,17,0)-'TRADE IN'!$F288=0,"",(VLOOKUP($C288,REV!$C:$AA,17,0)-'TRADE IN'!$F288))</f>
        <v>349</v>
      </c>
      <c r="T288" s="46">
        <f>IF(VLOOKUP($C288,REV!$C:$AA,18,0)-'TRADE IN'!$F288=0,"",(VLOOKUP($C288,REV!$C:$AA,18,0)-'TRADE IN'!$F288))</f>
        <v>349</v>
      </c>
      <c r="U288" s="46">
        <f>IF(VLOOKUP($C288,REV!$C:$AA,19,0)-'TRADE IN'!$F288=0,"",(VLOOKUP($C288,REV!$C:$AA,19,0)-'TRADE IN'!$F288))</f>
        <v>349</v>
      </c>
      <c r="V288" s="46">
        <f>IF(VLOOKUP($C288,REV!$C:$AA,20,0)-'TRADE IN'!$F288=0,"",(VLOOKUP($C288,REV!$C:$AA,20,0)-'TRADE IN'!$F288))</f>
        <v>349</v>
      </c>
      <c r="W288" s="46">
        <f>IF(VLOOKUP($C288,REV!$C:$AA,21,0)-'TRADE IN'!$F288=0,"",(VLOOKUP($C288,REV!$C:$AA,21,0)-'TRADE IN'!$F288))</f>
        <v>349</v>
      </c>
      <c r="X288" s="46">
        <f>IF(VLOOKUP($C288,REV!$C:$AA,22,0)-'TRADE IN'!$F288=0,"",(VLOOKUP($C288,REV!$C:$AA,22,0)-'TRADE IN'!$F288))</f>
        <v>349</v>
      </c>
      <c r="Y288" s="46">
        <f>IF(VLOOKUP($C288,REV!$C:$AA,23,0)-'TRADE IN'!$F288=0,"",(VLOOKUP($C288,REV!$C:$AA,23,0)-'TRADE IN'!$F288))</f>
        <v>349</v>
      </c>
      <c r="Z288" s="46">
        <f>IF(VLOOKUP($C288,REV!$C:$AA,24,0)-'TRADE IN'!$F288=0,"",(VLOOKUP($C288,REV!$C:$AA,24,0)-'TRADE IN'!$F288))</f>
        <v>349</v>
      </c>
      <c r="AA288" s="46">
        <f>IF(VLOOKUP($C288,REV!$C:$AA,25,0)-'TRADE IN'!$F288=0,"",(VLOOKUP($C288,REV!$C:$AA,25,0)-'TRADE IN'!$F288))</f>
        <v>349</v>
      </c>
      <c r="AB288" s="45"/>
      <c r="AC288" s="45"/>
      <c r="AD288" s="45"/>
      <c r="AE288" s="45"/>
      <c r="AF288" s="45"/>
      <c r="AG288" s="45"/>
      <c r="AH288" s="45"/>
      <c r="AI288" s="45"/>
      <c r="AJ288" s="45"/>
      <c r="AK288" s="45"/>
      <c r="AL288" s="45"/>
      <c r="AM288" s="45"/>
      <c r="AN288" s="45"/>
      <c r="AO288" s="45"/>
      <c r="AP288" s="45"/>
      <c r="AQ288" s="45"/>
      <c r="AR288" s="45"/>
      <c r="AS288" s="45"/>
      <c r="AT288" s="45"/>
      <c r="AU288" s="45"/>
      <c r="AV288" s="47"/>
      <c r="AW288" s="48" t="str">
        <f>REV!AW288</f>
        <v>13.08.2026</v>
      </c>
      <c r="AX288" s="149" t="s">
        <v>68</v>
      </c>
    </row>
    <row r="289" spans="1:50" ht="22.5" customHeight="1">
      <c r="A289" s="55" t="s">
        <v>222</v>
      </c>
      <c r="B289" s="42" t="s">
        <v>64</v>
      </c>
      <c r="C289" s="43">
        <v>4014480</v>
      </c>
      <c r="D289" s="56" t="s">
        <v>450</v>
      </c>
      <c r="E289" s="56" t="s">
        <v>452</v>
      </c>
      <c r="F289" s="45">
        <v>100</v>
      </c>
      <c r="G289" s="45"/>
      <c r="H289" s="45"/>
      <c r="I289" s="45"/>
      <c r="J289" s="46">
        <f>IF(VLOOKUP($C289,REV!$C:$AA,8,0)-'TRADE IN'!$F289=0,"",(VLOOKUP($C289,REV!$C:$AA,8,0)-'TRADE IN'!$F289))</f>
        <v>399</v>
      </c>
      <c r="K289" s="46">
        <f>IF(VLOOKUP($C289,REV!$C:$AA,9,0)-'TRADE IN'!$F289=0,"",(VLOOKUP($C289,REV!$C:$AA,9,0)-'TRADE IN'!$F289))</f>
        <v>399</v>
      </c>
      <c r="L289" s="46">
        <f>IF(VLOOKUP($C289,REV!$C:$AA,10,0)-'TRADE IN'!$F289=0,"",(VLOOKUP($C289,REV!$C:$AA,10,0)-'TRADE IN'!$F289))</f>
        <v>399</v>
      </c>
      <c r="M289" s="46">
        <f>IF(VLOOKUP($C289,REV!$C:$AA,11,0)-'TRADE IN'!$F289=0,"",(VLOOKUP($C289,REV!$C:$AA,11,0)-'TRADE IN'!$F289))</f>
        <v>399</v>
      </c>
      <c r="N289" s="46">
        <f>IF(VLOOKUP($C289,REV!$C:$AA,12,0)-'TRADE IN'!$F289=0,"",(VLOOKUP($C289,REV!$C:$AA,12,0)-'TRADE IN'!$F289))</f>
        <v>399</v>
      </c>
      <c r="O289" s="46">
        <f>IF(VLOOKUP($C289,REV!$C:$AA,13,0)-'TRADE IN'!$F289=0,"",(VLOOKUP($C289,REV!$C:$AA,13,0)-'TRADE IN'!$F289))</f>
        <v>349</v>
      </c>
      <c r="P289" s="46">
        <f>IF(VLOOKUP($C289,REV!$C:$AA,14,0)-'TRADE IN'!$F289=0,"",(VLOOKUP($C289,REV!$C:$AA,14,0)-'TRADE IN'!$F289))</f>
        <v>349</v>
      </c>
      <c r="Q289" s="46">
        <f>IF(VLOOKUP($C289,REV!$C:$AA,15,0)-'TRADE IN'!$F289=0,"",(VLOOKUP($C289,REV!$C:$AA,15,0)-'TRADE IN'!$F289))</f>
        <v>349</v>
      </c>
      <c r="R289" s="46">
        <f>IF(VLOOKUP($C289,REV!$C:$AA,16,0)-'TRADE IN'!$F289=0,"",(VLOOKUP($C289,REV!$C:$AA,16,0)-'TRADE IN'!$F289))</f>
        <v>349</v>
      </c>
      <c r="S289" s="46">
        <f>IF(VLOOKUP($C289,REV!$C:$AA,17,0)-'TRADE IN'!$F289=0,"",(VLOOKUP($C289,REV!$C:$AA,17,0)-'TRADE IN'!$F289))</f>
        <v>349</v>
      </c>
      <c r="T289" s="46">
        <f>IF(VLOOKUP($C289,REV!$C:$AA,18,0)-'TRADE IN'!$F289=0,"",(VLOOKUP($C289,REV!$C:$AA,18,0)-'TRADE IN'!$F289))</f>
        <v>349</v>
      </c>
      <c r="U289" s="46">
        <f>IF(VLOOKUP($C289,REV!$C:$AA,19,0)-'TRADE IN'!$F289=0,"",(VLOOKUP($C289,REV!$C:$AA,19,0)-'TRADE IN'!$F289))</f>
        <v>349</v>
      </c>
      <c r="V289" s="46">
        <f>IF(VLOOKUP($C289,REV!$C:$AA,20,0)-'TRADE IN'!$F289=0,"",(VLOOKUP($C289,REV!$C:$AA,20,0)-'TRADE IN'!$F289))</f>
        <v>349</v>
      </c>
      <c r="W289" s="46">
        <f>IF(VLOOKUP($C289,REV!$C:$AA,21,0)-'TRADE IN'!$F289=0,"",(VLOOKUP($C289,REV!$C:$AA,21,0)-'TRADE IN'!$F289))</f>
        <v>349</v>
      </c>
      <c r="X289" s="46">
        <f>IF(VLOOKUP($C289,REV!$C:$AA,22,0)-'TRADE IN'!$F289=0,"",(VLOOKUP($C289,REV!$C:$AA,22,0)-'TRADE IN'!$F289))</f>
        <v>349</v>
      </c>
      <c r="Y289" s="46">
        <f>IF(VLOOKUP($C289,REV!$C:$AA,23,0)-'TRADE IN'!$F289=0,"",(VLOOKUP($C289,REV!$C:$AA,23,0)-'TRADE IN'!$F289))</f>
        <v>349</v>
      </c>
      <c r="Z289" s="46">
        <f>IF(VLOOKUP($C289,REV!$C:$AA,24,0)-'TRADE IN'!$F289=0,"",(VLOOKUP($C289,REV!$C:$AA,24,0)-'TRADE IN'!$F289))</f>
        <v>349</v>
      </c>
      <c r="AA289" s="46">
        <f>IF(VLOOKUP($C289,REV!$C:$AA,25,0)-'TRADE IN'!$F289=0,"",(VLOOKUP($C289,REV!$C:$AA,25,0)-'TRADE IN'!$F289))</f>
        <v>349</v>
      </c>
      <c r="AB289" s="45"/>
      <c r="AC289" s="45"/>
      <c r="AD289" s="45"/>
      <c r="AE289" s="45"/>
      <c r="AF289" s="45"/>
      <c r="AG289" s="45"/>
      <c r="AH289" s="45"/>
      <c r="AI289" s="45"/>
      <c r="AJ289" s="45"/>
      <c r="AK289" s="45"/>
      <c r="AL289" s="45"/>
      <c r="AM289" s="45"/>
      <c r="AN289" s="45"/>
      <c r="AO289" s="45"/>
      <c r="AP289" s="45"/>
      <c r="AQ289" s="45"/>
      <c r="AR289" s="45"/>
      <c r="AS289" s="45"/>
      <c r="AT289" s="45"/>
      <c r="AU289" s="45"/>
      <c r="AV289" s="47"/>
      <c r="AW289" s="48" t="str">
        <f>REV!AW289</f>
        <v>13.08.2026</v>
      </c>
      <c r="AX289" s="149" t="s">
        <v>68</v>
      </c>
    </row>
    <row r="290" spans="1:50" ht="22.5" customHeight="1">
      <c r="A290" s="55" t="s">
        <v>222</v>
      </c>
      <c r="B290" s="42" t="s">
        <v>64</v>
      </c>
      <c r="C290" s="43">
        <v>4014519</v>
      </c>
      <c r="D290" s="56" t="s">
        <v>450</v>
      </c>
      <c r="E290" s="56" t="s">
        <v>453</v>
      </c>
      <c r="F290" s="45">
        <v>100</v>
      </c>
      <c r="G290" s="45"/>
      <c r="H290" s="45"/>
      <c r="I290" s="45"/>
      <c r="J290" s="46">
        <f>IF(VLOOKUP($C290,REV!$C:$AA,8,0)-'TRADE IN'!$F290=0,"",(VLOOKUP($C290,REV!$C:$AA,8,0)-'TRADE IN'!$F290))</f>
        <v>399</v>
      </c>
      <c r="K290" s="46">
        <f>IF(VLOOKUP($C290,REV!$C:$AA,9,0)-'TRADE IN'!$F290=0,"",(VLOOKUP($C290,REV!$C:$AA,9,0)-'TRADE IN'!$F290))</f>
        <v>399</v>
      </c>
      <c r="L290" s="46">
        <f>IF(VLOOKUP($C290,REV!$C:$AA,10,0)-'TRADE IN'!$F290=0,"",(VLOOKUP($C290,REV!$C:$AA,10,0)-'TRADE IN'!$F290))</f>
        <v>399</v>
      </c>
      <c r="M290" s="46">
        <f>IF(VLOOKUP($C290,REV!$C:$AA,11,0)-'TRADE IN'!$F290=0,"",(VLOOKUP($C290,REV!$C:$AA,11,0)-'TRADE IN'!$F290))</f>
        <v>399</v>
      </c>
      <c r="N290" s="46">
        <f>IF(VLOOKUP($C290,REV!$C:$AA,12,0)-'TRADE IN'!$F290=0,"",(VLOOKUP($C290,REV!$C:$AA,12,0)-'TRADE IN'!$F290))</f>
        <v>399</v>
      </c>
      <c r="O290" s="46">
        <f>IF(VLOOKUP($C290,REV!$C:$AA,13,0)-'TRADE IN'!$F290=0,"",(VLOOKUP($C290,REV!$C:$AA,13,0)-'TRADE IN'!$F290))</f>
        <v>349</v>
      </c>
      <c r="P290" s="46">
        <f>IF(VLOOKUP($C290,REV!$C:$AA,14,0)-'TRADE IN'!$F290=0,"",(VLOOKUP($C290,REV!$C:$AA,14,0)-'TRADE IN'!$F290))</f>
        <v>349</v>
      </c>
      <c r="Q290" s="46">
        <f>IF(VLOOKUP($C290,REV!$C:$AA,15,0)-'TRADE IN'!$F290=0,"",(VLOOKUP($C290,REV!$C:$AA,15,0)-'TRADE IN'!$F290))</f>
        <v>349</v>
      </c>
      <c r="R290" s="46">
        <f>IF(VLOOKUP($C290,REV!$C:$AA,16,0)-'TRADE IN'!$F290=0,"",(VLOOKUP($C290,REV!$C:$AA,16,0)-'TRADE IN'!$F290))</f>
        <v>349</v>
      </c>
      <c r="S290" s="46">
        <f>IF(VLOOKUP($C290,REV!$C:$AA,17,0)-'TRADE IN'!$F290=0,"",(VLOOKUP($C290,REV!$C:$AA,17,0)-'TRADE IN'!$F290))</f>
        <v>349</v>
      </c>
      <c r="T290" s="46">
        <f>IF(VLOOKUP($C290,REV!$C:$AA,18,0)-'TRADE IN'!$F290=0,"",(VLOOKUP($C290,REV!$C:$AA,18,0)-'TRADE IN'!$F290))</f>
        <v>349</v>
      </c>
      <c r="U290" s="46">
        <f>IF(VLOOKUP($C290,REV!$C:$AA,19,0)-'TRADE IN'!$F290=0,"",(VLOOKUP($C290,REV!$C:$AA,19,0)-'TRADE IN'!$F290))</f>
        <v>349</v>
      </c>
      <c r="V290" s="46">
        <f>IF(VLOOKUP($C290,REV!$C:$AA,20,0)-'TRADE IN'!$F290=0,"",(VLOOKUP($C290,REV!$C:$AA,20,0)-'TRADE IN'!$F290))</f>
        <v>349</v>
      </c>
      <c r="W290" s="46">
        <f>IF(VLOOKUP($C290,REV!$C:$AA,21,0)-'TRADE IN'!$F290=0,"",(VLOOKUP($C290,REV!$C:$AA,21,0)-'TRADE IN'!$F290))</f>
        <v>349</v>
      </c>
      <c r="X290" s="46">
        <f>IF(VLOOKUP($C290,REV!$C:$AA,22,0)-'TRADE IN'!$F290=0,"",(VLOOKUP($C290,REV!$C:$AA,22,0)-'TRADE IN'!$F290))</f>
        <v>349</v>
      </c>
      <c r="Y290" s="46">
        <f>IF(VLOOKUP($C290,REV!$C:$AA,23,0)-'TRADE IN'!$F290=0,"",(VLOOKUP($C290,REV!$C:$AA,23,0)-'TRADE IN'!$F290))</f>
        <v>349</v>
      </c>
      <c r="Z290" s="46">
        <f>IF(VLOOKUP($C290,REV!$C:$AA,24,0)-'TRADE IN'!$F290=0,"",(VLOOKUP($C290,REV!$C:$AA,24,0)-'TRADE IN'!$F290))</f>
        <v>349</v>
      </c>
      <c r="AA290" s="46">
        <f>IF(VLOOKUP($C290,REV!$C:$AA,25,0)-'TRADE IN'!$F290=0,"",(VLOOKUP($C290,REV!$C:$AA,25,0)-'TRADE IN'!$F290))</f>
        <v>349</v>
      </c>
      <c r="AB290" s="45"/>
      <c r="AC290" s="45"/>
      <c r="AD290" s="45"/>
      <c r="AE290" s="45"/>
      <c r="AF290" s="45"/>
      <c r="AG290" s="45"/>
      <c r="AH290" s="45"/>
      <c r="AI290" s="45"/>
      <c r="AJ290" s="45"/>
      <c r="AK290" s="45"/>
      <c r="AL290" s="45"/>
      <c r="AM290" s="45"/>
      <c r="AN290" s="45"/>
      <c r="AO290" s="45"/>
      <c r="AP290" s="45"/>
      <c r="AQ290" s="45"/>
      <c r="AR290" s="45"/>
      <c r="AS290" s="45"/>
      <c r="AT290" s="45"/>
      <c r="AU290" s="45"/>
      <c r="AV290" s="47"/>
      <c r="AW290" s="48" t="str">
        <f>REV!AW290</f>
        <v>13.08.2026</v>
      </c>
      <c r="AX290" s="149" t="s">
        <v>68</v>
      </c>
    </row>
    <row r="291" spans="1:50" ht="22.5" customHeight="1">
      <c r="A291" s="55" t="s">
        <v>222</v>
      </c>
      <c r="B291" s="42" t="s">
        <v>64</v>
      </c>
      <c r="C291" s="43">
        <v>4015472</v>
      </c>
      <c r="D291" s="56" t="s">
        <v>454</v>
      </c>
      <c r="E291" s="56" t="s">
        <v>455</v>
      </c>
      <c r="F291" s="45">
        <v>100</v>
      </c>
      <c r="G291" s="45"/>
      <c r="H291" s="45"/>
      <c r="I291" s="45"/>
      <c r="J291" s="46">
        <f>IF(VLOOKUP($C291,REV!$C:$AA,8,0)-'TRADE IN'!$F291=0,"",(VLOOKUP($C291,REV!$C:$AA,8,0)-'TRADE IN'!$F291))</f>
        <v>1599</v>
      </c>
      <c r="K291" s="46">
        <f>IF(VLOOKUP($C291,REV!$C:$AA,9,0)-'TRADE IN'!$F291=0,"",(VLOOKUP($C291,REV!$C:$AA,9,0)-'TRADE IN'!$F291))</f>
        <v>1599</v>
      </c>
      <c r="L291" s="46">
        <f>IF(VLOOKUP($C291,REV!$C:$AA,10,0)-'TRADE IN'!$F291=0,"",(VLOOKUP($C291,REV!$C:$AA,10,0)-'TRADE IN'!$F291))</f>
        <v>1599</v>
      </c>
      <c r="M291" s="46">
        <f>IF(VLOOKUP($C291,REV!$C:$AA,11,0)-'TRADE IN'!$F291=0,"",(VLOOKUP($C291,REV!$C:$AA,11,0)-'TRADE IN'!$F291))</f>
        <v>1599</v>
      </c>
      <c r="N291" s="46">
        <f>IF(VLOOKUP($C291,REV!$C:$AA,12,0)-'TRADE IN'!$F291=0,"",(VLOOKUP($C291,REV!$C:$AA,12,0)-'TRADE IN'!$F291))</f>
        <v>1599</v>
      </c>
      <c r="O291" s="46">
        <f>IF(VLOOKUP($C291,REV!$C:$AA,13,0)-'TRADE IN'!$F291=0,"",(VLOOKUP($C291,REV!$C:$AA,13,0)-'TRADE IN'!$F291))</f>
        <v>1549</v>
      </c>
      <c r="P291" s="46">
        <f>IF(VLOOKUP($C291,REV!$C:$AA,14,0)-'TRADE IN'!$F291=0,"",(VLOOKUP($C291,REV!$C:$AA,14,0)-'TRADE IN'!$F291))</f>
        <v>1399</v>
      </c>
      <c r="Q291" s="46">
        <f>IF(VLOOKUP($C291,REV!$C:$AA,15,0)-'TRADE IN'!$F291=0,"",(VLOOKUP($C291,REV!$C:$AA,15,0)-'TRADE IN'!$F291))</f>
        <v>1199</v>
      </c>
      <c r="R291" s="46">
        <f>IF(VLOOKUP($C291,REV!$C:$AA,16,0)-'TRADE IN'!$F291=0,"",(VLOOKUP($C291,REV!$C:$AA,16,0)-'TRADE IN'!$F291))</f>
        <v>1549</v>
      </c>
      <c r="S291" s="46">
        <f>IF(VLOOKUP($C291,REV!$C:$AA,17,0)-'TRADE IN'!$F291=0,"",(VLOOKUP($C291,REV!$C:$AA,17,0)-'TRADE IN'!$F291))</f>
        <v>1399</v>
      </c>
      <c r="T291" s="46">
        <f>IF(VLOOKUP($C291,REV!$C:$AA,18,0)-'TRADE IN'!$F291=0,"",(VLOOKUP($C291,REV!$C:$AA,18,0)-'TRADE IN'!$F291))</f>
        <v>1199</v>
      </c>
      <c r="U291" s="46">
        <f>IF(VLOOKUP($C291,REV!$C:$AA,19,0)-'TRADE IN'!$F291=0,"",(VLOOKUP($C291,REV!$C:$AA,19,0)-'TRADE IN'!$F291))</f>
        <v>1199</v>
      </c>
      <c r="V291" s="46">
        <f>IF(VLOOKUP($C291,REV!$C:$AA,20,0)-'TRADE IN'!$F291=0,"",(VLOOKUP($C291,REV!$C:$AA,20,0)-'TRADE IN'!$F291))</f>
        <v>1199</v>
      </c>
      <c r="W291" s="46">
        <f>IF(VLOOKUP($C291,REV!$C:$AA,21,0)-'TRADE IN'!$F291=0,"",(VLOOKUP($C291,REV!$C:$AA,21,0)-'TRADE IN'!$F291))</f>
        <v>1199</v>
      </c>
      <c r="X291" s="46">
        <f>IF(VLOOKUP($C291,REV!$C:$AA,22,0)-'TRADE IN'!$F291=0,"",(VLOOKUP($C291,REV!$C:$AA,22,0)-'TRADE IN'!$F291))</f>
        <v>1099</v>
      </c>
      <c r="Y291" s="46">
        <f>IF(VLOOKUP($C291,REV!$C:$AA,23,0)-'TRADE IN'!$F291=0,"",(VLOOKUP($C291,REV!$C:$AA,23,0)-'TRADE IN'!$F291))</f>
        <v>899</v>
      </c>
      <c r="Z291" s="46">
        <f>IF(VLOOKUP($C291,REV!$C:$AA,24,0)-'TRADE IN'!$F291=0,"",(VLOOKUP($C291,REV!$C:$AA,24,0)-'TRADE IN'!$F291))</f>
        <v>899</v>
      </c>
      <c r="AA291" s="46">
        <f>IF(VLOOKUP($C291,REV!$C:$AA,25,0)-'TRADE IN'!$F291=0,"",(VLOOKUP($C291,REV!$C:$AA,25,0)-'TRADE IN'!$F291))</f>
        <v>849</v>
      </c>
      <c r="AB291" s="45"/>
      <c r="AC291" s="45"/>
      <c r="AD291" s="45"/>
      <c r="AE291" s="45"/>
      <c r="AF291" s="45"/>
      <c r="AG291" s="45"/>
      <c r="AH291" s="45"/>
      <c r="AI291" s="45"/>
      <c r="AJ291" s="45"/>
      <c r="AK291" s="45"/>
      <c r="AL291" s="45"/>
      <c r="AM291" s="45"/>
      <c r="AN291" s="45"/>
      <c r="AO291" s="45"/>
      <c r="AP291" s="45"/>
      <c r="AQ291" s="45"/>
      <c r="AR291" s="45"/>
      <c r="AS291" s="45"/>
      <c r="AT291" s="45"/>
      <c r="AU291" s="45"/>
      <c r="AV291" s="47"/>
      <c r="AW291" s="48" t="str">
        <f>REV!AW291</f>
        <v>13.08.2026</v>
      </c>
      <c r="AX291" s="149" t="s">
        <v>68</v>
      </c>
    </row>
    <row r="292" spans="1:50" ht="22.5" customHeight="1">
      <c r="A292" s="55" t="s">
        <v>222</v>
      </c>
      <c r="B292" s="42" t="s">
        <v>64</v>
      </c>
      <c r="C292" s="43">
        <v>4015478</v>
      </c>
      <c r="D292" s="56" t="s">
        <v>454</v>
      </c>
      <c r="E292" s="56" t="s">
        <v>456</v>
      </c>
      <c r="F292" s="45">
        <v>100</v>
      </c>
      <c r="G292" s="45"/>
      <c r="H292" s="45"/>
      <c r="I292" s="45"/>
      <c r="J292" s="46">
        <f>IF(VLOOKUP($C292,REV!$C:$AA,8,0)-'TRADE IN'!$F292=0,"",(VLOOKUP($C292,REV!$C:$AA,8,0)-'TRADE IN'!$F292))</f>
        <v>1599</v>
      </c>
      <c r="K292" s="46">
        <f>IF(VLOOKUP($C292,REV!$C:$AA,9,0)-'TRADE IN'!$F292=0,"",(VLOOKUP($C292,REV!$C:$AA,9,0)-'TRADE IN'!$F292))</f>
        <v>1599</v>
      </c>
      <c r="L292" s="46">
        <f>IF(VLOOKUP($C292,REV!$C:$AA,10,0)-'TRADE IN'!$F292=0,"",(VLOOKUP($C292,REV!$C:$AA,10,0)-'TRADE IN'!$F292))</f>
        <v>1599</v>
      </c>
      <c r="M292" s="46">
        <f>IF(VLOOKUP($C292,REV!$C:$AA,11,0)-'TRADE IN'!$F292=0,"",(VLOOKUP($C292,REV!$C:$AA,11,0)-'TRADE IN'!$F292))</f>
        <v>1599</v>
      </c>
      <c r="N292" s="46">
        <f>IF(VLOOKUP($C292,REV!$C:$AA,12,0)-'TRADE IN'!$F292=0,"",(VLOOKUP($C292,REV!$C:$AA,12,0)-'TRADE IN'!$F292))</f>
        <v>1599</v>
      </c>
      <c r="O292" s="46">
        <f>IF(VLOOKUP($C292,REV!$C:$AA,13,0)-'TRADE IN'!$F292=0,"",(VLOOKUP($C292,REV!$C:$AA,13,0)-'TRADE IN'!$F292))</f>
        <v>1549</v>
      </c>
      <c r="P292" s="46">
        <f>IF(VLOOKUP($C292,REV!$C:$AA,14,0)-'TRADE IN'!$F292=0,"",(VLOOKUP($C292,REV!$C:$AA,14,0)-'TRADE IN'!$F292))</f>
        <v>1399</v>
      </c>
      <c r="Q292" s="46">
        <f>IF(VLOOKUP($C292,REV!$C:$AA,15,0)-'TRADE IN'!$F292=0,"",(VLOOKUP($C292,REV!$C:$AA,15,0)-'TRADE IN'!$F292))</f>
        <v>1199</v>
      </c>
      <c r="R292" s="46">
        <f>IF(VLOOKUP($C292,REV!$C:$AA,16,0)-'TRADE IN'!$F292=0,"",(VLOOKUP($C292,REV!$C:$AA,16,0)-'TRADE IN'!$F292))</f>
        <v>1549</v>
      </c>
      <c r="S292" s="46">
        <f>IF(VLOOKUP($C292,REV!$C:$AA,17,0)-'TRADE IN'!$F292=0,"",(VLOOKUP($C292,REV!$C:$AA,17,0)-'TRADE IN'!$F292))</f>
        <v>1399</v>
      </c>
      <c r="T292" s="46">
        <f>IF(VLOOKUP($C292,REV!$C:$AA,18,0)-'TRADE IN'!$F292=0,"",(VLOOKUP($C292,REV!$C:$AA,18,0)-'TRADE IN'!$F292))</f>
        <v>1199</v>
      </c>
      <c r="U292" s="46">
        <f>IF(VLOOKUP($C292,REV!$C:$AA,19,0)-'TRADE IN'!$F292=0,"",(VLOOKUP($C292,REV!$C:$AA,19,0)-'TRADE IN'!$F292))</f>
        <v>1199</v>
      </c>
      <c r="V292" s="46">
        <f>IF(VLOOKUP($C292,REV!$C:$AA,20,0)-'TRADE IN'!$F292=0,"",(VLOOKUP($C292,REV!$C:$AA,20,0)-'TRADE IN'!$F292))</f>
        <v>1199</v>
      </c>
      <c r="W292" s="46">
        <f>IF(VLOOKUP($C292,REV!$C:$AA,21,0)-'TRADE IN'!$F292=0,"",(VLOOKUP($C292,REV!$C:$AA,21,0)-'TRADE IN'!$F292))</f>
        <v>1199</v>
      </c>
      <c r="X292" s="46">
        <f>IF(VLOOKUP($C292,REV!$C:$AA,22,0)-'TRADE IN'!$F292=0,"",(VLOOKUP($C292,REV!$C:$AA,22,0)-'TRADE IN'!$F292))</f>
        <v>1099</v>
      </c>
      <c r="Y292" s="46">
        <f>IF(VLOOKUP($C292,REV!$C:$AA,23,0)-'TRADE IN'!$F292=0,"",(VLOOKUP($C292,REV!$C:$AA,23,0)-'TRADE IN'!$F292))</f>
        <v>899</v>
      </c>
      <c r="Z292" s="46">
        <f>IF(VLOOKUP($C292,REV!$C:$AA,24,0)-'TRADE IN'!$F292=0,"",(VLOOKUP($C292,REV!$C:$AA,24,0)-'TRADE IN'!$F292))</f>
        <v>899</v>
      </c>
      <c r="AA292" s="46">
        <f>IF(VLOOKUP($C292,REV!$C:$AA,25,0)-'TRADE IN'!$F292=0,"",(VLOOKUP($C292,REV!$C:$AA,25,0)-'TRADE IN'!$F292))</f>
        <v>849</v>
      </c>
      <c r="AB292" s="45"/>
      <c r="AC292" s="45"/>
      <c r="AD292" s="45"/>
      <c r="AE292" s="45"/>
      <c r="AF292" s="45"/>
      <c r="AG292" s="45"/>
      <c r="AH292" s="45"/>
      <c r="AI292" s="45"/>
      <c r="AJ292" s="45"/>
      <c r="AK292" s="45"/>
      <c r="AL292" s="45"/>
      <c r="AM292" s="45"/>
      <c r="AN292" s="45"/>
      <c r="AO292" s="45"/>
      <c r="AP292" s="45"/>
      <c r="AQ292" s="45"/>
      <c r="AR292" s="45"/>
      <c r="AS292" s="45"/>
      <c r="AT292" s="45"/>
      <c r="AU292" s="45"/>
      <c r="AV292" s="47"/>
      <c r="AW292" s="48" t="str">
        <f>REV!AW292</f>
        <v>13.08.2026</v>
      </c>
      <c r="AX292" s="149" t="s">
        <v>68</v>
      </c>
    </row>
    <row r="293" spans="1:50" ht="22.5" customHeight="1">
      <c r="A293" s="55" t="s">
        <v>222</v>
      </c>
      <c r="B293" s="42" t="s">
        <v>64</v>
      </c>
      <c r="C293" s="43">
        <v>4015481</v>
      </c>
      <c r="D293" s="56" t="s">
        <v>454</v>
      </c>
      <c r="E293" s="56" t="s">
        <v>457</v>
      </c>
      <c r="F293" s="45">
        <v>100</v>
      </c>
      <c r="G293" s="45"/>
      <c r="H293" s="45"/>
      <c r="I293" s="45"/>
      <c r="J293" s="46">
        <f>IF(VLOOKUP($C293,REV!$C:$AA,8,0)-'TRADE IN'!$F293=0,"",(VLOOKUP($C293,REV!$C:$AA,8,0)-'TRADE IN'!$F293))</f>
        <v>1599</v>
      </c>
      <c r="K293" s="46">
        <f>IF(VLOOKUP($C293,REV!$C:$AA,9,0)-'TRADE IN'!$F293=0,"",(VLOOKUP($C293,REV!$C:$AA,9,0)-'TRADE IN'!$F293))</f>
        <v>1599</v>
      </c>
      <c r="L293" s="46">
        <f>IF(VLOOKUP($C293,REV!$C:$AA,10,0)-'TRADE IN'!$F293=0,"",(VLOOKUP($C293,REV!$C:$AA,10,0)-'TRADE IN'!$F293))</f>
        <v>1599</v>
      </c>
      <c r="M293" s="46">
        <f>IF(VLOOKUP($C293,REV!$C:$AA,11,0)-'TRADE IN'!$F293=0,"",(VLOOKUP($C293,REV!$C:$AA,11,0)-'TRADE IN'!$F293))</f>
        <v>1599</v>
      </c>
      <c r="N293" s="46">
        <f>IF(VLOOKUP($C293,REV!$C:$AA,12,0)-'TRADE IN'!$F293=0,"",(VLOOKUP($C293,REV!$C:$AA,12,0)-'TRADE IN'!$F293))</f>
        <v>1599</v>
      </c>
      <c r="O293" s="46">
        <f>IF(VLOOKUP($C293,REV!$C:$AA,13,0)-'TRADE IN'!$F293=0,"",(VLOOKUP($C293,REV!$C:$AA,13,0)-'TRADE IN'!$F293))</f>
        <v>1549</v>
      </c>
      <c r="P293" s="46">
        <f>IF(VLOOKUP($C293,REV!$C:$AA,14,0)-'TRADE IN'!$F293=0,"",(VLOOKUP($C293,REV!$C:$AA,14,0)-'TRADE IN'!$F293))</f>
        <v>1399</v>
      </c>
      <c r="Q293" s="46">
        <f>IF(VLOOKUP($C293,REV!$C:$AA,15,0)-'TRADE IN'!$F293=0,"",(VLOOKUP($C293,REV!$C:$AA,15,0)-'TRADE IN'!$F293))</f>
        <v>1199</v>
      </c>
      <c r="R293" s="46">
        <f>IF(VLOOKUP($C293,REV!$C:$AA,16,0)-'TRADE IN'!$F293=0,"",(VLOOKUP($C293,REV!$C:$AA,16,0)-'TRADE IN'!$F293))</f>
        <v>1549</v>
      </c>
      <c r="S293" s="46">
        <f>IF(VLOOKUP($C293,REV!$C:$AA,17,0)-'TRADE IN'!$F293=0,"",(VLOOKUP($C293,REV!$C:$AA,17,0)-'TRADE IN'!$F293))</f>
        <v>1399</v>
      </c>
      <c r="T293" s="46">
        <f>IF(VLOOKUP($C293,REV!$C:$AA,18,0)-'TRADE IN'!$F293=0,"",(VLOOKUP($C293,REV!$C:$AA,18,0)-'TRADE IN'!$F293))</f>
        <v>1199</v>
      </c>
      <c r="U293" s="46">
        <f>IF(VLOOKUP($C293,REV!$C:$AA,19,0)-'TRADE IN'!$F293=0,"",(VLOOKUP($C293,REV!$C:$AA,19,0)-'TRADE IN'!$F293))</f>
        <v>1199</v>
      </c>
      <c r="V293" s="46">
        <f>IF(VLOOKUP($C293,REV!$C:$AA,20,0)-'TRADE IN'!$F293=0,"",(VLOOKUP($C293,REV!$C:$AA,20,0)-'TRADE IN'!$F293))</f>
        <v>1199</v>
      </c>
      <c r="W293" s="46">
        <f>IF(VLOOKUP($C293,REV!$C:$AA,21,0)-'TRADE IN'!$F293=0,"",(VLOOKUP($C293,REV!$C:$AA,21,0)-'TRADE IN'!$F293))</f>
        <v>1199</v>
      </c>
      <c r="X293" s="46">
        <f>IF(VLOOKUP($C293,REV!$C:$AA,22,0)-'TRADE IN'!$F293=0,"",(VLOOKUP($C293,REV!$C:$AA,22,0)-'TRADE IN'!$F293))</f>
        <v>1099</v>
      </c>
      <c r="Y293" s="46">
        <f>IF(VLOOKUP($C293,REV!$C:$AA,23,0)-'TRADE IN'!$F293=0,"",(VLOOKUP($C293,REV!$C:$AA,23,0)-'TRADE IN'!$F293))</f>
        <v>899</v>
      </c>
      <c r="Z293" s="46">
        <f>IF(VLOOKUP($C293,REV!$C:$AA,24,0)-'TRADE IN'!$F293=0,"",(VLOOKUP($C293,REV!$C:$AA,24,0)-'TRADE IN'!$F293))</f>
        <v>899</v>
      </c>
      <c r="AA293" s="46">
        <f>IF(VLOOKUP($C293,REV!$C:$AA,25,0)-'TRADE IN'!$F293=0,"",(VLOOKUP($C293,REV!$C:$AA,25,0)-'TRADE IN'!$F293))</f>
        <v>849</v>
      </c>
      <c r="AB293" s="45"/>
      <c r="AC293" s="45"/>
      <c r="AD293" s="45"/>
      <c r="AE293" s="45"/>
      <c r="AF293" s="45"/>
      <c r="AG293" s="45"/>
      <c r="AH293" s="45"/>
      <c r="AI293" s="45"/>
      <c r="AJ293" s="45"/>
      <c r="AK293" s="45"/>
      <c r="AL293" s="45"/>
      <c r="AM293" s="45"/>
      <c r="AN293" s="45"/>
      <c r="AO293" s="45"/>
      <c r="AP293" s="45"/>
      <c r="AQ293" s="45"/>
      <c r="AR293" s="45"/>
      <c r="AS293" s="45"/>
      <c r="AT293" s="45"/>
      <c r="AU293" s="45"/>
      <c r="AV293" s="47"/>
      <c r="AW293" s="48" t="str">
        <f>REV!AW293</f>
        <v>13.08.2026</v>
      </c>
      <c r="AX293" s="149" t="s">
        <v>68</v>
      </c>
    </row>
    <row r="294" spans="1:50" ht="22.5" customHeight="1">
      <c r="A294" s="55" t="s">
        <v>222</v>
      </c>
      <c r="B294" s="42" t="s">
        <v>64</v>
      </c>
      <c r="C294" s="43">
        <v>4015914</v>
      </c>
      <c r="D294" s="56" t="s">
        <v>454</v>
      </c>
      <c r="E294" s="56" t="s">
        <v>458</v>
      </c>
      <c r="F294" s="45">
        <v>100</v>
      </c>
      <c r="G294" s="45"/>
      <c r="H294" s="45"/>
      <c r="I294" s="45"/>
      <c r="J294" s="46">
        <f>IF(VLOOKUP($C294,REV!$C:$AA,8,0)-'TRADE IN'!$F294=0,"",(VLOOKUP($C294,REV!$C:$AA,8,0)-'TRADE IN'!$F294))</f>
        <v>1599</v>
      </c>
      <c r="K294" s="46">
        <f>IF(VLOOKUP($C294,REV!$C:$AA,9,0)-'TRADE IN'!$F294=0,"",(VLOOKUP($C294,REV!$C:$AA,9,0)-'TRADE IN'!$F294))</f>
        <v>1599</v>
      </c>
      <c r="L294" s="46">
        <f>IF(VLOOKUP($C294,REV!$C:$AA,10,0)-'TRADE IN'!$F294=0,"",(VLOOKUP($C294,REV!$C:$AA,10,0)-'TRADE IN'!$F294))</f>
        <v>1599</v>
      </c>
      <c r="M294" s="46">
        <f>IF(VLOOKUP($C294,REV!$C:$AA,11,0)-'TRADE IN'!$F294=0,"",(VLOOKUP($C294,REV!$C:$AA,11,0)-'TRADE IN'!$F294))</f>
        <v>1599</v>
      </c>
      <c r="N294" s="46">
        <f>IF(VLOOKUP($C294,REV!$C:$AA,12,0)-'TRADE IN'!$F294=0,"",(VLOOKUP($C294,REV!$C:$AA,12,0)-'TRADE IN'!$F294))</f>
        <v>1599</v>
      </c>
      <c r="O294" s="46">
        <f>IF(VLOOKUP($C294,REV!$C:$AA,13,0)-'TRADE IN'!$F294=0,"",(VLOOKUP($C294,REV!$C:$AA,13,0)-'TRADE IN'!$F294))</f>
        <v>1549</v>
      </c>
      <c r="P294" s="46">
        <f>IF(VLOOKUP($C294,REV!$C:$AA,14,0)-'TRADE IN'!$F294=0,"",(VLOOKUP($C294,REV!$C:$AA,14,0)-'TRADE IN'!$F294))</f>
        <v>1399</v>
      </c>
      <c r="Q294" s="46">
        <f>IF(VLOOKUP($C294,REV!$C:$AA,15,0)-'TRADE IN'!$F294=0,"",(VLOOKUP($C294,REV!$C:$AA,15,0)-'TRADE IN'!$F294))</f>
        <v>1199</v>
      </c>
      <c r="R294" s="46">
        <f>IF(VLOOKUP($C294,REV!$C:$AA,16,0)-'TRADE IN'!$F294=0,"",(VLOOKUP($C294,REV!$C:$AA,16,0)-'TRADE IN'!$F294))</f>
        <v>1549</v>
      </c>
      <c r="S294" s="46">
        <f>IF(VLOOKUP($C294,REV!$C:$AA,17,0)-'TRADE IN'!$F294=0,"",(VLOOKUP($C294,REV!$C:$AA,17,0)-'TRADE IN'!$F294))</f>
        <v>1399</v>
      </c>
      <c r="T294" s="46">
        <f>IF(VLOOKUP($C294,REV!$C:$AA,18,0)-'TRADE IN'!$F294=0,"",(VLOOKUP($C294,REV!$C:$AA,18,0)-'TRADE IN'!$F294))</f>
        <v>1199</v>
      </c>
      <c r="U294" s="46">
        <f>IF(VLOOKUP($C294,REV!$C:$AA,19,0)-'TRADE IN'!$F294=0,"",(VLOOKUP($C294,REV!$C:$AA,19,0)-'TRADE IN'!$F294))</f>
        <v>1199</v>
      </c>
      <c r="V294" s="46">
        <f>IF(VLOOKUP($C294,REV!$C:$AA,20,0)-'TRADE IN'!$F294=0,"",(VLOOKUP($C294,REV!$C:$AA,20,0)-'TRADE IN'!$F294))</f>
        <v>1199</v>
      </c>
      <c r="W294" s="46">
        <f>IF(VLOOKUP($C294,REV!$C:$AA,21,0)-'TRADE IN'!$F294=0,"",(VLOOKUP($C294,REV!$C:$AA,21,0)-'TRADE IN'!$F294))</f>
        <v>1199</v>
      </c>
      <c r="X294" s="46">
        <f>IF(VLOOKUP($C294,REV!$C:$AA,22,0)-'TRADE IN'!$F294=0,"",(VLOOKUP($C294,REV!$C:$AA,22,0)-'TRADE IN'!$F294))</f>
        <v>1099</v>
      </c>
      <c r="Y294" s="46">
        <f>IF(VLOOKUP($C294,REV!$C:$AA,23,0)-'TRADE IN'!$F294=0,"",(VLOOKUP($C294,REV!$C:$AA,23,0)-'TRADE IN'!$F294))</f>
        <v>899</v>
      </c>
      <c r="Z294" s="46">
        <f>IF(VLOOKUP($C294,REV!$C:$AA,24,0)-'TRADE IN'!$F294=0,"",(VLOOKUP($C294,REV!$C:$AA,24,0)-'TRADE IN'!$F294))</f>
        <v>899</v>
      </c>
      <c r="AA294" s="46">
        <f>IF(VLOOKUP($C294,REV!$C:$AA,25,0)-'TRADE IN'!$F294=0,"",(VLOOKUP($C294,REV!$C:$AA,25,0)-'TRADE IN'!$F294))</f>
        <v>849</v>
      </c>
      <c r="AB294" s="45"/>
      <c r="AC294" s="45"/>
      <c r="AD294" s="45"/>
      <c r="AE294" s="45"/>
      <c r="AF294" s="45"/>
      <c r="AG294" s="45"/>
      <c r="AH294" s="45"/>
      <c r="AI294" s="45"/>
      <c r="AJ294" s="45"/>
      <c r="AK294" s="45"/>
      <c r="AL294" s="45"/>
      <c r="AM294" s="45"/>
      <c r="AN294" s="45"/>
      <c r="AO294" s="45"/>
      <c r="AP294" s="45"/>
      <c r="AQ294" s="45"/>
      <c r="AR294" s="45"/>
      <c r="AS294" s="45"/>
      <c r="AT294" s="45"/>
      <c r="AU294" s="45"/>
      <c r="AV294" s="47"/>
      <c r="AW294" s="48" t="str">
        <f>REV!AW294</f>
        <v>13.08.2026</v>
      </c>
      <c r="AX294" s="149" t="s">
        <v>68</v>
      </c>
    </row>
    <row r="295" spans="1:50" ht="22.5" customHeight="1">
      <c r="A295" s="55" t="s">
        <v>222</v>
      </c>
      <c r="B295" s="42" t="s">
        <v>64</v>
      </c>
      <c r="C295" s="43">
        <v>4015938</v>
      </c>
      <c r="D295" s="56" t="s">
        <v>459</v>
      </c>
      <c r="E295" s="56" t="s">
        <v>460</v>
      </c>
      <c r="F295" s="45">
        <v>100</v>
      </c>
      <c r="G295" s="45"/>
      <c r="H295" s="45"/>
      <c r="I295" s="45"/>
      <c r="J295" s="46">
        <f>IF(VLOOKUP($C295,REV!$C:$AA,8,0)-'TRADE IN'!$F295=0,"",(VLOOKUP($C295,REV!$C:$AA,8,0)-'TRADE IN'!$F295))</f>
        <v>1799</v>
      </c>
      <c r="K295" s="46">
        <f>IF(VLOOKUP($C295,REV!$C:$AA,9,0)-'TRADE IN'!$F295=0,"",(VLOOKUP($C295,REV!$C:$AA,9,0)-'TRADE IN'!$F295))</f>
        <v>1699</v>
      </c>
      <c r="L295" s="46">
        <f>IF(VLOOKUP($C295,REV!$C:$AA,10,0)-'TRADE IN'!$F295=0,"",(VLOOKUP($C295,REV!$C:$AA,10,0)-'TRADE IN'!$F295))</f>
        <v>1699</v>
      </c>
      <c r="M295" s="46">
        <f>IF(VLOOKUP($C295,REV!$C:$AA,11,0)-'TRADE IN'!$F295=0,"",(VLOOKUP($C295,REV!$C:$AA,11,0)-'TRADE IN'!$F295))</f>
        <v>1799</v>
      </c>
      <c r="N295" s="46">
        <f>IF(VLOOKUP($C295,REV!$C:$AA,12,0)-'TRADE IN'!$F295=0,"",(VLOOKUP($C295,REV!$C:$AA,12,0)-'TRADE IN'!$F295))</f>
        <v>1699</v>
      </c>
      <c r="O295" s="46">
        <f>IF(VLOOKUP($C295,REV!$C:$AA,13,0)-'TRADE IN'!$F295=0,"",(VLOOKUP($C295,REV!$C:$AA,13,0)-'TRADE IN'!$F295))</f>
        <v>1649</v>
      </c>
      <c r="P295" s="46">
        <f>IF(VLOOKUP($C295,REV!$C:$AA,14,0)-'TRADE IN'!$F295=0,"",(VLOOKUP($C295,REV!$C:$AA,14,0)-'TRADE IN'!$F295))</f>
        <v>1599</v>
      </c>
      <c r="Q295" s="46">
        <f>IF(VLOOKUP($C295,REV!$C:$AA,15,0)-'TRADE IN'!$F295=0,"",(VLOOKUP($C295,REV!$C:$AA,15,0)-'TRADE IN'!$F295))</f>
        <v>1199</v>
      </c>
      <c r="R295" s="46">
        <f>IF(VLOOKUP($C295,REV!$C:$AA,16,0)-'TRADE IN'!$F295=0,"",(VLOOKUP($C295,REV!$C:$AA,16,0)-'TRADE IN'!$F295))</f>
        <v>1649</v>
      </c>
      <c r="S295" s="46">
        <f>IF(VLOOKUP($C295,REV!$C:$AA,17,0)-'TRADE IN'!$F295=0,"",(VLOOKUP($C295,REV!$C:$AA,17,0)-'TRADE IN'!$F295))</f>
        <v>1599</v>
      </c>
      <c r="T295" s="46">
        <f>IF(VLOOKUP($C295,REV!$C:$AA,18,0)-'TRADE IN'!$F295=0,"",(VLOOKUP($C295,REV!$C:$AA,18,0)-'TRADE IN'!$F295))</f>
        <v>1199</v>
      </c>
      <c r="U295" s="46">
        <f>IF(VLOOKUP($C295,REV!$C:$AA,19,0)-'TRADE IN'!$F295=0,"",(VLOOKUP($C295,REV!$C:$AA,19,0)-'TRADE IN'!$F295))</f>
        <v>1199</v>
      </c>
      <c r="V295" s="46">
        <f>IF(VLOOKUP($C295,REV!$C:$AA,20,0)-'TRADE IN'!$F295=0,"",(VLOOKUP($C295,REV!$C:$AA,20,0)-'TRADE IN'!$F295))</f>
        <v>1199</v>
      </c>
      <c r="W295" s="46">
        <f>IF(VLOOKUP($C295,REV!$C:$AA,21,0)-'TRADE IN'!$F295=0,"",(VLOOKUP($C295,REV!$C:$AA,21,0)-'TRADE IN'!$F295))</f>
        <v>1199</v>
      </c>
      <c r="X295" s="46">
        <f>IF(VLOOKUP($C295,REV!$C:$AA,22,0)-'TRADE IN'!$F295=0,"",(VLOOKUP($C295,REV!$C:$AA,22,0)-'TRADE IN'!$F295))</f>
        <v>1199</v>
      </c>
      <c r="Y295" s="46">
        <f>IF(VLOOKUP($C295,REV!$C:$AA,23,0)-'TRADE IN'!$F295=0,"",(VLOOKUP($C295,REV!$C:$AA,23,0)-'TRADE IN'!$F295))</f>
        <v>1099</v>
      </c>
      <c r="Z295" s="46">
        <f>IF(VLOOKUP($C295,REV!$C:$AA,24,0)-'TRADE IN'!$F295=0,"",(VLOOKUP($C295,REV!$C:$AA,24,0)-'TRADE IN'!$F295))</f>
        <v>1099</v>
      </c>
      <c r="AA295" s="46">
        <f>IF(VLOOKUP($C295,REV!$C:$AA,25,0)-'TRADE IN'!$F295=0,"",(VLOOKUP($C295,REV!$C:$AA,25,0)-'TRADE IN'!$F295))</f>
        <v>1099</v>
      </c>
      <c r="AB295" s="45"/>
      <c r="AC295" s="45"/>
      <c r="AD295" s="45"/>
      <c r="AE295" s="45"/>
      <c r="AF295" s="45"/>
      <c r="AG295" s="45"/>
      <c r="AH295" s="45"/>
      <c r="AI295" s="45"/>
      <c r="AJ295" s="45"/>
      <c r="AK295" s="45"/>
      <c r="AL295" s="45"/>
      <c r="AM295" s="45"/>
      <c r="AN295" s="45"/>
      <c r="AO295" s="45"/>
      <c r="AP295" s="45"/>
      <c r="AQ295" s="45"/>
      <c r="AR295" s="45"/>
      <c r="AS295" s="45"/>
      <c r="AT295" s="45"/>
      <c r="AU295" s="45"/>
      <c r="AV295" s="47"/>
      <c r="AW295" s="48" t="str">
        <f>REV!AW295</f>
        <v>13.08.2026</v>
      </c>
      <c r="AX295" s="149" t="s">
        <v>68</v>
      </c>
    </row>
    <row r="296" spans="1:50" ht="22.5" customHeight="1">
      <c r="A296" s="55" t="s">
        <v>222</v>
      </c>
      <c r="B296" s="42" t="s">
        <v>64</v>
      </c>
      <c r="C296" s="43">
        <v>4016161</v>
      </c>
      <c r="D296" s="56" t="s">
        <v>459</v>
      </c>
      <c r="E296" s="56" t="s">
        <v>461</v>
      </c>
      <c r="F296" s="45">
        <v>100</v>
      </c>
      <c r="G296" s="45"/>
      <c r="H296" s="45"/>
      <c r="I296" s="45"/>
      <c r="J296" s="46">
        <f>IF(VLOOKUP($C296,REV!$C:$AA,8,0)-'TRADE IN'!$F296=0,"",(VLOOKUP($C296,REV!$C:$AA,8,0)-'TRADE IN'!$F296))</f>
        <v>1799</v>
      </c>
      <c r="K296" s="46">
        <f>IF(VLOOKUP($C296,REV!$C:$AA,9,0)-'TRADE IN'!$F296=0,"",(VLOOKUP($C296,REV!$C:$AA,9,0)-'TRADE IN'!$F296))</f>
        <v>1699</v>
      </c>
      <c r="L296" s="46">
        <f>IF(VLOOKUP($C296,REV!$C:$AA,10,0)-'TRADE IN'!$F296=0,"",(VLOOKUP($C296,REV!$C:$AA,10,0)-'TRADE IN'!$F296))</f>
        <v>1699</v>
      </c>
      <c r="M296" s="46">
        <f>IF(VLOOKUP($C296,REV!$C:$AA,11,0)-'TRADE IN'!$F296=0,"",(VLOOKUP($C296,REV!$C:$AA,11,0)-'TRADE IN'!$F296))</f>
        <v>1799</v>
      </c>
      <c r="N296" s="46">
        <f>IF(VLOOKUP($C296,REV!$C:$AA,12,0)-'TRADE IN'!$F296=0,"",(VLOOKUP($C296,REV!$C:$AA,12,0)-'TRADE IN'!$F296))</f>
        <v>1699</v>
      </c>
      <c r="O296" s="46">
        <f>IF(VLOOKUP($C296,REV!$C:$AA,13,0)-'TRADE IN'!$F296=0,"",(VLOOKUP($C296,REV!$C:$AA,13,0)-'TRADE IN'!$F296))</f>
        <v>1649</v>
      </c>
      <c r="P296" s="46">
        <f>IF(VLOOKUP($C296,REV!$C:$AA,14,0)-'TRADE IN'!$F296=0,"",(VLOOKUP($C296,REV!$C:$AA,14,0)-'TRADE IN'!$F296))</f>
        <v>1599</v>
      </c>
      <c r="Q296" s="46">
        <f>IF(VLOOKUP($C296,REV!$C:$AA,15,0)-'TRADE IN'!$F296=0,"",(VLOOKUP($C296,REV!$C:$AA,15,0)-'TRADE IN'!$F296))</f>
        <v>1199</v>
      </c>
      <c r="R296" s="46">
        <f>IF(VLOOKUP($C296,REV!$C:$AA,16,0)-'TRADE IN'!$F296=0,"",(VLOOKUP($C296,REV!$C:$AA,16,0)-'TRADE IN'!$F296))</f>
        <v>1649</v>
      </c>
      <c r="S296" s="46">
        <f>IF(VLOOKUP($C296,REV!$C:$AA,17,0)-'TRADE IN'!$F296=0,"",(VLOOKUP($C296,REV!$C:$AA,17,0)-'TRADE IN'!$F296))</f>
        <v>1599</v>
      </c>
      <c r="T296" s="46">
        <f>IF(VLOOKUP($C296,REV!$C:$AA,18,0)-'TRADE IN'!$F296=0,"",(VLOOKUP($C296,REV!$C:$AA,18,0)-'TRADE IN'!$F296))</f>
        <v>1199</v>
      </c>
      <c r="U296" s="46">
        <f>IF(VLOOKUP($C296,REV!$C:$AA,19,0)-'TRADE IN'!$F296=0,"",(VLOOKUP($C296,REV!$C:$AA,19,0)-'TRADE IN'!$F296))</f>
        <v>1199</v>
      </c>
      <c r="V296" s="46">
        <f>IF(VLOOKUP($C296,REV!$C:$AA,20,0)-'TRADE IN'!$F296=0,"",(VLOOKUP($C296,REV!$C:$AA,20,0)-'TRADE IN'!$F296))</f>
        <v>1199</v>
      </c>
      <c r="W296" s="46">
        <f>IF(VLOOKUP($C296,REV!$C:$AA,21,0)-'TRADE IN'!$F296=0,"",(VLOOKUP($C296,REV!$C:$AA,21,0)-'TRADE IN'!$F296))</f>
        <v>1199</v>
      </c>
      <c r="X296" s="46">
        <f>IF(VLOOKUP($C296,REV!$C:$AA,22,0)-'TRADE IN'!$F296=0,"",(VLOOKUP($C296,REV!$C:$AA,22,0)-'TRADE IN'!$F296))</f>
        <v>1199</v>
      </c>
      <c r="Y296" s="46">
        <f>IF(VLOOKUP($C296,REV!$C:$AA,23,0)-'TRADE IN'!$F296=0,"",(VLOOKUP($C296,REV!$C:$AA,23,0)-'TRADE IN'!$F296))</f>
        <v>1099</v>
      </c>
      <c r="Z296" s="46">
        <f>IF(VLOOKUP($C296,REV!$C:$AA,24,0)-'TRADE IN'!$F296=0,"",(VLOOKUP($C296,REV!$C:$AA,24,0)-'TRADE IN'!$F296))</f>
        <v>1099</v>
      </c>
      <c r="AA296" s="46">
        <f>IF(VLOOKUP($C296,REV!$C:$AA,25,0)-'TRADE IN'!$F296=0,"",(VLOOKUP($C296,REV!$C:$AA,25,0)-'TRADE IN'!$F296))</f>
        <v>1099</v>
      </c>
      <c r="AB296" s="45"/>
      <c r="AC296" s="45"/>
      <c r="AD296" s="45"/>
      <c r="AE296" s="45"/>
      <c r="AF296" s="45"/>
      <c r="AG296" s="45"/>
      <c r="AH296" s="45"/>
      <c r="AI296" s="45"/>
      <c r="AJ296" s="45"/>
      <c r="AK296" s="45"/>
      <c r="AL296" s="45"/>
      <c r="AM296" s="45"/>
      <c r="AN296" s="45"/>
      <c r="AO296" s="45"/>
      <c r="AP296" s="45"/>
      <c r="AQ296" s="45"/>
      <c r="AR296" s="45"/>
      <c r="AS296" s="45"/>
      <c r="AT296" s="45"/>
      <c r="AU296" s="45"/>
      <c r="AV296" s="47"/>
      <c r="AW296" s="48" t="str">
        <f>REV!AW296</f>
        <v>13.08.2026</v>
      </c>
      <c r="AX296" s="149" t="s">
        <v>68</v>
      </c>
    </row>
    <row r="297" spans="1:50" ht="22.5" customHeight="1">
      <c r="A297" s="55" t="s">
        <v>222</v>
      </c>
      <c r="B297" s="42" t="s">
        <v>64</v>
      </c>
      <c r="C297" s="43">
        <v>4015933</v>
      </c>
      <c r="D297" s="56" t="s">
        <v>459</v>
      </c>
      <c r="E297" s="56" t="s">
        <v>462</v>
      </c>
      <c r="F297" s="45">
        <v>100</v>
      </c>
      <c r="G297" s="45"/>
      <c r="H297" s="45"/>
      <c r="I297" s="45"/>
      <c r="J297" s="46">
        <f>IF(VLOOKUP($C297,REV!$C:$AA,8,0)-'TRADE IN'!$F297=0,"",(VLOOKUP($C297,REV!$C:$AA,8,0)-'TRADE IN'!$F297))</f>
        <v>1799</v>
      </c>
      <c r="K297" s="46">
        <f>IF(VLOOKUP($C297,REV!$C:$AA,9,0)-'TRADE IN'!$F297=0,"",(VLOOKUP($C297,REV!$C:$AA,9,0)-'TRADE IN'!$F297))</f>
        <v>1699</v>
      </c>
      <c r="L297" s="46">
        <f>IF(VLOOKUP($C297,REV!$C:$AA,10,0)-'TRADE IN'!$F297=0,"",(VLOOKUP($C297,REV!$C:$AA,10,0)-'TRADE IN'!$F297))</f>
        <v>1699</v>
      </c>
      <c r="M297" s="46">
        <f>IF(VLOOKUP($C297,REV!$C:$AA,11,0)-'TRADE IN'!$F297=0,"",(VLOOKUP($C297,REV!$C:$AA,11,0)-'TRADE IN'!$F297))</f>
        <v>1799</v>
      </c>
      <c r="N297" s="46">
        <f>IF(VLOOKUP($C297,REV!$C:$AA,12,0)-'TRADE IN'!$F297=0,"",(VLOOKUP($C297,REV!$C:$AA,12,0)-'TRADE IN'!$F297))</f>
        <v>1699</v>
      </c>
      <c r="O297" s="46">
        <f>IF(VLOOKUP($C297,REV!$C:$AA,13,0)-'TRADE IN'!$F297=0,"",(VLOOKUP($C297,REV!$C:$AA,13,0)-'TRADE IN'!$F297))</f>
        <v>1649</v>
      </c>
      <c r="P297" s="46">
        <f>IF(VLOOKUP($C297,REV!$C:$AA,14,0)-'TRADE IN'!$F297=0,"",(VLOOKUP($C297,REV!$C:$AA,14,0)-'TRADE IN'!$F297))</f>
        <v>1599</v>
      </c>
      <c r="Q297" s="46">
        <f>IF(VLOOKUP($C297,REV!$C:$AA,15,0)-'TRADE IN'!$F297=0,"",(VLOOKUP($C297,REV!$C:$AA,15,0)-'TRADE IN'!$F297))</f>
        <v>1199</v>
      </c>
      <c r="R297" s="46">
        <f>IF(VLOOKUP($C297,REV!$C:$AA,16,0)-'TRADE IN'!$F297=0,"",(VLOOKUP($C297,REV!$C:$AA,16,0)-'TRADE IN'!$F297))</f>
        <v>1649</v>
      </c>
      <c r="S297" s="46">
        <f>IF(VLOOKUP($C297,REV!$C:$AA,17,0)-'TRADE IN'!$F297=0,"",(VLOOKUP($C297,REV!$C:$AA,17,0)-'TRADE IN'!$F297))</f>
        <v>1599</v>
      </c>
      <c r="T297" s="46">
        <f>IF(VLOOKUP($C297,REV!$C:$AA,18,0)-'TRADE IN'!$F297=0,"",(VLOOKUP($C297,REV!$C:$AA,18,0)-'TRADE IN'!$F297))</f>
        <v>1199</v>
      </c>
      <c r="U297" s="46">
        <f>IF(VLOOKUP($C297,REV!$C:$AA,19,0)-'TRADE IN'!$F297=0,"",(VLOOKUP($C297,REV!$C:$AA,19,0)-'TRADE IN'!$F297))</f>
        <v>1199</v>
      </c>
      <c r="V297" s="46">
        <f>IF(VLOOKUP($C297,REV!$C:$AA,20,0)-'TRADE IN'!$F297=0,"",(VLOOKUP($C297,REV!$C:$AA,20,0)-'TRADE IN'!$F297))</f>
        <v>1199</v>
      </c>
      <c r="W297" s="46">
        <f>IF(VLOOKUP($C297,REV!$C:$AA,21,0)-'TRADE IN'!$F297=0,"",(VLOOKUP($C297,REV!$C:$AA,21,0)-'TRADE IN'!$F297))</f>
        <v>1199</v>
      </c>
      <c r="X297" s="46">
        <f>IF(VLOOKUP($C297,REV!$C:$AA,22,0)-'TRADE IN'!$F297=0,"",(VLOOKUP($C297,REV!$C:$AA,22,0)-'TRADE IN'!$F297))</f>
        <v>1199</v>
      </c>
      <c r="Y297" s="46">
        <f>IF(VLOOKUP($C297,REV!$C:$AA,23,0)-'TRADE IN'!$F297=0,"",(VLOOKUP($C297,REV!$C:$AA,23,0)-'TRADE IN'!$F297))</f>
        <v>1099</v>
      </c>
      <c r="Z297" s="46">
        <f>IF(VLOOKUP($C297,REV!$C:$AA,24,0)-'TRADE IN'!$F297=0,"",(VLOOKUP($C297,REV!$C:$AA,24,0)-'TRADE IN'!$F297))</f>
        <v>1099</v>
      </c>
      <c r="AA297" s="46">
        <f>IF(VLOOKUP($C297,REV!$C:$AA,25,0)-'TRADE IN'!$F297=0,"",(VLOOKUP($C297,REV!$C:$AA,25,0)-'TRADE IN'!$F297))</f>
        <v>1099</v>
      </c>
      <c r="AB297" s="45"/>
      <c r="AC297" s="45"/>
      <c r="AD297" s="45"/>
      <c r="AE297" s="45"/>
      <c r="AF297" s="45"/>
      <c r="AG297" s="45"/>
      <c r="AH297" s="45"/>
      <c r="AI297" s="45"/>
      <c r="AJ297" s="45"/>
      <c r="AK297" s="45"/>
      <c r="AL297" s="45"/>
      <c r="AM297" s="45"/>
      <c r="AN297" s="45"/>
      <c r="AO297" s="45"/>
      <c r="AP297" s="45"/>
      <c r="AQ297" s="45"/>
      <c r="AR297" s="45"/>
      <c r="AS297" s="45"/>
      <c r="AT297" s="45"/>
      <c r="AU297" s="45"/>
      <c r="AV297" s="47"/>
      <c r="AW297" s="48" t="str">
        <f>REV!AW297</f>
        <v>13.08.2026</v>
      </c>
      <c r="AX297" s="149" t="s">
        <v>68</v>
      </c>
    </row>
    <row r="298" spans="1:50" ht="22.5" customHeight="1">
      <c r="A298" s="55" t="s">
        <v>222</v>
      </c>
      <c r="B298" s="42" t="s">
        <v>64</v>
      </c>
      <c r="C298" s="43">
        <v>4016156</v>
      </c>
      <c r="D298" s="56" t="s">
        <v>459</v>
      </c>
      <c r="E298" s="56" t="s">
        <v>463</v>
      </c>
      <c r="F298" s="45">
        <v>100</v>
      </c>
      <c r="G298" s="45"/>
      <c r="H298" s="45"/>
      <c r="I298" s="45"/>
      <c r="J298" s="46">
        <f>IF(VLOOKUP($C298,REV!$C:$AA,8,0)-'TRADE IN'!$F298=0,"",(VLOOKUP($C298,REV!$C:$AA,8,0)-'TRADE IN'!$F298))</f>
        <v>1799</v>
      </c>
      <c r="K298" s="46">
        <f>IF(VLOOKUP($C298,REV!$C:$AA,9,0)-'TRADE IN'!$F298=0,"",(VLOOKUP($C298,REV!$C:$AA,9,0)-'TRADE IN'!$F298))</f>
        <v>1699</v>
      </c>
      <c r="L298" s="46">
        <f>IF(VLOOKUP($C298,REV!$C:$AA,10,0)-'TRADE IN'!$F298=0,"",(VLOOKUP($C298,REV!$C:$AA,10,0)-'TRADE IN'!$F298))</f>
        <v>1699</v>
      </c>
      <c r="M298" s="46">
        <f>IF(VLOOKUP($C298,REV!$C:$AA,11,0)-'TRADE IN'!$F298=0,"",(VLOOKUP($C298,REV!$C:$AA,11,0)-'TRADE IN'!$F298))</f>
        <v>1799</v>
      </c>
      <c r="N298" s="46">
        <f>IF(VLOOKUP($C298,REV!$C:$AA,12,0)-'TRADE IN'!$F298=0,"",(VLOOKUP($C298,REV!$C:$AA,12,0)-'TRADE IN'!$F298))</f>
        <v>1699</v>
      </c>
      <c r="O298" s="46">
        <f>IF(VLOOKUP($C298,REV!$C:$AA,13,0)-'TRADE IN'!$F298=0,"",(VLOOKUP($C298,REV!$C:$AA,13,0)-'TRADE IN'!$F298))</f>
        <v>1649</v>
      </c>
      <c r="P298" s="46">
        <f>IF(VLOOKUP($C298,REV!$C:$AA,14,0)-'TRADE IN'!$F298=0,"",(VLOOKUP($C298,REV!$C:$AA,14,0)-'TRADE IN'!$F298))</f>
        <v>1599</v>
      </c>
      <c r="Q298" s="46">
        <f>IF(VLOOKUP($C298,REV!$C:$AA,15,0)-'TRADE IN'!$F298=0,"",(VLOOKUP($C298,REV!$C:$AA,15,0)-'TRADE IN'!$F298))</f>
        <v>1199</v>
      </c>
      <c r="R298" s="46">
        <f>IF(VLOOKUP($C298,REV!$C:$AA,16,0)-'TRADE IN'!$F298=0,"",(VLOOKUP($C298,REV!$C:$AA,16,0)-'TRADE IN'!$F298))</f>
        <v>1649</v>
      </c>
      <c r="S298" s="46">
        <f>IF(VLOOKUP($C298,REV!$C:$AA,17,0)-'TRADE IN'!$F298=0,"",(VLOOKUP($C298,REV!$C:$AA,17,0)-'TRADE IN'!$F298))</f>
        <v>1599</v>
      </c>
      <c r="T298" s="46">
        <f>IF(VLOOKUP($C298,REV!$C:$AA,18,0)-'TRADE IN'!$F298=0,"",(VLOOKUP($C298,REV!$C:$AA,18,0)-'TRADE IN'!$F298))</f>
        <v>1199</v>
      </c>
      <c r="U298" s="46">
        <f>IF(VLOOKUP($C298,REV!$C:$AA,19,0)-'TRADE IN'!$F298=0,"",(VLOOKUP($C298,REV!$C:$AA,19,0)-'TRADE IN'!$F298))</f>
        <v>1199</v>
      </c>
      <c r="V298" s="46">
        <f>IF(VLOOKUP($C298,REV!$C:$AA,20,0)-'TRADE IN'!$F298=0,"",(VLOOKUP($C298,REV!$C:$AA,20,0)-'TRADE IN'!$F298))</f>
        <v>1199</v>
      </c>
      <c r="W298" s="46">
        <f>IF(VLOOKUP($C298,REV!$C:$AA,21,0)-'TRADE IN'!$F298=0,"",(VLOOKUP($C298,REV!$C:$AA,21,0)-'TRADE IN'!$F298))</f>
        <v>1199</v>
      </c>
      <c r="X298" s="46">
        <f>IF(VLOOKUP($C298,REV!$C:$AA,22,0)-'TRADE IN'!$F298=0,"",(VLOOKUP($C298,REV!$C:$AA,22,0)-'TRADE IN'!$F298))</f>
        <v>1199</v>
      </c>
      <c r="Y298" s="46">
        <f>IF(VLOOKUP($C298,REV!$C:$AA,23,0)-'TRADE IN'!$F298=0,"",(VLOOKUP($C298,REV!$C:$AA,23,0)-'TRADE IN'!$F298))</f>
        <v>1099</v>
      </c>
      <c r="Z298" s="46">
        <f>IF(VLOOKUP($C298,REV!$C:$AA,24,0)-'TRADE IN'!$F298=0,"",(VLOOKUP($C298,REV!$C:$AA,24,0)-'TRADE IN'!$F298))</f>
        <v>1099</v>
      </c>
      <c r="AA298" s="46">
        <f>IF(VLOOKUP($C298,REV!$C:$AA,25,0)-'TRADE IN'!$F298=0,"",(VLOOKUP($C298,REV!$C:$AA,25,0)-'TRADE IN'!$F298))</f>
        <v>1099</v>
      </c>
      <c r="AB298" s="45"/>
      <c r="AC298" s="45"/>
      <c r="AD298" s="45"/>
      <c r="AE298" s="45"/>
      <c r="AF298" s="45"/>
      <c r="AG298" s="45"/>
      <c r="AH298" s="45"/>
      <c r="AI298" s="45"/>
      <c r="AJ298" s="45"/>
      <c r="AK298" s="45"/>
      <c r="AL298" s="45"/>
      <c r="AM298" s="45"/>
      <c r="AN298" s="45"/>
      <c r="AO298" s="45"/>
      <c r="AP298" s="45"/>
      <c r="AQ298" s="45"/>
      <c r="AR298" s="45"/>
      <c r="AS298" s="45"/>
      <c r="AT298" s="45"/>
      <c r="AU298" s="45"/>
      <c r="AV298" s="47"/>
      <c r="AW298" s="48" t="str">
        <f>REV!AW298</f>
        <v>13.08.2026</v>
      </c>
      <c r="AX298" s="149" t="s">
        <v>68</v>
      </c>
    </row>
    <row r="299" spans="1:50" ht="22.5" customHeight="1">
      <c r="A299" s="55" t="s">
        <v>222</v>
      </c>
      <c r="B299" s="42" t="s">
        <v>64</v>
      </c>
      <c r="C299" s="43">
        <v>4016157</v>
      </c>
      <c r="D299" s="56" t="s">
        <v>459</v>
      </c>
      <c r="E299" s="56" t="s">
        <v>464</v>
      </c>
      <c r="F299" s="45">
        <v>100</v>
      </c>
      <c r="G299" s="45"/>
      <c r="H299" s="45"/>
      <c r="I299" s="45"/>
      <c r="J299" s="46">
        <f>IF(VLOOKUP($C299,REV!$C:$AA,8,0)-'TRADE IN'!$F299=0,"",(VLOOKUP($C299,REV!$C:$AA,8,0)-'TRADE IN'!$F299))</f>
        <v>1799</v>
      </c>
      <c r="K299" s="46">
        <f>IF(VLOOKUP($C299,REV!$C:$AA,9,0)-'TRADE IN'!$F299=0,"",(VLOOKUP($C299,REV!$C:$AA,9,0)-'TRADE IN'!$F299))</f>
        <v>1699</v>
      </c>
      <c r="L299" s="46">
        <f>IF(VLOOKUP($C299,REV!$C:$AA,10,0)-'TRADE IN'!$F299=0,"",(VLOOKUP($C299,REV!$C:$AA,10,0)-'TRADE IN'!$F299))</f>
        <v>1699</v>
      </c>
      <c r="M299" s="46">
        <f>IF(VLOOKUP($C299,REV!$C:$AA,11,0)-'TRADE IN'!$F299=0,"",(VLOOKUP($C299,REV!$C:$AA,11,0)-'TRADE IN'!$F299))</f>
        <v>1799</v>
      </c>
      <c r="N299" s="46">
        <f>IF(VLOOKUP($C299,REV!$C:$AA,12,0)-'TRADE IN'!$F299=0,"",(VLOOKUP($C299,REV!$C:$AA,12,0)-'TRADE IN'!$F299))</f>
        <v>1699</v>
      </c>
      <c r="O299" s="46">
        <f>IF(VLOOKUP($C299,REV!$C:$AA,13,0)-'TRADE IN'!$F299=0,"",(VLOOKUP($C299,REV!$C:$AA,13,0)-'TRADE IN'!$F299))</f>
        <v>1649</v>
      </c>
      <c r="P299" s="46">
        <f>IF(VLOOKUP($C299,REV!$C:$AA,14,0)-'TRADE IN'!$F299=0,"",(VLOOKUP($C299,REV!$C:$AA,14,0)-'TRADE IN'!$F299))</f>
        <v>1599</v>
      </c>
      <c r="Q299" s="46">
        <f>IF(VLOOKUP($C299,REV!$C:$AA,15,0)-'TRADE IN'!$F299=0,"",(VLOOKUP($C299,REV!$C:$AA,15,0)-'TRADE IN'!$F299))</f>
        <v>1199</v>
      </c>
      <c r="R299" s="46">
        <f>IF(VLOOKUP($C299,REV!$C:$AA,16,0)-'TRADE IN'!$F299=0,"",(VLOOKUP($C299,REV!$C:$AA,16,0)-'TRADE IN'!$F299))</f>
        <v>1649</v>
      </c>
      <c r="S299" s="46">
        <f>IF(VLOOKUP($C299,REV!$C:$AA,17,0)-'TRADE IN'!$F299=0,"",(VLOOKUP($C299,REV!$C:$AA,17,0)-'TRADE IN'!$F299))</f>
        <v>1599</v>
      </c>
      <c r="T299" s="46">
        <f>IF(VLOOKUP($C299,REV!$C:$AA,18,0)-'TRADE IN'!$F299=0,"",(VLOOKUP($C299,REV!$C:$AA,18,0)-'TRADE IN'!$F299))</f>
        <v>1199</v>
      </c>
      <c r="U299" s="46">
        <f>IF(VLOOKUP($C299,REV!$C:$AA,19,0)-'TRADE IN'!$F299=0,"",(VLOOKUP($C299,REV!$C:$AA,19,0)-'TRADE IN'!$F299))</f>
        <v>1199</v>
      </c>
      <c r="V299" s="46">
        <f>IF(VLOOKUP($C299,REV!$C:$AA,20,0)-'TRADE IN'!$F299=0,"",(VLOOKUP($C299,REV!$C:$AA,20,0)-'TRADE IN'!$F299))</f>
        <v>1199</v>
      </c>
      <c r="W299" s="46">
        <f>IF(VLOOKUP($C299,REV!$C:$AA,21,0)-'TRADE IN'!$F299=0,"",(VLOOKUP($C299,REV!$C:$AA,21,0)-'TRADE IN'!$F299))</f>
        <v>1199</v>
      </c>
      <c r="X299" s="46">
        <f>IF(VLOOKUP($C299,REV!$C:$AA,22,0)-'TRADE IN'!$F299=0,"",(VLOOKUP($C299,REV!$C:$AA,22,0)-'TRADE IN'!$F299))</f>
        <v>1199</v>
      </c>
      <c r="Y299" s="46">
        <f>IF(VLOOKUP($C299,REV!$C:$AA,23,0)-'TRADE IN'!$F299=0,"",(VLOOKUP($C299,REV!$C:$AA,23,0)-'TRADE IN'!$F299))</f>
        <v>1099</v>
      </c>
      <c r="Z299" s="46">
        <f>IF(VLOOKUP($C299,REV!$C:$AA,24,0)-'TRADE IN'!$F299=0,"",(VLOOKUP($C299,REV!$C:$AA,24,0)-'TRADE IN'!$F299))</f>
        <v>1099</v>
      </c>
      <c r="AA299" s="46">
        <f>IF(VLOOKUP($C299,REV!$C:$AA,25,0)-'TRADE IN'!$F299=0,"",(VLOOKUP($C299,REV!$C:$AA,25,0)-'TRADE IN'!$F299))</f>
        <v>1099</v>
      </c>
      <c r="AB299" s="45"/>
      <c r="AC299" s="45"/>
      <c r="AD299" s="45"/>
      <c r="AE299" s="45"/>
      <c r="AF299" s="45"/>
      <c r="AG299" s="45"/>
      <c r="AH299" s="45"/>
      <c r="AI299" s="45"/>
      <c r="AJ299" s="45"/>
      <c r="AK299" s="45"/>
      <c r="AL299" s="45"/>
      <c r="AM299" s="45"/>
      <c r="AN299" s="45"/>
      <c r="AO299" s="45"/>
      <c r="AP299" s="45"/>
      <c r="AQ299" s="45"/>
      <c r="AR299" s="45"/>
      <c r="AS299" s="45"/>
      <c r="AT299" s="45"/>
      <c r="AU299" s="45"/>
      <c r="AV299" s="47"/>
      <c r="AW299" s="48" t="str">
        <f>REV!AW299</f>
        <v>13.08.2026</v>
      </c>
      <c r="AX299" s="149" t="s">
        <v>68</v>
      </c>
    </row>
    <row r="300" spans="1:50" ht="22.5" customHeight="1">
      <c r="A300" s="55" t="s">
        <v>222</v>
      </c>
      <c r="B300" s="42" t="s">
        <v>64</v>
      </c>
      <c r="C300" s="43">
        <v>4016985</v>
      </c>
      <c r="D300" s="56" t="s">
        <v>465</v>
      </c>
      <c r="E300" s="56" t="s">
        <v>466</v>
      </c>
      <c r="F300" s="45">
        <v>100</v>
      </c>
      <c r="G300" s="45"/>
      <c r="H300" s="45"/>
      <c r="I300" s="45"/>
      <c r="J300" s="46">
        <f>IF(VLOOKUP($C300,REV!$C:$AA,8,0)-'TRADE IN'!$F300=0,"",(VLOOKUP($C300,REV!$C:$AA,8,0)-'TRADE IN'!$F300))</f>
        <v>2499</v>
      </c>
      <c r="K300" s="46">
        <f>IF(VLOOKUP($C300,REV!$C:$AA,9,0)-'TRADE IN'!$F300=0,"",(VLOOKUP($C300,REV!$C:$AA,9,0)-'TRADE IN'!$F300))</f>
        <v>1799</v>
      </c>
      <c r="L300" s="46">
        <f>IF(VLOOKUP($C300,REV!$C:$AA,10,0)-'TRADE IN'!$F300=0,"",(VLOOKUP($C300,REV!$C:$AA,10,0)-'TRADE IN'!$F300))</f>
        <v>1799</v>
      </c>
      <c r="M300" s="46">
        <f>IF(VLOOKUP($C300,REV!$C:$AA,11,0)-'TRADE IN'!$F300=0,"",(VLOOKUP($C300,REV!$C:$AA,11,0)-'TRADE IN'!$F300))</f>
        <v>2499</v>
      </c>
      <c r="N300" s="46">
        <f>IF(VLOOKUP($C300,REV!$C:$AA,12,0)-'TRADE IN'!$F300=0,"",(VLOOKUP($C300,REV!$C:$AA,12,0)-'TRADE IN'!$F300))</f>
        <v>1799</v>
      </c>
      <c r="O300" s="46">
        <f>IF(VLOOKUP($C300,REV!$C:$AA,13,0)-'TRADE IN'!$F300=0,"",(VLOOKUP($C300,REV!$C:$AA,13,0)-'TRADE IN'!$F300))</f>
        <v>1499</v>
      </c>
      <c r="P300" s="46">
        <f>IF(VLOOKUP($C300,REV!$C:$AA,14,0)-'TRADE IN'!$F300=0,"",(VLOOKUP($C300,REV!$C:$AA,14,0)-'TRADE IN'!$F300))</f>
        <v>1399</v>
      </c>
      <c r="Q300" s="46">
        <f>IF(VLOOKUP($C300,REV!$C:$AA,15,0)-'TRADE IN'!$F300=0,"",(VLOOKUP($C300,REV!$C:$AA,15,0)-'TRADE IN'!$F300))</f>
        <v>1399</v>
      </c>
      <c r="R300" s="46">
        <f>IF(VLOOKUP($C300,REV!$C:$AA,16,0)-'TRADE IN'!$F300=0,"",(VLOOKUP($C300,REV!$C:$AA,16,0)-'TRADE IN'!$F300))</f>
        <v>1699</v>
      </c>
      <c r="S300" s="46">
        <f>IF(VLOOKUP($C300,REV!$C:$AA,17,0)-'TRADE IN'!$F300=0,"",(VLOOKUP($C300,REV!$C:$AA,17,0)-'TRADE IN'!$F300))</f>
        <v>1399</v>
      </c>
      <c r="T300" s="46">
        <f>IF(VLOOKUP($C300,REV!$C:$AA,18,0)-'TRADE IN'!$F300=0,"",(VLOOKUP($C300,REV!$C:$AA,18,0)-'TRADE IN'!$F300))</f>
        <v>1399</v>
      </c>
      <c r="U300" s="46">
        <f>IF(VLOOKUP($C300,REV!$C:$AA,19,0)-'TRADE IN'!$F300=0,"",(VLOOKUP($C300,REV!$C:$AA,19,0)-'TRADE IN'!$F300))</f>
        <v>1399</v>
      </c>
      <c r="V300" s="46">
        <f>IF(VLOOKUP($C300,REV!$C:$AA,20,0)-'TRADE IN'!$F300=0,"",(VLOOKUP($C300,REV!$C:$AA,20,0)-'TRADE IN'!$F300))</f>
        <v>1399</v>
      </c>
      <c r="W300" s="46">
        <f>IF(VLOOKUP($C300,REV!$C:$AA,21,0)-'TRADE IN'!$F300=0,"",(VLOOKUP($C300,REV!$C:$AA,21,0)-'TRADE IN'!$F300))</f>
        <v>1399</v>
      </c>
      <c r="X300" s="46">
        <f>IF(VLOOKUP($C300,REV!$C:$AA,22,0)-'TRADE IN'!$F300=0,"",(VLOOKUP($C300,REV!$C:$AA,22,0)-'TRADE IN'!$F300))</f>
        <v>1299</v>
      </c>
      <c r="Y300" s="46">
        <f>IF(VLOOKUP($C300,REV!$C:$AA,23,0)-'TRADE IN'!$F300=0,"",(VLOOKUP($C300,REV!$C:$AA,23,0)-'TRADE IN'!$F300))</f>
        <v>1299</v>
      </c>
      <c r="Z300" s="46">
        <f>IF(VLOOKUP($C300,REV!$C:$AA,24,0)-'TRADE IN'!$F300=0,"",(VLOOKUP($C300,REV!$C:$AA,24,0)-'TRADE IN'!$F300))</f>
        <v>1299</v>
      </c>
      <c r="AA300" s="46">
        <f>IF(VLOOKUP($C300,REV!$C:$AA,25,0)-'TRADE IN'!$F300=0,"",(VLOOKUP($C300,REV!$C:$AA,25,0)-'TRADE IN'!$F300))</f>
        <v>1299</v>
      </c>
      <c r="AB300" s="45">
        <f>IF(VLOOKUP($C300,REV!$C:$AL,27,0)-'TRADE IN'!$F300=0,"",(VLOOKUP($C300,REV!$C:$AL,27,0)-'TRADE IN'!$F300))</f>
        <v>1799</v>
      </c>
      <c r="AC300" s="45">
        <f>IF(VLOOKUP($C300,REV!$C:$AL,28,0)-'TRADE IN'!$F300=0,"",(VLOOKUP($C300,REV!$C:$AL,28,0)-'TRADE IN'!$F300))</f>
        <v>1799</v>
      </c>
      <c r="AD300" s="45">
        <f>IF(VLOOKUP($C300,REV!$C:$AL,29,0)-'TRADE IN'!$F300=0,"",(VLOOKUP($C300,REV!$C:$AL,29,0)-'TRADE IN'!$F300))</f>
        <v>1699</v>
      </c>
      <c r="AE300" s="45">
        <f>IF(VLOOKUP($C300,REV!$C:$AL,30,0)-'TRADE IN'!$F300=0,"",(VLOOKUP($C300,REV!$C:$AL,30,0)-'TRADE IN'!$F300))</f>
        <v>1399</v>
      </c>
      <c r="AF300" s="45">
        <f>IF(VLOOKUP($C300,REV!$C:$AL,31,0)-'TRADE IN'!$F300=0,"",(VLOOKUP($C300,REV!$C:$AL,31,0)-'TRADE IN'!$F300))</f>
        <v>1399</v>
      </c>
      <c r="AG300" s="45">
        <f>IF(VLOOKUP($C300,REV!$C:$AL,31,0)-'TRADE IN'!$F300=0,"",(VLOOKUP($C300,REV!$C:$AL,31,0)-'TRADE IN'!$F300))</f>
        <v>1399</v>
      </c>
      <c r="AH300" s="45">
        <f>IF(VLOOKUP($C300,REV!$C:$AL,32,0)-'TRADE IN'!$F300=0,"",(VLOOKUP($C300,REV!$C:$AL,32,0)-'TRADE IN'!$F300))</f>
        <v>1399</v>
      </c>
      <c r="AI300" s="45">
        <f>IF(VLOOKUP($C300,REV!$C:$AL,33,0)-'TRADE IN'!$F300=0,"",(VLOOKUP($C300,REV!$C:$AL,33,0)-'TRADE IN'!$F300))</f>
        <v>1399</v>
      </c>
      <c r="AJ300" s="45">
        <f>IF(VLOOKUP($C300,REV!$C:$AL,34,0)-'TRADE IN'!$F300=0,"",(VLOOKUP($C300,REV!$C:$AL,34,0)-'TRADE IN'!$F300))</f>
        <v>1399</v>
      </c>
      <c r="AK300" s="45">
        <f>IF(VLOOKUP($C300,REV!$C:$AL,35,0)-'TRADE IN'!$F300=0,"",(VLOOKUP($C300,REV!$C:$AL,35,0)-'TRADE IN'!$F300))</f>
        <v>1399</v>
      </c>
      <c r="AL300" s="45">
        <f>IF(VLOOKUP($C300,REV!$C:$AL,36,0)-'TRADE IN'!$F300=0,"",(VLOOKUP($C300,REV!$C:$AL,36,0)-'TRADE IN'!$F300))</f>
        <v>1299</v>
      </c>
      <c r="AM300" s="45"/>
      <c r="AN300" s="45"/>
      <c r="AO300" s="45"/>
      <c r="AP300" s="45"/>
      <c r="AQ300" s="45"/>
      <c r="AR300" s="45"/>
      <c r="AS300" s="45"/>
      <c r="AT300" s="45"/>
      <c r="AU300" s="45"/>
      <c r="AV300" s="47"/>
      <c r="AW300" s="48" t="str">
        <f>REV!AW300</f>
        <v>13.08.2026</v>
      </c>
      <c r="AX300" s="149" t="s">
        <v>68</v>
      </c>
    </row>
    <row r="301" spans="1:50" ht="22.5" customHeight="1">
      <c r="A301" s="55" t="s">
        <v>222</v>
      </c>
      <c r="B301" s="42" t="s">
        <v>64</v>
      </c>
      <c r="C301" s="43">
        <v>4016999</v>
      </c>
      <c r="D301" s="56" t="s">
        <v>465</v>
      </c>
      <c r="E301" s="56" t="s">
        <v>467</v>
      </c>
      <c r="F301" s="45">
        <v>100</v>
      </c>
      <c r="G301" s="45"/>
      <c r="H301" s="45"/>
      <c r="I301" s="45"/>
      <c r="J301" s="46">
        <f>IF(VLOOKUP($C301,REV!$C:$AA,8,0)-'TRADE IN'!$F301=0,"",(VLOOKUP($C301,REV!$C:$AA,8,0)-'TRADE IN'!$F301))</f>
        <v>2499</v>
      </c>
      <c r="K301" s="46">
        <f>IF(VLOOKUP($C301,REV!$C:$AA,9,0)-'TRADE IN'!$F301=0,"",(VLOOKUP($C301,REV!$C:$AA,9,0)-'TRADE IN'!$F301))</f>
        <v>1799</v>
      </c>
      <c r="L301" s="46">
        <f>IF(VLOOKUP($C301,REV!$C:$AA,10,0)-'TRADE IN'!$F301=0,"",(VLOOKUP($C301,REV!$C:$AA,10,0)-'TRADE IN'!$F301))</f>
        <v>1799</v>
      </c>
      <c r="M301" s="46">
        <f>IF(VLOOKUP($C301,REV!$C:$AA,11,0)-'TRADE IN'!$F301=0,"",(VLOOKUP($C301,REV!$C:$AA,11,0)-'TRADE IN'!$F301))</f>
        <v>2499</v>
      </c>
      <c r="N301" s="46">
        <f>IF(VLOOKUP($C301,REV!$C:$AA,12,0)-'TRADE IN'!$F301=0,"",(VLOOKUP($C301,REV!$C:$AA,12,0)-'TRADE IN'!$F301))</f>
        <v>1799</v>
      </c>
      <c r="O301" s="46">
        <f>IF(VLOOKUP($C301,REV!$C:$AA,13,0)-'TRADE IN'!$F301=0,"",(VLOOKUP($C301,REV!$C:$AA,13,0)-'TRADE IN'!$F301))</f>
        <v>1499</v>
      </c>
      <c r="P301" s="46">
        <f>IF(VLOOKUP($C301,REV!$C:$AA,14,0)-'TRADE IN'!$F301=0,"",(VLOOKUP($C301,REV!$C:$AA,14,0)-'TRADE IN'!$F301))</f>
        <v>1399</v>
      </c>
      <c r="Q301" s="46">
        <f>IF(VLOOKUP($C301,REV!$C:$AA,15,0)-'TRADE IN'!$F301=0,"",(VLOOKUP($C301,REV!$C:$AA,15,0)-'TRADE IN'!$F301))</f>
        <v>1399</v>
      </c>
      <c r="R301" s="46">
        <f>IF(VLOOKUP($C301,REV!$C:$AA,16,0)-'TRADE IN'!$F301=0,"",(VLOOKUP($C301,REV!$C:$AA,16,0)-'TRADE IN'!$F301))</f>
        <v>1699</v>
      </c>
      <c r="S301" s="46">
        <f>IF(VLOOKUP($C301,REV!$C:$AA,17,0)-'TRADE IN'!$F301=0,"",(VLOOKUP($C301,REV!$C:$AA,17,0)-'TRADE IN'!$F301))</f>
        <v>1399</v>
      </c>
      <c r="T301" s="46">
        <f>IF(VLOOKUP($C301,REV!$C:$AA,18,0)-'TRADE IN'!$F301=0,"",(VLOOKUP($C301,REV!$C:$AA,18,0)-'TRADE IN'!$F301))</f>
        <v>1399</v>
      </c>
      <c r="U301" s="46">
        <f>IF(VLOOKUP($C301,REV!$C:$AA,19,0)-'TRADE IN'!$F301=0,"",(VLOOKUP($C301,REV!$C:$AA,19,0)-'TRADE IN'!$F301))</f>
        <v>1399</v>
      </c>
      <c r="V301" s="46">
        <f>IF(VLOOKUP($C301,REV!$C:$AA,20,0)-'TRADE IN'!$F301=0,"",(VLOOKUP($C301,REV!$C:$AA,20,0)-'TRADE IN'!$F301))</f>
        <v>1399</v>
      </c>
      <c r="W301" s="46">
        <f>IF(VLOOKUP($C301,REV!$C:$AA,21,0)-'TRADE IN'!$F301=0,"",(VLOOKUP($C301,REV!$C:$AA,21,0)-'TRADE IN'!$F301))</f>
        <v>1399</v>
      </c>
      <c r="X301" s="46">
        <f>IF(VLOOKUP($C301,REV!$C:$AA,22,0)-'TRADE IN'!$F301=0,"",(VLOOKUP($C301,REV!$C:$AA,22,0)-'TRADE IN'!$F301))</f>
        <v>1299</v>
      </c>
      <c r="Y301" s="46">
        <f>IF(VLOOKUP($C301,REV!$C:$AA,23,0)-'TRADE IN'!$F301=0,"",(VLOOKUP($C301,REV!$C:$AA,23,0)-'TRADE IN'!$F301))</f>
        <v>1299</v>
      </c>
      <c r="Z301" s="46">
        <f>IF(VLOOKUP($C301,REV!$C:$AA,24,0)-'TRADE IN'!$F301=0,"",(VLOOKUP($C301,REV!$C:$AA,24,0)-'TRADE IN'!$F301))</f>
        <v>1299</v>
      </c>
      <c r="AA301" s="46">
        <f>IF(VLOOKUP($C301,REV!$C:$AA,25,0)-'TRADE IN'!$F301=0,"",(VLOOKUP($C301,REV!$C:$AA,25,0)-'TRADE IN'!$F301))</f>
        <v>1299</v>
      </c>
      <c r="AB301" s="45">
        <f>IF(VLOOKUP($C301,REV!$C:$AL,27,0)-'TRADE IN'!$F301=0,"",(VLOOKUP($C301,REV!$C:$AL,27,0)-'TRADE IN'!$F301))</f>
        <v>1799</v>
      </c>
      <c r="AC301" s="45">
        <f>IF(VLOOKUP($C301,REV!$C:$AL,28,0)-'TRADE IN'!$F301=0,"",(VLOOKUP($C301,REV!$C:$AL,28,0)-'TRADE IN'!$F301))</f>
        <v>1799</v>
      </c>
      <c r="AD301" s="45">
        <f>IF(VLOOKUP($C301,REV!$C:$AL,29,0)-'TRADE IN'!$F301=0,"",(VLOOKUP($C301,REV!$C:$AL,29,0)-'TRADE IN'!$F301))</f>
        <v>1699</v>
      </c>
      <c r="AE301" s="45">
        <f>IF(VLOOKUP($C301,REV!$C:$AL,30,0)-'TRADE IN'!$F301=0,"",(VLOOKUP($C301,REV!$C:$AL,30,0)-'TRADE IN'!$F301))</f>
        <v>1399</v>
      </c>
      <c r="AF301" s="45">
        <f>IF(VLOOKUP($C301,REV!$C:$AL,31,0)-'TRADE IN'!$F301=0,"",(VLOOKUP($C301,REV!$C:$AL,31,0)-'TRADE IN'!$F301))</f>
        <v>1399</v>
      </c>
      <c r="AG301" s="45">
        <f>IF(VLOOKUP($C301,REV!$C:$AL,31,0)-'TRADE IN'!$F301=0,"",(VLOOKUP($C301,REV!$C:$AL,31,0)-'TRADE IN'!$F301))</f>
        <v>1399</v>
      </c>
      <c r="AH301" s="45">
        <f>IF(VLOOKUP($C301,REV!$C:$AL,32,0)-'TRADE IN'!$F301=0,"",(VLOOKUP($C301,REV!$C:$AL,32,0)-'TRADE IN'!$F301))</f>
        <v>1399</v>
      </c>
      <c r="AI301" s="45">
        <f>IF(VLOOKUP($C301,REV!$C:$AL,33,0)-'TRADE IN'!$F301=0,"",(VLOOKUP($C301,REV!$C:$AL,33,0)-'TRADE IN'!$F301))</f>
        <v>1399</v>
      </c>
      <c r="AJ301" s="45">
        <f>IF(VLOOKUP($C301,REV!$C:$AL,34,0)-'TRADE IN'!$F301=0,"",(VLOOKUP($C301,REV!$C:$AL,34,0)-'TRADE IN'!$F301))</f>
        <v>1399</v>
      </c>
      <c r="AK301" s="45">
        <f>IF(VLOOKUP($C301,REV!$C:$AL,35,0)-'TRADE IN'!$F301=0,"",(VLOOKUP($C301,REV!$C:$AL,35,0)-'TRADE IN'!$F301))</f>
        <v>1399</v>
      </c>
      <c r="AL301" s="45">
        <f>IF(VLOOKUP($C301,REV!$C:$AL,36,0)-'TRADE IN'!$F301=0,"",(VLOOKUP($C301,REV!$C:$AL,36,0)-'TRADE IN'!$F301))</f>
        <v>1299</v>
      </c>
      <c r="AM301" s="45"/>
      <c r="AN301" s="45"/>
      <c r="AO301" s="45"/>
      <c r="AP301" s="45"/>
      <c r="AQ301" s="45"/>
      <c r="AR301" s="45"/>
      <c r="AS301" s="45"/>
      <c r="AT301" s="45"/>
      <c r="AU301" s="45"/>
      <c r="AV301" s="47"/>
      <c r="AW301" s="48" t="str">
        <f>REV!AW301</f>
        <v>13.08.2026</v>
      </c>
      <c r="AX301" s="149" t="s">
        <v>68</v>
      </c>
    </row>
    <row r="302" spans="1:50" ht="22.5" customHeight="1">
      <c r="A302" s="55" t="s">
        <v>222</v>
      </c>
      <c r="B302" s="42" t="s">
        <v>64</v>
      </c>
      <c r="C302" s="43">
        <v>4017065</v>
      </c>
      <c r="D302" s="56" t="s">
        <v>465</v>
      </c>
      <c r="E302" s="56" t="s">
        <v>468</v>
      </c>
      <c r="F302" s="45">
        <v>100</v>
      </c>
      <c r="G302" s="45"/>
      <c r="H302" s="45"/>
      <c r="I302" s="45"/>
      <c r="J302" s="46">
        <f>IF(VLOOKUP($C302,REV!$C:$AA,8,0)-'TRADE IN'!$F302=0,"",(VLOOKUP($C302,REV!$C:$AA,8,0)-'TRADE IN'!$F302))</f>
        <v>2499</v>
      </c>
      <c r="K302" s="46">
        <f>IF(VLOOKUP($C302,REV!$C:$AA,9,0)-'TRADE IN'!$F302=0,"",(VLOOKUP($C302,REV!$C:$AA,9,0)-'TRADE IN'!$F302))</f>
        <v>1799</v>
      </c>
      <c r="L302" s="46">
        <f>IF(VLOOKUP($C302,REV!$C:$AA,10,0)-'TRADE IN'!$F302=0,"",(VLOOKUP($C302,REV!$C:$AA,10,0)-'TRADE IN'!$F302))</f>
        <v>1799</v>
      </c>
      <c r="M302" s="46">
        <f>IF(VLOOKUP($C302,REV!$C:$AA,11,0)-'TRADE IN'!$F302=0,"",(VLOOKUP($C302,REV!$C:$AA,11,0)-'TRADE IN'!$F302))</f>
        <v>2499</v>
      </c>
      <c r="N302" s="46">
        <f>IF(VLOOKUP($C302,REV!$C:$AA,12,0)-'TRADE IN'!$F302=0,"",(VLOOKUP($C302,REV!$C:$AA,12,0)-'TRADE IN'!$F302))</f>
        <v>1799</v>
      </c>
      <c r="O302" s="46">
        <f>IF(VLOOKUP($C302,REV!$C:$AA,13,0)-'TRADE IN'!$F302=0,"",(VLOOKUP($C302,REV!$C:$AA,13,0)-'TRADE IN'!$F302))</f>
        <v>1499</v>
      </c>
      <c r="P302" s="46">
        <f>IF(VLOOKUP($C302,REV!$C:$AA,14,0)-'TRADE IN'!$F302=0,"",(VLOOKUP($C302,REV!$C:$AA,14,0)-'TRADE IN'!$F302))</f>
        <v>1399</v>
      </c>
      <c r="Q302" s="46">
        <f>IF(VLOOKUP($C302,REV!$C:$AA,15,0)-'TRADE IN'!$F302=0,"",(VLOOKUP($C302,REV!$C:$AA,15,0)-'TRADE IN'!$F302))</f>
        <v>1399</v>
      </c>
      <c r="R302" s="46">
        <f>IF(VLOOKUP($C302,REV!$C:$AA,16,0)-'TRADE IN'!$F302=0,"",(VLOOKUP($C302,REV!$C:$AA,16,0)-'TRADE IN'!$F302))</f>
        <v>1699</v>
      </c>
      <c r="S302" s="46">
        <f>IF(VLOOKUP($C302,REV!$C:$AA,17,0)-'TRADE IN'!$F302=0,"",(VLOOKUP($C302,REV!$C:$AA,17,0)-'TRADE IN'!$F302))</f>
        <v>1399</v>
      </c>
      <c r="T302" s="46">
        <f>IF(VLOOKUP($C302,REV!$C:$AA,18,0)-'TRADE IN'!$F302=0,"",(VLOOKUP($C302,REV!$C:$AA,18,0)-'TRADE IN'!$F302))</f>
        <v>1399</v>
      </c>
      <c r="U302" s="46">
        <f>IF(VLOOKUP($C302,REV!$C:$AA,19,0)-'TRADE IN'!$F302=0,"",(VLOOKUP($C302,REV!$C:$AA,19,0)-'TRADE IN'!$F302))</f>
        <v>1399</v>
      </c>
      <c r="V302" s="46">
        <f>IF(VLOOKUP($C302,REV!$C:$AA,20,0)-'TRADE IN'!$F302=0,"",(VLOOKUP($C302,REV!$C:$AA,20,0)-'TRADE IN'!$F302))</f>
        <v>1399</v>
      </c>
      <c r="W302" s="46">
        <f>IF(VLOOKUP($C302,REV!$C:$AA,21,0)-'TRADE IN'!$F302=0,"",(VLOOKUP($C302,REV!$C:$AA,21,0)-'TRADE IN'!$F302))</f>
        <v>1399</v>
      </c>
      <c r="X302" s="46">
        <f>IF(VLOOKUP($C302,REV!$C:$AA,22,0)-'TRADE IN'!$F302=0,"",(VLOOKUP($C302,REV!$C:$AA,22,0)-'TRADE IN'!$F302))</f>
        <v>1299</v>
      </c>
      <c r="Y302" s="46">
        <f>IF(VLOOKUP($C302,REV!$C:$AA,23,0)-'TRADE IN'!$F302=0,"",(VLOOKUP($C302,REV!$C:$AA,23,0)-'TRADE IN'!$F302))</f>
        <v>1299</v>
      </c>
      <c r="Z302" s="46">
        <f>IF(VLOOKUP($C302,REV!$C:$AA,24,0)-'TRADE IN'!$F302=0,"",(VLOOKUP($C302,REV!$C:$AA,24,0)-'TRADE IN'!$F302))</f>
        <v>1299</v>
      </c>
      <c r="AA302" s="46">
        <f>IF(VLOOKUP($C302,REV!$C:$AA,25,0)-'TRADE IN'!$F302=0,"",(VLOOKUP($C302,REV!$C:$AA,25,0)-'TRADE IN'!$F302))</f>
        <v>1299</v>
      </c>
      <c r="AB302" s="45">
        <f>IF(VLOOKUP($C302,REV!$C:$AL,27,0)-'TRADE IN'!$F302=0,"",(VLOOKUP($C302,REV!$C:$AL,27,0)-'TRADE IN'!$F302))</f>
        <v>1799</v>
      </c>
      <c r="AC302" s="45">
        <f>IF(VLOOKUP($C302,REV!$C:$AL,28,0)-'TRADE IN'!$F302=0,"",(VLOOKUP($C302,REV!$C:$AL,28,0)-'TRADE IN'!$F302))</f>
        <v>1799</v>
      </c>
      <c r="AD302" s="45">
        <f>IF(VLOOKUP($C302,REV!$C:$AL,29,0)-'TRADE IN'!$F302=0,"",(VLOOKUP($C302,REV!$C:$AL,29,0)-'TRADE IN'!$F302))</f>
        <v>1699</v>
      </c>
      <c r="AE302" s="45">
        <f>IF(VLOOKUP($C302,REV!$C:$AL,30,0)-'TRADE IN'!$F302=0,"",(VLOOKUP($C302,REV!$C:$AL,30,0)-'TRADE IN'!$F302))</f>
        <v>1399</v>
      </c>
      <c r="AF302" s="45">
        <f>IF(VLOOKUP($C302,REV!$C:$AL,31,0)-'TRADE IN'!$F302=0,"",(VLOOKUP($C302,REV!$C:$AL,31,0)-'TRADE IN'!$F302))</f>
        <v>1399</v>
      </c>
      <c r="AG302" s="45">
        <f>IF(VLOOKUP($C302,REV!$C:$AL,31,0)-'TRADE IN'!$F302=0,"",(VLOOKUP($C302,REV!$C:$AL,31,0)-'TRADE IN'!$F302))</f>
        <v>1399</v>
      </c>
      <c r="AH302" s="45">
        <f>IF(VLOOKUP($C302,REV!$C:$AL,32,0)-'TRADE IN'!$F302=0,"",(VLOOKUP($C302,REV!$C:$AL,32,0)-'TRADE IN'!$F302))</f>
        <v>1399</v>
      </c>
      <c r="AI302" s="45">
        <f>IF(VLOOKUP($C302,REV!$C:$AL,33,0)-'TRADE IN'!$F302=0,"",(VLOOKUP($C302,REV!$C:$AL,33,0)-'TRADE IN'!$F302))</f>
        <v>1399</v>
      </c>
      <c r="AJ302" s="45">
        <f>IF(VLOOKUP($C302,REV!$C:$AL,34,0)-'TRADE IN'!$F302=0,"",(VLOOKUP($C302,REV!$C:$AL,34,0)-'TRADE IN'!$F302))</f>
        <v>1399</v>
      </c>
      <c r="AK302" s="45">
        <f>IF(VLOOKUP($C302,REV!$C:$AL,35,0)-'TRADE IN'!$F302=0,"",(VLOOKUP($C302,REV!$C:$AL,35,0)-'TRADE IN'!$F302))</f>
        <v>1399</v>
      </c>
      <c r="AL302" s="45">
        <f>IF(VLOOKUP($C302,REV!$C:$AL,36,0)-'TRADE IN'!$F302=0,"",(VLOOKUP($C302,REV!$C:$AL,36,0)-'TRADE IN'!$F302))</f>
        <v>1299</v>
      </c>
      <c r="AM302" s="45"/>
      <c r="AN302" s="45"/>
      <c r="AO302" s="45"/>
      <c r="AP302" s="45"/>
      <c r="AQ302" s="45"/>
      <c r="AR302" s="45"/>
      <c r="AS302" s="45"/>
      <c r="AT302" s="45"/>
      <c r="AU302" s="45"/>
      <c r="AV302" s="47"/>
      <c r="AW302" s="48" t="str">
        <f>REV!AW302</f>
        <v>13.08.2026</v>
      </c>
      <c r="AX302" s="149" t="s">
        <v>68</v>
      </c>
    </row>
    <row r="303" spans="1:50" ht="22.5" customHeight="1">
      <c r="A303" s="55" t="s">
        <v>222</v>
      </c>
      <c r="B303" s="42" t="s">
        <v>64</v>
      </c>
      <c r="C303" s="43">
        <v>4016977</v>
      </c>
      <c r="D303" s="56" t="s">
        <v>465</v>
      </c>
      <c r="E303" s="56" t="s">
        <v>469</v>
      </c>
      <c r="F303" s="45">
        <v>100</v>
      </c>
      <c r="G303" s="45"/>
      <c r="H303" s="45"/>
      <c r="I303" s="45"/>
      <c r="J303" s="46">
        <f>IF(VLOOKUP($C303,REV!$C:$AA,8,0)-'TRADE IN'!$F303=0,"",(VLOOKUP($C303,REV!$C:$AA,8,0)-'TRADE IN'!$F303))</f>
        <v>2499</v>
      </c>
      <c r="K303" s="46">
        <f>IF(VLOOKUP($C303,REV!$C:$AA,9,0)-'TRADE IN'!$F303=0,"",(VLOOKUP($C303,REV!$C:$AA,9,0)-'TRADE IN'!$F303))</f>
        <v>1799</v>
      </c>
      <c r="L303" s="46">
        <f>IF(VLOOKUP($C303,REV!$C:$AA,10,0)-'TRADE IN'!$F303=0,"",(VLOOKUP($C303,REV!$C:$AA,10,0)-'TRADE IN'!$F303))</f>
        <v>1799</v>
      </c>
      <c r="M303" s="46">
        <f>IF(VLOOKUP($C303,REV!$C:$AA,11,0)-'TRADE IN'!$F303=0,"",(VLOOKUP($C303,REV!$C:$AA,11,0)-'TRADE IN'!$F303))</f>
        <v>2499</v>
      </c>
      <c r="N303" s="46">
        <f>IF(VLOOKUP($C303,REV!$C:$AA,12,0)-'TRADE IN'!$F303=0,"",(VLOOKUP($C303,REV!$C:$AA,12,0)-'TRADE IN'!$F303))</f>
        <v>1799</v>
      </c>
      <c r="O303" s="46">
        <f>IF(VLOOKUP($C303,REV!$C:$AA,13,0)-'TRADE IN'!$F303=0,"",(VLOOKUP($C303,REV!$C:$AA,13,0)-'TRADE IN'!$F303))</f>
        <v>1499</v>
      </c>
      <c r="P303" s="46">
        <f>IF(VLOOKUP($C303,REV!$C:$AA,14,0)-'TRADE IN'!$F303=0,"",(VLOOKUP($C303,REV!$C:$AA,14,0)-'TRADE IN'!$F303))</f>
        <v>1399</v>
      </c>
      <c r="Q303" s="46">
        <f>IF(VLOOKUP($C303,REV!$C:$AA,15,0)-'TRADE IN'!$F303=0,"",(VLOOKUP($C303,REV!$C:$AA,15,0)-'TRADE IN'!$F303))</f>
        <v>1399</v>
      </c>
      <c r="R303" s="46">
        <f>IF(VLOOKUP($C303,REV!$C:$AA,16,0)-'TRADE IN'!$F303=0,"",(VLOOKUP($C303,REV!$C:$AA,16,0)-'TRADE IN'!$F303))</f>
        <v>1699</v>
      </c>
      <c r="S303" s="46">
        <f>IF(VLOOKUP($C303,REV!$C:$AA,17,0)-'TRADE IN'!$F303=0,"",(VLOOKUP($C303,REV!$C:$AA,17,0)-'TRADE IN'!$F303))</f>
        <v>1399</v>
      </c>
      <c r="T303" s="46">
        <f>IF(VLOOKUP($C303,REV!$C:$AA,18,0)-'TRADE IN'!$F303=0,"",(VLOOKUP($C303,REV!$C:$AA,18,0)-'TRADE IN'!$F303))</f>
        <v>1399</v>
      </c>
      <c r="U303" s="46">
        <f>IF(VLOOKUP($C303,REV!$C:$AA,19,0)-'TRADE IN'!$F303=0,"",(VLOOKUP($C303,REV!$C:$AA,19,0)-'TRADE IN'!$F303))</f>
        <v>1399</v>
      </c>
      <c r="V303" s="46">
        <f>IF(VLOOKUP($C303,REV!$C:$AA,20,0)-'TRADE IN'!$F303=0,"",(VLOOKUP($C303,REV!$C:$AA,20,0)-'TRADE IN'!$F303))</f>
        <v>1399</v>
      </c>
      <c r="W303" s="46">
        <f>IF(VLOOKUP($C303,REV!$C:$AA,21,0)-'TRADE IN'!$F303=0,"",(VLOOKUP($C303,REV!$C:$AA,21,0)-'TRADE IN'!$F303))</f>
        <v>1399</v>
      </c>
      <c r="X303" s="46">
        <f>IF(VLOOKUP($C303,REV!$C:$AA,22,0)-'TRADE IN'!$F303=0,"",(VLOOKUP($C303,REV!$C:$AA,22,0)-'TRADE IN'!$F303))</f>
        <v>1299</v>
      </c>
      <c r="Y303" s="46">
        <f>IF(VLOOKUP($C303,REV!$C:$AA,23,0)-'TRADE IN'!$F303=0,"",(VLOOKUP($C303,REV!$C:$AA,23,0)-'TRADE IN'!$F303))</f>
        <v>1299</v>
      </c>
      <c r="Z303" s="46">
        <f>IF(VLOOKUP($C303,REV!$C:$AA,24,0)-'TRADE IN'!$F303=0,"",(VLOOKUP($C303,REV!$C:$AA,24,0)-'TRADE IN'!$F303))</f>
        <v>1299</v>
      </c>
      <c r="AA303" s="46">
        <f>IF(VLOOKUP($C303,REV!$C:$AA,25,0)-'TRADE IN'!$F303=0,"",(VLOOKUP($C303,REV!$C:$AA,25,0)-'TRADE IN'!$F303))</f>
        <v>1299</v>
      </c>
      <c r="AB303" s="45">
        <f>IF(VLOOKUP($C303,REV!$C:$AL,27,0)-'TRADE IN'!$F303=0,"",(VLOOKUP($C303,REV!$C:$AL,27,0)-'TRADE IN'!$F303))</f>
        <v>1799</v>
      </c>
      <c r="AC303" s="45">
        <f>IF(VLOOKUP($C303,REV!$C:$AL,28,0)-'TRADE IN'!$F303=0,"",(VLOOKUP($C303,REV!$C:$AL,28,0)-'TRADE IN'!$F303))</f>
        <v>1799</v>
      </c>
      <c r="AD303" s="45">
        <f>IF(VLOOKUP($C303,REV!$C:$AL,29,0)-'TRADE IN'!$F303=0,"",(VLOOKUP($C303,REV!$C:$AL,29,0)-'TRADE IN'!$F303))</f>
        <v>1699</v>
      </c>
      <c r="AE303" s="45">
        <f>IF(VLOOKUP($C303,REV!$C:$AL,30,0)-'TRADE IN'!$F303=0,"",(VLOOKUP($C303,REV!$C:$AL,30,0)-'TRADE IN'!$F303))</f>
        <v>1399</v>
      </c>
      <c r="AF303" s="45">
        <f>IF(VLOOKUP($C303,REV!$C:$AL,31,0)-'TRADE IN'!$F303=0,"",(VLOOKUP($C303,REV!$C:$AL,31,0)-'TRADE IN'!$F303))</f>
        <v>1399</v>
      </c>
      <c r="AG303" s="45">
        <f>IF(VLOOKUP($C303,REV!$C:$AL,31,0)-'TRADE IN'!$F303=0,"",(VLOOKUP($C303,REV!$C:$AL,31,0)-'TRADE IN'!$F303))</f>
        <v>1399</v>
      </c>
      <c r="AH303" s="45">
        <f>IF(VLOOKUP($C303,REV!$C:$AL,32,0)-'TRADE IN'!$F303=0,"",(VLOOKUP($C303,REV!$C:$AL,32,0)-'TRADE IN'!$F303))</f>
        <v>1399</v>
      </c>
      <c r="AI303" s="45">
        <f>IF(VLOOKUP($C303,REV!$C:$AL,33,0)-'TRADE IN'!$F303=0,"",(VLOOKUP($C303,REV!$C:$AL,33,0)-'TRADE IN'!$F303))</f>
        <v>1399</v>
      </c>
      <c r="AJ303" s="45">
        <f>IF(VLOOKUP($C303,REV!$C:$AL,34,0)-'TRADE IN'!$F303=0,"",(VLOOKUP($C303,REV!$C:$AL,34,0)-'TRADE IN'!$F303))</f>
        <v>1399</v>
      </c>
      <c r="AK303" s="45">
        <f>IF(VLOOKUP($C303,REV!$C:$AL,35,0)-'TRADE IN'!$F303=0,"",(VLOOKUP($C303,REV!$C:$AL,35,0)-'TRADE IN'!$F303))</f>
        <v>1399</v>
      </c>
      <c r="AL303" s="45">
        <f>IF(VLOOKUP($C303,REV!$C:$AL,36,0)-'TRADE IN'!$F303=0,"",(VLOOKUP($C303,REV!$C:$AL,36,0)-'TRADE IN'!$F303))</f>
        <v>1299</v>
      </c>
      <c r="AM303" s="45"/>
      <c r="AN303" s="45"/>
      <c r="AO303" s="45"/>
      <c r="AP303" s="45"/>
      <c r="AQ303" s="45"/>
      <c r="AR303" s="45"/>
      <c r="AS303" s="45"/>
      <c r="AT303" s="45"/>
      <c r="AU303" s="45"/>
      <c r="AV303" s="47"/>
      <c r="AW303" s="48" t="str">
        <f>REV!AW303</f>
        <v>13.08.2026</v>
      </c>
      <c r="AX303" s="149" t="s">
        <v>68</v>
      </c>
    </row>
    <row r="304" spans="1:50" ht="22.5" customHeight="1">
      <c r="A304" s="55" t="s">
        <v>222</v>
      </c>
      <c r="B304" s="42" t="s">
        <v>64</v>
      </c>
      <c r="C304" s="43">
        <v>4017064</v>
      </c>
      <c r="D304" s="56" t="s">
        <v>465</v>
      </c>
      <c r="E304" s="56" t="s">
        <v>471</v>
      </c>
      <c r="F304" s="45">
        <v>100</v>
      </c>
      <c r="G304" s="45"/>
      <c r="H304" s="45"/>
      <c r="I304" s="45"/>
      <c r="J304" s="46">
        <f>IF(VLOOKUP($C304,REV!$C:$AA,8,0)-'TRADE IN'!$F304=0,"",(VLOOKUP($C304,REV!$C:$AA,8,0)-'TRADE IN'!$F304))</f>
        <v>2499</v>
      </c>
      <c r="K304" s="46">
        <f>IF(VLOOKUP($C304,REV!$C:$AA,9,0)-'TRADE IN'!$F304=0,"",(VLOOKUP($C304,REV!$C:$AA,9,0)-'TRADE IN'!$F304))</f>
        <v>1799</v>
      </c>
      <c r="L304" s="46">
        <f>IF(VLOOKUP($C304,REV!$C:$AA,10,0)-'TRADE IN'!$F304=0,"",(VLOOKUP($C304,REV!$C:$AA,10,0)-'TRADE IN'!$F304))</f>
        <v>1799</v>
      </c>
      <c r="M304" s="46">
        <f>IF(VLOOKUP($C304,REV!$C:$AA,11,0)-'TRADE IN'!$F304=0,"",(VLOOKUP($C304,REV!$C:$AA,11,0)-'TRADE IN'!$F304))</f>
        <v>2499</v>
      </c>
      <c r="N304" s="46">
        <f>IF(VLOOKUP($C304,REV!$C:$AA,12,0)-'TRADE IN'!$F304=0,"",(VLOOKUP($C304,REV!$C:$AA,12,0)-'TRADE IN'!$F304))</f>
        <v>1799</v>
      </c>
      <c r="O304" s="46">
        <f>IF(VLOOKUP($C304,REV!$C:$AA,13,0)-'TRADE IN'!$F304=0,"",(VLOOKUP($C304,REV!$C:$AA,13,0)-'TRADE IN'!$F304))</f>
        <v>1499</v>
      </c>
      <c r="P304" s="46">
        <f>IF(VLOOKUP($C304,REV!$C:$AA,14,0)-'TRADE IN'!$F304=0,"",(VLOOKUP($C304,REV!$C:$AA,14,0)-'TRADE IN'!$F304))</f>
        <v>1399</v>
      </c>
      <c r="Q304" s="46">
        <f>IF(VLOOKUP($C304,REV!$C:$AA,15,0)-'TRADE IN'!$F304=0,"",(VLOOKUP($C304,REV!$C:$AA,15,0)-'TRADE IN'!$F304))</f>
        <v>1399</v>
      </c>
      <c r="R304" s="46">
        <f>IF(VLOOKUP($C304,REV!$C:$AA,16,0)-'TRADE IN'!$F304=0,"",(VLOOKUP($C304,REV!$C:$AA,16,0)-'TRADE IN'!$F304))</f>
        <v>1699</v>
      </c>
      <c r="S304" s="46">
        <f>IF(VLOOKUP($C304,REV!$C:$AA,17,0)-'TRADE IN'!$F304=0,"",(VLOOKUP($C304,REV!$C:$AA,17,0)-'TRADE IN'!$F304))</f>
        <v>1399</v>
      </c>
      <c r="T304" s="46">
        <f>IF(VLOOKUP($C304,REV!$C:$AA,18,0)-'TRADE IN'!$F304=0,"",(VLOOKUP($C304,REV!$C:$AA,18,0)-'TRADE IN'!$F304))</f>
        <v>1399</v>
      </c>
      <c r="U304" s="46">
        <f>IF(VLOOKUP($C304,REV!$C:$AA,19,0)-'TRADE IN'!$F304=0,"",(VLOOKUP($C304,REV!$C:$AA,19,0)-'TRADE IN'!$F304))</f>
        <v>1399</v>
      </c>
      <c r="V304" s="46">
        <f>IF(VLOOKUP($C304,REV!$C:$AA,20,0)-'TRADE IN'!$F304=0,"",(VLOOKUP($C304,REV!$C:$AA,20,0)-'TRADE IN'!$F304))</f>
        <v>1399</v>
      </c>
      <c r="W304" s="46">
        <f>IF(VLOOKUP($C304,REV!$C:$AA,21,0)-'TRADE IN'!$F304=0,"",(VLOOKUP($C304,REV!$C:$AA,21,0)-'TRADE IN'!$F304))</f>
        <v>1399</v>
      </c>
      <c r="X304" s="46">
        <f>IF(VLOOKUP($C304,REV!$C:$AA,22,0)-'TRADE IN'!$F304=0,"",(VLOOKUP($C304,REV!$C:$AA,22,0)-'TRADE IN'!$F304))</f>
        <v>1299</v>
      </c>
      <c r="Y304" s="46">
        <f>IF(VLOOKUP($C304,REV!$C:$AA,23,0)-'TRADE IN'!$F304=0,"",(VLOOKUP($C304,REV!$C:$AA,23,0)-'TRADE IN'!$F304))</f>
        <v>1299</v>
      </c>
      <c r="Z304" s="46">
        <f>IF(VLOOKUP($C304,REV!$C:$AA,24,0)-'TRADE IN'!$F304=0,"",(VLOOKUP($C304,REV!$C:$AA,24,0)-'TRADE IN'!$F304))</f>
        <v>1299</v>
      </c>
      <c r="AA304" s="46">
        <f>IF(VLOOKUP($C304,REV!$C:$AA,25,0)-'TRADE IN'!$F304=0,"",(VLOOKUP($C304,REV!$C:$AA,25,0)-'TRADE IN'!$F304))</f>
        <v>1299</v>
      </c>
      <c r="AB304" s="45">
        <f>IF(VLOOKUP($C304,REV!$C:$AL,27,0)-'TRADE IN'!$F304=0,"",(VLOOKUP($C304,REV!$C:$AL,27,0)-'TRADE IN'!$F304))</f>
        <v>1799</v>
      </c>
      <c r="AC304" s="45">
        <f>IF(VLOOKUP($C304,REV!$C:$AL,28,0)-'TRADE IN'!$F304=0,"",(VLOOKUP($C304,REV!$C:$AL,28,0)-'TRADE IN'!$F304))</f>
        <v>1799</v>
      </c>
      <c r="AD304" s="45">
        <f>IF(VLOOKUP($C304,REV!$C:$AL,29,0)-'TRADE IN'!$F304=0,"",(VLOOKUP($C304,REV!$C:$AL,29,0)-'TRADE IN'!$F304))</f>
        <v>1699</v>
      </c>
      <c r="AE304" s="45">
        <f>IF(VLOOKUP($C304,REV!$C:$AL,30,0)-'TRADE IN'!$F304=0,"",(VLOOKUP($C304,REV!$C:$AL,30,0)-'TRADE IN'!$F304))</f>
        <v>1399</v>
      </c>
      <c r="AF304" s="45">
        <f>IF(VLOOKUP($C304,REV!$C:$AL,31,0)-'TRADE IN'!$F304=0,"",(VLOOKUP($C304,REV!$C:$AL,31,0)-'TRADE IN'!$F304))</f>
        <v>1399</v>
      </c>
      <c r="AG304" s="45">
        <f>IF(VLOOKUP($C304,REV!$C:$AL,31,0)-'TRADE IN'!$F304=0,"",(VLOOKUP($C304,REV!$C:$AL,31,0)-'TRADE IN'!$F304))</f>
        <v>1399</v>
      </c>
      <c r="AH304" s="45">
        <f>IF(VLOOKUP($C304,REV!$C:$AL,32,0)-'TRADE IN'!$F304=0,"",(VLOOKUP($C304,REV!$C:$AL,32,0)-'TRADE IN'!$F304))</f>
        <v>1399</v>
      </c>
      <c r="AI304" s="45">
        <f>IF(VLOOKUP($C304,REV!$C:$AL,33,0)-'TRADE IN'!$F304=0,"",(VLOOKUP($C304,REV!$C:$AL,33,0)-'TRADE IN'!$F304))</f>
        <v>1399</v>
      </c>
      <c r="AJ304" s="45">
        <f>IF(VLOOKUP($C304,REV!$C:$AL,34,0)-'TRADE IN'!$F304=0,"",(VLOOKUP($C304,REV!$C:$AL,34,0)-'TRADE IN'!$F304))</f>
        <v>1399</v>
      </c>
      <c r="AK304" s="45">
        <f>IF(VLOOKUP($C304,REV!$C:$AL,35,0)-'TRADE IN'!$F304=0,"",(VLOOKUP($C304,REV!$C:$AL,35,0)-'TRADE IN'!$F304))</f>
        <v>1399</v>
      </c>
      <c r="AL304" s="45">
        <f>IF(VLOOKUP($C304,REV!$C:$AL,36,0)-'TRADE IN'!$F304=0,"",(VLOOKUP($C304,REV!$C:$AL,36,0)-'TRADE IN'!$F304))</f>
        <v>1299</v>
      </c>
      <c r="AM304" s="45"/>
      <c r="AN304" s="45"/>
      <c r="AO304" s="45"/>
      <c r="AP304" s="45"/>
      <c r="AQ304" s="45"/>
      <c r="AR304" s="45"/>
      <c r="AS304" s="45"/>
      <c r="AT304" s="45"/>
      <c r="AU304" s="45"/>
      <c r="AV304" s="47"/>
      <c r="AW304" s="48" t="str">
        <f>REV!AW304</f>
        <v>13.08.2026</v>
      </c>
      <c r="AX304" s="149" t="s">
        <v>68</v>
      </c>
    </row>
    <row r="305" spans="1:50" ht="22.5" customHeight="1">
      <c r="A305" s="55" t="s">
        <v>222</v>
      </c>
      <c r="B305" s="42" t="s">
        <v>64</v>
      </c>
      <c r="C305" s="43">
        <v>4016993</v>
      </c>
      <c r="D305" s="56" t="s">
        <v>465</v>
      </c>
      <c r="E305" s="56" t="s">
        <v>470</v>
      </c>
      <c r="F305" s="45">
        <v>100</v>
      </c>
      <c r="G305" s="45"/>
      <c r="H305" s="45"/>
      <c r="I305" s="45"/>
      <c r="J305" s="46">
        <f>IF(VLOOKUP($C305,REV!$C:$AA,8,0)-'TRADE IN'!$F305=0,"",(VLOOKUP($C305,REV!$C:$AA,8,0)-'TRADE IN'!$F305))</f>
        <v>2499</v>
      </c>
      <c r="K305" s="46">
        <f>IF(VLOOKUP($C305,REV!$C:$AA,9,0)-'TRADE IN'!$F305=0,"",(VLOOKUP($C305,REV!$C:$AA,9,0)-'TRADE IN'!$F305))</f>
        <v>1799</v>
      </c>
      <c r="L305" s="46">
        <f>IF(VLOOKUP($C305,REV!$C:$AA,10,0)-'TRADE IN'!$F305=0,"",(VLOOKUP($C305,REV!$C:$AA,10,0)-'TRADE IN'!$F305))</f>
        <v>1799</v>
      </c>
      <c r="M305" s="46">
        <f>IF(VLOOKUP($C305,REV!$C:$AA,11,0)-'TRADE IN'!$F305=0,"",(VLOOKUP($C305,REV!$C:$AA,11,0)-'TRADE IN'!$F305))</f>
        <v>2499</v>
      </c>
      <c r="N305" s="46">
        <f>IF(VLOOKUP($C305,REV!$C:$AA,12,0)-'TRADE IN'!$F305=0,"",(VLOOKUP($C305,REV!$C:$AA,12,0)-'TRADE IN'!$F305))</f>
        <v>1799</v>
      </c>
      <c r="O305" s="46">
        <f>IF(VLOOKUP($C305,REV!$C:$AA,13,0)-'TRADE IN'!$F305=0,"",(VLOOKUP($C305,REV!$C:$AA,13,0)-'TRADE IN'!$F305))</f>
        <v>1499</v>
      </c>
      <c r="P305" s="46">
        <f>IF(VLOOKUP($C305,REV!$C:$AA,14,0)-'TRADE IN'!$F305=0,"",(VLOOKUP($C305,REV!$C:$AA,14,0)-'TRADE IN'!$F305))</f>
        <v>1399</v>
      </c>
      <c r="Q305" s="46">
        <f>IF(VLOOKUP($C305,REV!$C:$AA,15,0)-'TRADE IN'!$F305=0,"",(VLOOKUP($C305,REV!$C:$AA,15,0)-'TRADE IN'!$F305))</f>
        <v>1399</v>
      </c>
      <c r="R305" s="46">
        <f>IF(VLOOKUP($C305,REV!$C:$AA,16,0)-'TRADE IN'!$F305=0,"",(VLOOKUP($C305,REV!$C:$AA,16,0)-'TRADE IN'!$F305))</f>
        <v>1699</v>
      </c>
      <c r="S305" s="46">
        <f>IF(VLOOKUP($C305,REV!$C:$AA,17,0)-'TRADE IN'!$F305=0,"",(VLOOKUP($C305,REV!$C:$AA,17,0)-'TRADE IN'!$F305))</f>
        <v>1399</v>
      </c>
      <c r="T305" s="46">
        <f>IF(VLOOKUP($C305,REV!$C:$AA,18,0)-'TRADE IN'!$F305=0,"",(VLOOKUP($C305,REV!$C:$AA,18,0)-'TRADE IN'!$F305))</f>
        <v>1399</v>
      </c>
      <c r="U305" s="46">
        <f>IF(VLOOKUP($C305,REV!$C:$AA,19,0)-'TRADE IN'!$F305=0,"",(VLOOKUP($C305,REV!$C:$AA,19,0)-'TRADE IN'!$F305))</f>
        <v>1399</v>
      </c>
      <c r="V305" s="46">
        <f>IF(VLOOKUP($C305,REV!$C:$AA,20,0)-'TRADE IN'!$F305=0,"",(VLOOKUP($C305,REV!$C:$AA,20,0)-'TRADE IN'!$F305))</f>
        <v>1399</v>
      </c>
      <c r="W305" s="46">
        <f>IF(VLOOKUP($C305,REV!$C:$AA,21,0)-'TRADE IN'!$F305=0,"",(VLOOKUP($C305,REV!$C:$AA,21,0)-'TRADE IN'!$F305))</f>
        <v>1399</v>
      </c>
      <c r="X305" s="46">
        <f>IF(VLOOKUP($C305,REV!$C:$AA,22,0)-'TRADE IN'!$F305=0,"",(VLOOKUP($C305,REV!$C:$AA,22,0)-'TRADE IN'!$F305))</f>
        <v>1299</v>
      </c>
      <c r="Y305" s="46">
        <f>IF(VLOOKUP($C305,REV!$C:$AA,23,0)-'TRADE IN'!$F305=0,"",(VLOOKUP($C305,REV!$C:$AA,23,0)-'TRADE IN'!$F305))</f>
        <v>1299</v>
      </c>
      <c r="Z305" s="46">
        <f>IF(VLOOKUP($C305,REV!$C:$AA,24,0)-'TRADE IN'!$F305=0,"",(VLOOKUP($C305,REV!$C:$AA,24,0)-'TRADE IN'!$F305))</f>
        <v>1299</v>
      </c>
      <c r="AA305" s="46">
        <f>IF(VLOOKUP($C305,REV!$C:$AA,25,0)-'TRADE IN'!$F305=0,"",(VLOOKUP($C305,REV!$C:$AA,25,0)-'TRADE IN'!$F305))</f>
        <v>1299</v>
      </c>
      <c r="AB305" s="45">
        <f>IF(VLOOKUP($C305,REV!$C:$AL,27,0)-'TRADE IN'!$F305=0,"",(VLOOKUP($C305,REV!$C:$AL,27,0)-'TRADE IN'!$F305))</f>
        <v>1799</v>
      </c>
      <c r="AC305" s="45">
        <f>IF(VLOOKUP($C305,REV!$C:$AL,28,0)-'TRADE IN'!$F305=0,"",(VLOOKUP($C305,REV!$C:$AL,28,0)-'TRADE IN'!$F305))</f>
        <v>1799</v>
      </c>
      <c r="AD305" s="45">
        <f>IF(VLOOKUP($C305,REV!$C:$AL,29,0)-'TRADE IN'!$F305=0,"",(VLOOKUP($C305,REV!$C:$AL,29,0)-'TRADE IN'!$F305))</f>
        <v>1699</v>
      </c>
      <c r="AE305" s="45">
        <f>IF(VLOOKUP($C305,REV!$C:$AL,30,0)-'TRADE IN'!$F305=0,"",(VLOOKUP($C305,REV!$C:$AL,30,0)-'TRADE IN'!$F305))</f>
        <v>1399</v>
      </c>
      <c r="AF305" s="45">
        <f>IF(VLOOKUP($C305,REV!$C:$AL,31,0)-'TRADE IN'!$F305=0,"",(VLOOKUP($C305,REV!$C:$AL,31,0)-'TRADE IN'!$F305))</f>
        <v>1399</v>
      </c>
      <c r="AG305" s="45">
        <f>IF(VLOOKUP($C305,REV!$C:$AL,31,0)-'TRADE IN'!$F305=0,"",(VLOOKUP($C305,REV!$C:$AL,31,0)-'TRADE IN'!$F305))</f>
        <v>1399</v>
      </c>
      <c r="AH305" s="45">
        <f>IF(VLOOKUP($C305,REV!$C:$AL,32,0)-'TRADE IN'!$F305=0,"",(VLOOKUP($C305,REV!$C:$AL,32,0)-'TRADE IN'!$F305))</f>
        <v>1399</v>
      </c>
      <c r="AI305" s="45">
        <f>IF(VLOOKUP($C305,REV!$C:$AL,33,0)-'TRADE IN'!$F305=0,"",(VLOOKUP($C305,REV!$C:$AL,33,0)-'TRADE IN'!$F305))</f>
        <v>1399</v>
      </c>
      <c r="AJ305" s="45">
        <f>IF(VLOOKUP($C305,REV!$C:$AL,34,0)-'TRADE IN'!$F305=0,"",(VLOOKUP($C305,REV!$C:$AL,34,0)-'TRADE IN'!$F305))</f>
        <v>1399</v>
      </c>
      <c r="AK305" s="45">
        <f>IF(VLOOKUP($C305,REV!$C:$AL,35,0)-'TRADE IN'!$F305=0,"",(VLOOKUP($C305,REV!$C:$AL,35,0)-'TRADE IN'!$F305))</f>
        <v>1399</v>
      </c>
      <c r="AL305" s="45">
        <f>IF(VLOOKUP($C305,REV!$C:$AL,36,0)-'TRADE IN'!$F305=0,"",(VLOOKUP($C305,REV!$C:$AL,36,0)-'TRADE IN'!$F305))</f>
        <v>1299</v>
      </c>
      <c r="AM305" s="45"/>
      <c r="AN305" s="45"/>
      <c r="AO305" s="45"/>
      <c r="AP305" s="45"/>
      <c r="AQ305" s="45"/>
      <c r="AR305" s="45"/>
      <c r="AS305" s="45"/>
      <c r="AT305" s="45"/>
      <c r="AU305" s="45"/>
      <c r="AV305" s="47"/>
      <c r="AW305" s="48" t="str">
        <f>REV!AW305</f>
        <v>13.08.2026</v>
      </c>
      <c r="AX305" s="149" t="s">
        <v>68</v>
      </c>
    </row>
    <row r="306" spans="1:50" ht="22.5" customHeight="1">
      <c r="A306" s="55" t="s">
        <v>222</v>
      </c>
      <c r="B306" s="42" t="s">
        <v>64</v>
      </c>
      <c r="C306" s="43">
        <v>4017855</v>
      </c>
      <c r="D306" s="57" t="s">
        <v>472</v>
      </c>
      <c r="E306" s="56" t="s">
        <v>473</v>
      </c>
      <c r="F306" s="54">
        <v>200</v>
      </c>
      <c r="G306" s="45"/>
      <c r="H306" s="45"/>
      <c r="I306" s="45"/>
      <c r="J306" s="46">
        <f>IF(VLOOKUP($C306,REV!$C:$AA,8,0)-'TRADE IN'!$F306=0,"",(VLOOKUP($C306,REV!$C:$AA,8,0)-'TRADE IN'!$F306))</f>
        <v>2599</v>
      </c>
      <c r="K306" s="46">
        <f>IF(VLOOKUP($C306,REV!$C:$AA,9,0)-'TRADE IN'!$F306=0,"",(VLOOKUP($C306,REV!$C:$AA,9,0)-'TRADE IN'!$F306))</f>
        <v>2599</v>
      </c>
      <c r="L306" s="46">
        <f>IF(VLOOKUP($C306,REV!$C:$AA,10,0)-'TRADE IN'!$F306=0,"",(VLOOKUP($C306,REV!$C:$AA,10,0)-'TRADE IN'!$F306))</f>
        <v>2599</v>
      </c>
      <c r="M306" s="46">
        <f>IF(VLOOKUP($C306,REV!$C:$AA,11,0)-'TRADE IN'!$F306=0,"",(VLOOKUP($C306,REV!$C:$AA,11,0)-'TRADE IN'!$F306))</f>
        <v>2599</v>
      </c>
      <c r="N306" s="46">
        <f>IF(VLOOKUP($C306,REV!$C:$AA,12,0)-'TRADE IN'!$F306=0,"",(VLOOKUP($C306,REV!$C:$AA,12,0)-'TRADE IN'!$F306))</f>
        <v>2599</v>
      </c>
      <c r="O306" s="46">
        <f>IF(VLOOKUP($C306,REV!$C:$AA,13,0)-'TRADE IN'!$F306=0,"",(VLOOKUP($C306,REV!$C:$AA,13,0)-'TRADE IN'!$F306))</f>
        <v>2549</v>
      </c>
      <c r="P306" s="46">
        <f>IF(VLOOKUP($C306,REV!$C:$AA,14,0)-'TRADE IN'!$F306=0,"",(VLOOKUP($C306,REV!$C:$AA,14,0)-'TRADE IN'!$F306))</f>
        <v>2499</v>
      </c>
      <c r="Q306" s="46">
        <f>IF(VLOOKUP($C306,REV!$C:$AA,15,0)-'TRADE IN'!$F306=0,"",(VLOOKUP($C306,REV!$C:$AA,15,0)-'TRADE IN'!$F306))</f>
        <v>1799</v>
      </c>
      <c r="R306" s="46">
        <f>IF(VLOOKUP($C306,REV!$C:$AA,16,0)-'TRADE IN'!$F306=0,"",(VLOOKUP($C306,REV!$C:$AA,16,0)-'TRADE IN'!$F306))</f>
        <v>2549</v>
      </c>
      <c r="S306" s="46">
        <f>IF(VLOOKUP($C306,REV!$C:$AA,17,0)-'TRADE IN'!$F306=0,"",(VLOOKUP($C306,REV!$C:$AA,17,0)-'TRADE IN'!$F306))</f>
        <v>2499</v>
      </c>
      <c r="T306" s="46">
        <f>IF(VLOOKUP($C306,REV!$C:$AA,18,0)-'TRADE IN'!$F306=0,"",(VLOOKUP($C306,REV!$C:$AA,18,0)-'TRADE IN'!$F306))</f>
        <v>1799</v>
      </c>
      <c r="U306" s="46">
        <f>IF(VLOOKUP($C306,REV!$C:$AA,19,0)-'TRADE IN'!$F306=0,"",(VLOOKUP($C306,REV!$C:$AA,19,0)-'TRADE IN'!$F306))</f>
        <v>1799</v>
      </c>
      <c r="V306" s="46">
        <f>IF(VLOOKUP($C306,REV!$C:$AA,20,0)-'TRADE IN'!$F306=0,"",(VLOOKUP($C306,REV!$C:$AA,20,0)-'TRADE IN'!$F306))</f>
        <v>1799</v>
      </c>
      <c r="W306" s="46">
        <f>IF(VLOOKUP($C306,REV!$C:$AA,21,0)-'TRADE IN'!$F306=0,"",(VLOOKUP($C306,REV!$C:$AA,21,0)-'TRADE IN'!$F306))</f>
        <v>1799</v>
      </c>
      <c r="X306" s="46">
        <f>IF(VLOOKUP($C306,REV!$C:$AA,22,0)-'TRADE IN'!$F306=0,"",(VLOOKUP($C306,REV!$C:$AA,22,0)-'TRADE IN'!$F306))</f>
        <v>1749</v>
      </c>
      <c r="Y306" s="46">
        <f>IF(VLOOKUP($C306,REV!$C:$AA,23,0)-'TRADE IN'!$F306=0,"",(VLOOKUP($C306,REV!$C:$AA,23,0)-'TRADE IN'!$F306))</f>
        <v>1699</v>
      </c>
      <c r="Z306" s="46">
        <f>IF(VLOOKUP($C306,REV!$C:$AA,24,0)-'TRADE IN'!$F306=0,"",(VLOOKUP($C306,REV!$C:$AA,24,0)-'TRADE IN'!$F306))</f>
        <v>1699</v>
      </c>
      <c r="AA306" s="46">
        <f>IF(VLOOKUP($C306,REV!$C:$AA,25,0)-'TRADE IN'!$F306=0,"",(VLOOKUP($C306,REV!$C:$AA,25,0)-'TRADE IN'!$F306))</f>
        <v>1699</v>
      </c>
      <c r="AB306" s="45">
        <f>IF(VLOOKUP($C306,REV!$C:$AL,27,0)-'TRADE IN'!$F306=0,"",(VLOOKUP($C306,REV!$C:$AL,27,0)-'TRADE IN'!$F306))</f>
        <v>2599</v>
      </c>
      <c r="AC306" s="45">
        <f>IF(VLOOKUP($C306,REV!$C:$AL,28,0)-'TRADE IN'!$F306=0,"",(VLOOKUP($C306,REV!$C:$AL,28,0)-'TRADE IN'!$F306))</f>
        <v>2599</v>
      </c>
      <c r="AD306" s="45">
        <f>IF(VLOOKUP($C306,REV!$C:$AL,29,0)-'TRADE IN'!$F306=0,"",(VLOOKUP($C306,REV!$C:$AL,29,0)-'TRADE IN'!$F306))</f>
        <v>2549</v>
      </c>
      <c r="AE306" s="45">
        <f>IF(VLOOKUP($C306,REV!$C:$AL,30,0)-'TRADE IN'!$F306=0,"",(VLOOKUP($C306,REV!$C:$AL,30,0)-'TRADE IN'!$F306))</f>
        <v>2499</v>
      </c>
      <c r="AF306" s="45">
        <f>IF(VLOOKUP($C306,REV!$C:$AL,31,0)-'TRADE IN'!$F306=0,"",(VLOOKUP($C306,REV!$C:$AL,31,0)-'TRADE IN'!$F306))</f>
        <v>2499</v>
      </c>
      <c r="AG306" s="45">
        <f>IF(VLOOKUP($C306,REV!$C:$AL,31,0)-'TRADE IN'!$F306=0,"",(VLOOKUP($C306,REV!$C:$AL,31,0)-'TRADE IN'!$F306))</f>
        <v>2499</v>
      </c>
      <c r="AH306" s="45">
        <f>IF(VLOOKUP($C306,REV!$C:$AL,32,0)-'TRADE IN'!$F306=0,"",(VLOOKUP($C306,REV!$C:$AL,32,0)-'TRADE IN'!$F306))</f>
        <v>1799</v>
      </c>
      <c r="AI306" s="45">
        <f>IF(VLOOKUP($C306,REV!$C:$AL,33,0)-'TRADE IN'!$F306=0,"",(VLOOKUP($C306,REV!$C:$AL,33,0)-'TRADE IN'!$F306))</f>
        <v>1799</v>
      </c>
      <c r="AJ306" s="45">
        <f>IF(VLOOKUP($C306,REV!$C:$AL,34,0)-'TRADE IN'!$F306=0,"",(VLOOKUP($C306,REV!$C:$AL,34,0)-'TRADE IN'!$F306))</f>
        <v>1799</v>
      </c>
      <c r="AK306" s="45">
        <f>IF(VLOOKUP($C306,REV!$C:$AL,35,0)-'TRADE IN'!$F306=0,"",(VLOOKUP($C306,REV!$C:$AL,35,0)-'TRADE IN'!$F306))</f>
        <v>1799</v>
      </c>
      <c r="AL306" s="45">
        <f>IF(VLOOKUP($C306,REV!$C:$AL,36,0)-'TRADE IN'!$F306=0,"",(VLOOKUP($C306,REV!$C:$AL,36,0)-'TRADE IN'!$F306))</f>
        <v>1699</v>
      </c>
      <c r="AM306" s="45"/>
      <c r="AN306" s="45"/>
      <c r="AO306" s="45"/>
      <c r="AP306" s="45"/>
      <c r="AQ306" s="45"/>
      <c r="AR306" s="45"/>
      <c r="AS306" s="45"/>
      <c r="AT306" s="45"/>
      <c r="AU306" s="45"/>
      <c r="AV306" s="47"/>
      <c r="AW306" s="48" t="str">
        <f>REV!AW306</f>
        <v>13.08.2026</v>
      </c>
      <c r="AX306" s="149" t="s">
        <v>68</v>
      </c>
    </row>
    <row r="307" spans="1:50" ht="22.5" customHeight="1">
      <c r="A307" s="55" t="s">
        <v>222</v>
      </c>
      <c r="B307" s="42" t="s">
        <v>64</v>
      </c>
      <c r="C307" s="43">
        <v>4017872</v>
      </c>
      <c r="D307" s="57" t="s">
        <v>472</v>
      </c>
      <c r="E307" s="56" t="s">
        <v>474</v>
      </c>
      <c r="F307" s="54">
        <v>200</v>
      </c>
      <c r="G307" s="45"/>
      <c r="H307" s="45"/>
      <c r="I307" s="45"/>
      <c r="J307" s="46">
        <f>IF(VLOOKUP($C307,REV!$C:$AA,8,0)-'TRADE IN'!$F307=0,"",(VLOOKUP($C307,REV!$C:$AA,8,0)-'TRADE IN'!$F307))</f>
        <v>2599</v>
      </c>
      <c r="K307" s="46">
        <f>IF(VLOOKUP($C307,REV!$C:$AA,9,0)-'TRADE IN'!$F307=0,"",(VLOOKUP($C307,REV!$C:$AA,9,0)-'TRADE IN'!$F307))</f>
        <v>2599</v>
      </c>
      <c r="L307" s="46">
        <f>IF(VLOOKUP($C307,REV!$C:$AA,10,0)-'TRADE IN'!$F307=0,"",(VLOOKUP($C307,REV!$C:$AA,10,0)-'TRADE IN'!$F307))</f>
        <v>2599</v>
      </c>
      <c r="M307" s="46">
        <f>IF(VLOOKUP($C307,REV!$C:$AA,11,0)-'TRADE IN'!$F307=0,"",(VLOOKUP($C307,REV!$C:$AA,11,0)-'TRADE IN'!$F307))</f>
        <v>2599</v>
      </c>
      <c r="N307" s="46">
        <f>IF(VLOOKUP($C307,REV!$C:$AA,12,0)-'TRADE IN'!$F307=0,"",(VLOOKUP($C307,REV!$C:$AA,12,0)-'TRADE IN'!$F307))</f>
        <v>2599</v>
      </c>
      <c r="O307" s="46">
        <f>IF(VLOOKUP($C307,REV!$C:$AA,13,0)-'TRADE IN'!$F307=0,"",(VLOOKUP($C307,REV!$C:$AA,13,0)-'TRADE IN'!$F307))</f>
        <v>2549</v>
      </c>
      <c r="P307" s="46">
        <f>IF(VLOOKUP($C307,REV!$C:$AA,14,0)-'TRADE IN'!$F307=0,"",(VLOOKUP($C307,REV!$C:$AA,14,0)-'TRADE IN'!$F307))</f>
        <v>2499</v>
      </c>
      <c r="Q307" s="46">
        <f>IF(VLOOKUP($C307,REV!$C:$AA,15,0)-'TRADE IN'!$F307=0,"",(VLOOKUP($C307,REV!$C:$AA,15,0)-'TRADE IN'!$F307))</f>
        <v>1799</v>
      </c>
      <c r="R307" s="46">
        <f>IF(VLOOKUP($C307,REV!$C:$AA,16,0)-'TRADE IN'!$F307=0,"",(VLOOKUP($C307,REV!$C:$AA,16,0)-'TRADE IN'!$F307))</f>
        <v>2549</v>
      </c>
      <c r="S307" s="46">
        <f>IF(VLOOKUP($C307,REV!$C:$AA,17,0)-'TRADE IN'!$F307=0,"",(VLOOKUP($C307,REV!$C:$AA,17,0)-'TRADE IN'!$F307))</f>
        <v>2499</v>
      </c>
      <c r="T307" s="46">
        <f>IF(VLOOKUP($C307,REV!$C:$AA,18,0)-'TRADE IN'!$F307=0,"",(VLOOKUP($C307,REV!$C:$AA,18,0)-'TRADE IN'!$F307))</f>
        <v>1799</v>
      </c>
      <c r="U307" s="46">
        <f>IF(VLOOKUP($C307,REV!$C:$AA,19,0)-'TRADE IN'!$F307=0,"",(VLOOKUP($C307,REV!$C:$AA,19,0)-'TRADE IN'!$F307))</f>
        <v>1799</v>
      </c>
      <c r="V307" s="46">
        <f>IF(VLOOKUP($C307,REV!$C:$AA,20,0)-'TRADE IN'!$F307=0,"",(VLOOKUP($C307,REV!$C:$AA,20,0)-'TRADE IN'!$F307))</f>
        <v>1799</v>
      </c>
      <c r="W307" s="46">
        <f>IF(VLOOKUP($C307,REV!$C:$AA,21,0)-'TRADE IN'!$F307=0,"",(VLOOKUP($C307,REV!$C:$AA,21,0)-'TRADE IN'!$F307))</f>
        <v>1799</v>
      </c>
      <c r="X307" s="46">
        <f>IF(VLOOKUP($C307,REV!$C:$AA,22,0)-'TRADE IN'!$F307=0,"",(VLOOKUP($C307,REV!$C:$AA,22,0)-'TRADE IN'!$F307))</f>
        <v>1749</v>
      </c>
      <c r="Y307" s="46">
        <f>IF(VLOOKUP($C307,REV!$C:$AA,23,0)-'TRADE IN'!$F307=0,"",(VLOOKUP($C307,REV!$C:$AA,23,0)-'TRADE IN'!$F307))</f>
        <v>1699</v>
      </c>
      <c r="Z307" s="46">
        <f>IF(VLOOKUP($C307,REV!$C:$AA,24,0)-'TRADE IN'!$F307=0,"",(VLOOKUP($C307,REV!$C:$AA,24,0)-'TRADE IN'!$F307))</f>
        <v>1699</v>
      </c>
      <c r="AA307" s="46">
        <f>IF(VLOOKUP($C307,REV!$C:$AA,25,0)-'TRADE IN'!$F307=0,"",(VLOOKUP($C307,REV!$C:$AA,25,0)-'TRADE IN'!$F307))</f>
        <v>1699</v>
      </c>
      <c r="AB307" s="45">
        <f>IF(VLOOKUP($C307,REV!$C:$AL,27,0)-'TRADE IN'!$F307=0,"",(VLOOKUP($C307,REV!$C:$AL,27,0)-'TRADE IN'!$F307))</f>
        <v>2599</v>
      </c>
      <c r="AC307" s="45">
        <f>IF(VLOOKUP($C307,REV!$C:$AL,28,0)-'TRADE IN'!$F307=0,"",(VLOOKUP($C307,REV!$C:$AL,28,0)-'TRADE IN'!$F307))</f>
        <v>2599</v>
      </c>
      <c r="AD307" s="45">
        <f>IF(VLOOKUP($C307,REV!$C:$AL,29,0)-'TRADE IN'!$F307=0,"",(VLOOKUP($C307,REV!$C:$AL,29,0)-'TRADE IN'!$F307))</f>
        <v>2549</v>
      </c>
      <c r="AE307" s="45">
        <f>IF(VLOOKUP($C307,REV!$C:$AL,30,0)-'TRADE IN'!$F307=0,"",(VLOOKUP($C307,REV!$C:$AL,30,0)-'TRADE IN'!$F307))</f>
        <v>2499</v>
      </c>
      <c r="AF307" s="45">
        <f>IF(VLOOKUP($C307,REV!$C:$AL,31,0)-'TRADE IN'!$F307=0,"",(VLOOKUP($C307,REV!$C:$AL,31,0)-'TRADE IN'!$F307))</f>
        <v>2499</v>
      </c>
      <c r="AG307" s="45">
        <f>IF(VLOOKUP($C307,REV!$C:$AL,31,0)-'TRADE IN'!$F307=0,"",(VLOOKUP($C307,REV!$C:$AL,31,0)-'TRADE IN'!$F307))</f>
        <v>2499</v>
      </c>
      <c r="AH307" s="45">
        <f>IF(VLOOKUP($C307,REV!$C:$AL,32,0)-'TRADE IN'!$F307=0,"",(VLOOKUP($C307,REV!$C:$AL,32,0)-'TRADE IN'!$F307))</f>
        <v>1799</v>
      </c>
      <c r="AI307" s="45">
        <f>IF(VLOOKUP($C307,REV!$C:$AL,33,0)-'TRADE IN'!$F307=0,"",(VLOOKUP($C307,REV!$C:$AL,33,0)-'TRADE IN'!$F307))</f>
        <v>1799</v>
      </c>
      <c r="AJ307" s="45">
        <f>IF(VLOOKUP($C307,REV!$C:$AL,34,0)-'TRADE IN'!$F307=0,"",(VLOOKUP($C307,REV!$C:$AL,34,0)-'TRADE IN'!$F307))</f>
        <v>1799</v>
      </c>
      <c r="AK307" s="45">
        <f>IF(VLOOKUP($C307,REV!$C:$AL,35,0)-'TRADE IN'!$F307=0,"",(VLOOKUP($C307,REV!$C:$AL,35,0)-'TRADE IN'!$F307))</f>
        <v>1799</v>
      </c>
      <c r="AL307" s="45">
        <f>IF(VLOOKUP($C307,REV!$C:$AL,36,0)-'TRADE IN'!$F307=0,"",(VLOOKUP($C307,REV!$C:$AL,36,0)-'TRADE IN'!$F307))</f>
        <v>1699</v>
      </c>
      <c r="AM307" s="45"/>
      <c r="AN307" s="45"/>
      <c r="AO307" s="45"/>
      <c r="AP307" s="45"/>
      <c r="AQ307" s="45"/>
      <c r="AR307" s="45"/>
      <c r="AS307" s="45"/>
      <c r="AT307" s="45"/>
      <c r="AU307" s="45"/>
      <c r="AV307" s="47"/>
      <c r="AW307" s="48" t="str">
        <f>REV!AW307</f>
        <v>13.08.2026</v>
      </c>
      <c r="AX307" s="149" t="s">
        <v>68</v>
      </c>
    </row>
    <row r="308" spans="1:50" ht="22.5" customHeight="1">
      <c r="A308" s="55" t="s">
        <v>222</v>
      </c>
      <c r="B308" s="42" t="s">
        <v>64</v>
      </c>
      <c r="C308" s="43">
        <v>4017860</v>
      </c>
      <c r="D308" s="57" t="s">
        <v>472</v>
      </c>
      <c r="E308" s="56" t="s">
        <v>475</v>
      </c>
      <c r="F308" s="54">
        <v>200</v>
      </c>
      <c r="G308" s="45"/>
      <c r="H308" s="45"/>
      <c r="I308" s="45"/>
      <c r="J308" s="46">
        <f>IF(VLOOKUP($C308,REV!$C:$AA,8,0)-'TRADE IN'!$F308=0,"",(VLOOKUP($C308,REV!$C:$AA,8,0)-'TRADE IN'!$F308))</f>
        <v>2599</v>
      </c>
      <c r="K308" s="46">
        <f>IF(VLOOKUP($C308,REV!$C:$AA,9,0)-'TRADE IN'!$F308=0,"",(VLOOKUP($C308,REV!$C:$AA,9,0)-'TRADE IN'!$F308))</f>
        <v>2599</v>
      </c>
      <c r="L308" s="46">
        <f>IF(VLOOKUP($C308,REV!$C:$AA,10,0)-'TRADE IN'!$F308=0,"",(VLOOKUP($C308,REV!$C:$AA,10,0)-'TRADE IN'!$F308))</f>
        <v>2599</v>
      </c>
      <c r="M308" s="46">
        <f>IF(VLOOKUP($C308,REV!$C:$AA,11,0)-'TRADE IN'!$F308=0,"",(VLOOKUP($C308,REV!$C:$AA,11,0)-'TRADE IN'!$F308))</f>
        <v>2599</v>
      </c>
      <c r="N308" s="46">
        <f>IF(VLOOKUP($C308,REV!$C:$AA,12,0)-'TRADE IN'!$F308=0,"",(VLOOKUP($C308,REV!$C:$AA,12,0)-'TRADE IN'!$F308))</f>
        <v>2599</v>
      </c>
      <c r="O308" s="46">
        <f>IF(VLOOKUP($C308,REV!$C:$AA,13,0)-'TRADE IN'!$F308=0,"",(VLOOKUP($C308,REV!$C:$AA,13,0)-'TRADE IN'!$F308))</f>
        <v>2549</v>
      </c>
      <c r="P308" s="46">
        <f>IF(VLOOKUP($C308,REV!$C:$AA,14,0)-'TRADE IN'!$F308=0,"",(VLOOKUP($C308,REV!$C:$AA,14,0)-'TRADE IN'!$F308))</f>
        <v>2499</v>
      </c>
      <c r="Q308" s="46">
        <f>IF(VLOOKUP($C308,REV!$C:$AA,15,0)-'TRADE IN'!$F308=0,"",(VLOOKUP($C308,REV!$C:$AA,15,0)-'TRADE IN'!$F308))</f>
        <v>1799</v>
      </c>
      <c r="R308" s="46">
        <f>IF(VLOOKUP($C308,REV!$C:$AA,16,0)-'TRADE IN'!$F308=0,"",(VLOOKUP($C308,REV!$C:$AA,16,0)-'TRADE IN'!$F308))</f>
        <v>2549</v>
      </c>
      <c r="S308" s="46">
        <f>IF(VLOOKUP($C308,REV!$C:$AA,17,0)-'TRADE IN'!$F308=0,"",(VLOOKUP($C308,REV!$C:$AA,17,0)-'TRADE IN'!$F308))</f>
        <v>2499</v>
      </c>
      <c r="T308" s="46">
        <f>IF(VLOOKUP($C308,REV!$C:$AA,18,0)-'TRADE IN'!$F308=0,"",(VLOOKUP($C308,REV!$C:$AA,18,0)-'TRADE IN'!$F308))</f>
        <v>1799</v>
      </c>
      <c r="U308" s="46">
        <f>IF(VLOOKUP($C308,REV!$C:$AA,19,0)-'TRADE IN'!$F308=0,"",(VLOOKUP($C308,REV!$C:$AA,19,0)-'TRADE IN'!$F308))</f>
        <v>1799</v>
      </c>
      <c r="V308" s="46">
        <f>IF(VLOOKUP($C308,REV!$C:$AA,20,0)-'TRADE IN'!$F308=0,"",(VLOOKUP($C308,REV!$C:$AA,20,0)-'TRADE IN'!$F308))</f>
        <v>1799</v>
      </c>
      <c r="W308" s="46">
        <f>IF(VLOOKUP($C308,REV!$C:$AA,21,0)-'TRADE IN'!$F308=0,"",(VLOOKUP($C308,REV!$C:$AA,21,0)-'TRADE IN'!$F308))</f>
        <v>1799</v>
      </c>
      <c r="X308" s="46">
        <f>IF(VLOOKUP($C308,REV!$C:$AA,22,0)-'TRADE IN'!$F308=0,"",(VLOOKUP($C308,REV!$C:$AA,22,0)-'TRADE IN'!$F308))</f>
        <v>1749</v>
      </c>
      <c r="Y308" s="46">
        <f>IF(VLOOKUP($C308,REV!$C:$AA,23,0)-'TRADE IN'!$F308=0,"",(VLOOKUP($C308,REV!$C:$AA,23,0)-'TRADE IN'!$F308))</f>
        <v>1699</v>
      </c>
      <c r="Z308" s="46">
        <f>IF(VLOOKUP($C308,REV!$C:$AA,24,0)-'TRADE IN'!$F308=0,"",(VLOOKUP($C308,REV!$C:$AA,24,0)-'TRADE IN'!$F308))</f>
        <v>1699</v>
      </c>
      <c r="AA308" s="46">
        <f>IF(VLOOKUP($C308,REV!$C:$AA,25,0)-'TRADE IN'!$F308=0,"",(VLOOKUP($C308,REV!$C:$AA,25,0)-'TRADE IN'!$F308))</f>
        <v>1699</v>
      </c>
      <c r="AB308" s="45">
        <f>IF(VLOOKUP($C308,REV!$C:$AL,27,0)-'TRADE IN'!$F308=0,"",(VLOOKUP($C308,REV!$C:$AL,27,0)-'TRADE IN'!$F308))</f>
        <v>2599</v>
      </c>
      <c r="AC308" s="45">
        <f>IF(VLOOKUP($C308,REV!$C:$AL,28,0)-'TRADE IN'!$F308=0,"",(VLOOKUP($C308,REV!$C:$AL,28,0)-'TRADE IN'!$F308))</f>
        <v>2599</v>
      </c>
      <c r="AD308" s="45">
        <f>IF(VLOOKUP($C308,REV!$C:$AL,29,0)-'TRADE IN'!$F308=0,"",(VLOOKUP($C308,REV!$C:$AL,29,0)-'TRADE IN'!$F308))</f>
        <v>2549</v>
      </c>
      <c r="AE308" s="45">
        <f>IF(VLOOKUP($C308,REV!$C:$AL,30,0)-'TRADE IN'!$F308=0,"",(VLOOKUP($C308,REV!$C:$AL,30,0)-'TRADE IN'!$F308))</f>
        <v>2499</v>
      </c>
      <c r="AF308" s="45">
        <f>IF(VLOOKUP($C308,REV!$C:$AL,31,0)-'TRADE IN'!$F308=0,"",(VLOOKUP($C308,REV!$C:$AL,31,0)-'TRADE IN'!$F308))</f>
        <v>2499</v>
      </c>
      <c r="AG308" s="45">
        <f>IF(VLOOKUP($C308,REV!$C:$AL,31,0)-'TRADE IN'!$F308=0,"",(VLOOKUP($C308,REV!$C:$AL,31,0)-'TRADE IN'!$F308))</f>
        <v>2499</v>
      </c>
      <c r="AH308" s="45">
        <f>IF(VLOOKUP($C308,REV!$C:$AL,32,0)-'TRADE IN'!$F308=0,"",(VLOOKUP($C308,REV!$C:$AL,32,0)-'TRADE IN'!$F308))</f>
        <v>1799</v>
      </c>
      <c r="AI308" s="45">
        <f>IF(VLOOKUP($C308,REV!$C:$AL,33,0)-'TRADE IN'!$F308=0,"",(VLOOKUP($C308,REV!$C:$AL,33,0)-'TRADE IN'!$F308))</f>
        <v>1799</v>
      </c>
      <c r="AJ308" s="45">
        <f>IF(VLOOKUP($C308,REV!$C:$AL,34,0)-'TRADE IN'!$F308=0,"",(VLOOKUP($C308,REV!$C:$AL,34,0)-'TRADE IN'!$F308))</f>
        <v>1799</v>
      </c>
      <c r="AK308" s="45">
        <f>IF(VLOOKUP($C308,REV!$C:$AL,35,0)-'TRADE IN'!$F308=0,"",(VLOOKUP($C308,REV!$C:$AL,35,0)-'TRADE IN'!$F308))</f>
        <v>1799</v>
      </c>
      <c r="AL308" s="45">
        <f>IF(VLOOKUP($C308,REV!$C:$AL,36,0)-'TRADE IN'!$F308=0,"",(VLOOKUP($C308,REV!$C:$AL,36,0)-'TRADE IN'!$F308))</f>
        <v>1699</v>
      </c>
      <c r="AM308" s="45"/>
      <c r="AN308" s="45"/>
      <c r="AO308" s="45"/>
      <c r="AP308" s="45"/>
      <c r="AQ308" s="45"/>
      <c r="AR308" s="45"/>
      <c r="AS308" s="45"/>
      <c r="AT308" s="45"/>
      <c r="AU308" s="45"/>
      <c r="AV308" s="47"/>
      <c r="AW308" s="48" t="str">
        <f>REV!AW308</f>
        <v>13.08.2026</v>
      </c>
      <c r="AX308" s="149" t="s">
        <v>68</v>
      </c>
    </row>
    <row r="309" spans="1:50" ht="22.5" customHeight="1">
      <c r="A309" s="55" t="s">
        <v>222</v>
      </c>
      <c r="B309" s="42" t="s">
        <v>64</v>
      </c>
      <c r="C309" s="43">
        <v>4017876</v>
      </c>
      <c r="D309" s="57" t="s">
        <v>472</v>
      </c>
      <c r="E309" s="56" t="s">
        <v>476</v>
      </c>
      <c r="F309" s="54">
        <v>200</v>
      </c>
      <c r="G309" s="45"/>
      <c r="H309" s="45"/>
      <c r="I309" s="45"/>
      <c r="J309" s="46">
        <f>IF(VLOOKUP($C309,REV!$C:$AA,8,0)-'TRADE IN'!$F309=0,"",(VLOOKUP($C309,REV!$C:$AA,8,0)-'TRADE IN'!$F309))</f>
        <v>2599</v>
      </c>
      <c r="K309" s="46">
        <f>IF(VLOOKUP($C309,REV!$C:$AA,9,0)-'TRADE IN'!$F309=0,"",(VLOOKUP($C309,REV!$C:$AA,9,0)-'TRADE IN'!$F309))</f>
        <v>2599</v>
      </c>
      <c r="L309" s="46">
        <f>IF(VLOOKUP($C309,REV!$C:$AA,10,0)-'TRADE IN'!$F309=0,"",(VLOOKUP($C309,REV!$C:$AA,10,0)-'TRADE IN'!$F309))</f>
        <v>2599</v>
      </c>
      <c r="M309" s="46">
        <f>IF(VLOOKUP($C309,REV!$C:$AA,11,0)-'TRADE IN'!$F309=0,"",(VLOOKUP($C309,REV!$C:$AA,11,0)-'TRADE IN'!$F309))</f>
        <v>2599</v>
      </c>
      <c r="N309" s="46">
        <f>IF(VLOOKUP($C309,REV!$C:$AA,12,0)-'TRADE IN'!$F309=0,"",(VLOOKUP($C309,REV!$C:$AA,12,0)-'TRADE IN'!$F309))</f>
        <v>2599</v>
      </c>
      <c r="O309" s="46">
        <f>IF(VLOOKUP($C309,REV!$C:$AA,13,0)-'TRADE IN'!$F309=0,"",(VLOOKUP($C309,REV!$C:$AA,13,0)-'TRADE IN'!$F309))</f>
        <v>2549</v>
      </c>
      <c r="P309" s="46">
        <f>IF(VLOOKUP($C309,REV!$C:$AA,14,0)-'TRADE IN'!$F309=0,"",(VLOOKUP($C309,REV!$C:$AA,14,0)-'TRADE IN'!$F309))</f>
        <v>2499</v>
      </c>
      <c r="Q309" s="46">
        <f>IF(VLOOKUP($C309,REV!$C:$AA,15,0)-'TRADE IN'!$F309=0,"",(VLOOKUP($C309,REV!$C:$AA,15,0)-'TRADE IN'!$F309))</f>
        <v>1799</v>
      </c>
      <c r="R309" s="46">
        <f>IF(VLOOKUP($C309,REV!$C:$AA,16,0)-'TRADE IN'!$F309=0,"",(VLOOKUP($C309,REV!$C:$AA,16,0)-'TRADE IN'!$F309))</f>
        <v>2549</v>
      </c>
      <c r="S309" s="46">
        <f>IF(VLOOKUP($C309,REV!$C:$AA,17,0)-'TRADE IN'!$F309=0,"",(VLOOKUP($C309,REV!$C:$AA,17,0)-'TRADE IN'!$F309))</f>
        <v>2499</v>
      </c>
      <c r="T309" s="46">
        <f>IF(VLOOKUP($C309,REV!$C:$AA,18,0)-'TRADE IN'!$F309=0,"",(VLOOKUP($C309,REV!$C:$AA,18,0)-'TRADE IN'!$F309))</f>
        <v>1799</v>
      </c>
      <c r="U309" s="46">
        <f>IF(VLOOKUP($C309,REV!$C:$AA,19,0)-'TRADE IN'!$F309=0,"",(VLOOKUP($C309,REV!$C:$AA,19,0)-'TRADE IN'!$F309))</f>
        <v>1799</v>
      </c>
      <c r="V309" s="46">
        <f>IF(VLOOKUP($C309,REV!$C:$AA,20,0)-'TRADE IN'!$F309=0,"",(VLOOKUP($C309,REV!$C:$AA,20,0)-'TRADE IN'!$F309))</f>
        <v>1799</v>
      </c>
      <c r="W309" s="46">
        <f>IF(VLOOKUP($C309,REV!$C:$AA,21,0)-'TRADE IN'!$F309=0,"",(VLOOKUP($C309,REV!$C:$AA,21,0)-'TRADE IN'!$F309))</f>
        <v>1799</v>
      </c>
      <c r="X309" s="46">
        <f>IF(VLOOKUP($C309,REV!$C:$AA,22,0)-'TRADE IN'!$F309=0,"",(VLOOKUP($C309,REV!$C:$AA,22,0)-'TRADE IN'!$F309))</f>
        <v>1749</v>
      </c>
      <c r="Y309" s="46">
        <f>IF(VLOOKUP($C309,REV!$C:$AA,23,0)-'TRADE IN'!$F309=0,"",(VLOOKUP($C309,REV!$C:$AA,23,0)-'TRADE IN'!$F309))</f>
        <v>1699</v>
      </c>
      <c r="Z309" s="46">
        <f>IF(VLOOKUP($C309,REV!$C:$AA,24,0)-'TRADE IN'!$F309=0,"",(VLOOKUP($C309,REV!$C:$AA,24,0)-'TRADE IN'!$F309))</f>
        <v>1699</v>
      </c>
      <c r="AA309" s="46">
        <f>IF(VLOOKUP($C309,REV!$C:$AA,25,0)-'TRADE IN'!$F309=0,"",(VLOOKUP($C309,REV!$C:$AA,25,0)-'TRADE IN'!$F309))</f>
        <v>1699</v>
      </c>
      <c r="AB309" s="45">
        <f>IF(VLOOKUP($C309,REV!$C:$AL,27,0)-'TRADE IN'!$F309=0,"",(VLOOKUP($C309,REV!$C:$AL,27,0)-'TRADE IN'!$F309))</f>
        <v>2599</v>
      </c>
      <c r="AC309" s="45">
        <f>IF(VLOOKUP($C309,REV!$C:$AL,28,0)-'TRADE IN'!$F309=0,"",(VLOOKUP($C309,REV!$C:$AL,28,0)-'TRADE IN'!$F309))</f>
        <v>2599</v>
      </c>
      <c r="AD309" s="45">
        <f>IF(VLOOKUP($C309,REV!$C:$AL,29,0)-'TRADE IN'!$F309=0,"",(VLOOKUP($C309,REV!$C:$AL,29,0)-'TRADE IN'!$F309))</f>
        <v>2549</v>
      </c>
      <c r="AE309" s="45">
        <f>IF(VLOOKUP($C309,REV!$C:$AL,30,0)-'TRADE IN'!$F309=0,"",(VLOOKUP($C309,REV!$C:$AL,30,0)-'TRADE IN'!$F309))</f>
        <v>2499</v>
      </c>
      <c r="AF309" s="45">
        <f>IF(VLOOKUP($C309,REV!$C:$AL,31,0)-'TRADE IN'!$F309=0,"",(VLOOKUP($C309,REV!$C:$AL,31,0)-'TRADE IN'!$F309))</f>
        <v>2499</v>
      </c>
      <c r="AG309" s="45">
        <f>IF(VLOOKUP($C309,REV!$C:$AL,31,0)-'TRADE IN'!$F309=0,"",(VLOOKUP($C309,REV!$C:$AL,31,0)-'TRADE IN'!$F309))</f>
        <v>2499</v>
      </c>
      <c r="AH309" s="45">
        <f>IF(VLOOKUP($C309,REV!$C:$AL,32,0)-'TRADE IN'!$F309=0,"",(VLOOKUP($C309,REV!$C:$AL,32,0)-'TRADE IN'!$F309))</f>
        <v>1799</v>
      </c>
      <c r="AI309" s="45">
        <f>IF(VLOOKUP($C309,REV!$C:$AL,33,0)-'TRADE IN'!$F309=0,"",(VLOOKUP($C309,REV!$C:$AL,33,0)-'TRADE IN'!$F309))</f>
        <v>1799</v>
      </c>
      <c r="AJ309" s="45">
        <f>IF(VLOOKUP($C309,REV!$C:$AL,34,0)-'TRADE IN'!$F309=0,"",(VLOOKUP($C309,REV!$C:$AL,34,0)-'TRADE IN'!$F309))</f>
        <v>1799</v>
      </c>
      <c r="AK309" s="45">
        <f>IF(VLOOKUP($C309,REV!$C:$AL,35,0)-'TRADE IN'!$F309=0,"",(VLOOKUP($C309,REV!$C:$AL,35,0)-'TRADE IN'!$F309))</f>
        <v>1799</v>
      </c>
      <c r="AL309" s="45">
        <f>IF(VLOOKUP($C309,REV!$C:$AL,36,0)-'TRADE IN'!$F309=0,"",(VLOOKUP($C309,REV!$C:$AL,36,0)-'TRADE IN'!$F309))</f>
        <v>1699</v>
      </c>
      <c r="AM309" s="45"/>
      <c r="AN309" s="45"/>
      <c r="AO309" s="45"/>
      <c r="AP309" s="45"/>
      <c r="AQ309" s="45"/>
      <c r="AR309" s="45"/>
      <c r="AS309" s="45"/>
      <c r="AT309" s="45"/>
      <c r="AU309" s="45"/>
      <c r="AV309" s="47"/>
      <c r="AW309" s="48" t="str">
        <f>REV!AW309</f>
        <v>13.08.2026</v>
      </c>
      <c r="AX309" s="149" t="s">
        <v>68</v>
      </c>
    </row>
    <row r="310" spans="1:50" ht="22.5" customHeight="1">
      <c r="A310" s="55" t="s">
        <v>222</v>
      </c>
      <c r="B310" s="42" t="s">
        <v>64</v>
      </c>
      <c r="C310" s="43">
        <v>4017852</v>
      </c>
      <c r="D310" s="57" t="s">
        <v>472</v>
      </c>
      <c r="E310" s="56" t="s">
        <v>477</v>
      </c>
      <c r="F310" s="54">
        <v>200</v>
      </c>
      <c r="G310" s="45"/>
      <c r="H310" s="45"/>
      <c r="I310" s="45"/>
      <c r="J310" s="46">
        <f>IF(VLOOKUP($C310,REV!$C:$AA,8,0)-'TRADE IN'!$F310=0,"",(VLOOKUP($C310,REV!$C:$AA,8,0)-'TRADE IN'!$F310))</f>
        <v>2599</v>
      </c>
      <c r="K310" s="46">
        <f>IF(VLOOKUP($C310,REV!$C:$AA,9,0)-'TRADE IN'!$F310=0,"",(VLOOKUP($C310,REV!$C:$AA,9,0)-'TRADE IN'!$F310))</f>
        <v>2599</v>
      </c>
      <c r="L310" s="46">
        <f>IF(VLOOKUP($C310,REV!$C:$AA,10,0)-'TRADE IN'!$F310=0,"",(VLOOKUP($C310,REV!$C:$AA,10,0)-'TRADE IN'!$F310))</f>
        <v>2599</v>
      </c>
      <c r="M310" s="46">
        <f>IF(VLOOKUP($C310,REV!$C:$AA,11,0)-'TRADE IN'!$F310=0,"",(VLOOKUP($C310,REV!$C:$AA,11,0)-'TRADE IN'!$F310))</f>
        <v>2599</v>
      </c>
      <c r="N310" s="46">
        <f>IF(VLOOKUP($C310,REV!$C:$AA,12,0)-'TRADE IN'!$F310=0,"",(VLOOKUP($C310,REV!$C:$AA,12,0)-'TRADE IN'!$F310))</f>
        <v>2599</v>
      </c>
      <c r="O310" s="46">
        <f>IF(VLOOKUP($C310,REV!$C:$AA,13,0)-'TRADE IN'!$F310=0,"",(VLOOKUP($C310,REV!$C:$AA,13,0)-'TRADE IN'!$F310))</f>
        <v>2549</v>
      </c>
      <c r="P310" s="46">
        <f>IF(VLOOKUP($C310,REV!$C:$AA,14,0)-'TRADE IN'!$F310=0,"",(VLOOKUP($C310,REV!$C:$AA,14,0)-'TRADE IN'!$F310))</f>
        <v>2499</v>
      </c>
      <c r="Q310" s="46">
        <f>IF(VLOOKUP($C310,REV!$C:$AA,15,0)-'TRADE IN'!$F310=0,"",(VLOOKUP($C310,REV!$C:$AA,15,0)-'TRADE IN'!$F310))</f>
        <v>1799</v>
      </c>
      <c r="R310" s="46">
        <f>IF(VLOOKUP($C310,REV!$C:$AA,16,0)-'TRADE IN'!$F310=0,"",(VLOOKUP($C310,REV!$C:$AA,16,0)-'TRADE IN'!$F310))</f>
        <v>2549</v>
      </c>
      <c r="S310" s="46">
        <f>IF(VLOOKUP($C310,REV!$C:$AA,17,0)-'TRADE IN'!$F310=0,"",(VLOOKUP($C310,REV!$C:$AA,17,0)-'TRADE IN'!$F310))</f>
        <v>2499</v>
      </c>
      <c r="T310" s="46">
        <f>IF(VLOOKUP($C310,REV!$C:$AA,18,0)-'TRADE IN'!$F310=0,"",(VLOOKUP($C310,REV!$C:$AA,18,0)-'TRADE IN'!$F310))</f>
        <v>1799</v>
      </c>
      <c r="U310" s="46">
        <f>IF(VLOOKUP($C310,REV!$C:$AA,19,0)-'TRADE IN'!$F310=0,"",(VLOOKUP($C310,REV!$C:$AA,19,0)-'TRADE IN'!$F310))</f>
        <v>1799</v>
      </c>
      <c r="V310" s="46">
        <f>IF(VLOOKUP($C310,REV!$C:$AA,20,0)-'TRADE IN'!$F310=0,"",(VLOOKUP($C310,REV!$C:$AA,20,0)-'TRADE IN'!$F310))</f>
        <v>1799</v>
      </c>
      <c r="W310" s="46">
        <f>IF(VLOOKUP($C310,REV!$C:$AA,21,0)-'TRADE IN'!$F310=0,"",(VLOOKUP($C310,REV!$C:$AA,21,0)-'TRADE IN'!$F310))</f>
        <v>1799</v>
      </c>
      <c r="X310" s="46">
        <f>IF(VLOOKUP($C310,REV!$C:$AA,22,0)-'TRADE IN'!$F310=0,"",(VLOOKUP($C310,REV!$C:$AA,22,0)-'TRADE IN'!$F310))</f>
        <v>1749</v>
      </c>
      <c r="Y310" s="46">
        <f>IF(VLOOKUP($C310,REV!$C:$AA,23,0)-'TRADE IN'!$F310=0,"",(VLOOKUP($C310,REV!$C:$AA,23,0)-'TRADE IN'!$F310))</f>
        <v>1699</v>
      </c>
      <c r="Z310" s="46">
        <f>IF(VLOOKUP($C310,REV!$C:$AA,24,0)-'TRADE IN'!$F310=0,"",(VLOOKUP($C310,REV!$C:$AA,24,0)-'TRADE IN'!$F310))</f>
        <v>1699</v>
      </c>
      <c r="AA310" s="46">
        <f>IF(VLOOKUP($C310,REV!$C:$AA,25,0)-'TRADE IN'!$F310=0,"",(VLOOKUP($C310,REV!$C:$AA,25,0)-'TRADE IN'!$F310))</f>
        <v>1699</v>
      </c>
      <c r="AB310" s="45">
        <f>IF(VLOOKUP($C310,REV!$C:$AL,27,0)-'TRADE IN'!$F310=0,"",(VLOOKUP($C310,REV!$C:$AL,27,0)-'TRADE IN'!$F310))</f>
        <v>2599</v>
      </c>
      <c r="AC310" s="45">
        <f>IF(VLOOKUP($C310,REV!$C:$AL,28,0)-'TRADE IN'!$F310=0,"",(VLOOKUP($C310,REV!$C:$AL,28,0)-'TRADE IN'!$F310))</f>
        <v>2599</v>
      </c>
      <c r="AD310" s="45">
        <f>IF(VLOOKUP($C310,REV!$C:$AL,29,0)-'TRADE IN'!$F310=0,"",(VLOOKUP($C310,REV!$C:$AL,29,0)-'TRADE IN'!$F310))</f>
        <v>2549</v>
      </c>
      <c r="AE310" s="45">
        <f>IF(VLOOKUP($C310,REV!$C:$AL,30,0)-'TRADE IN'!$F310=0,"",(VLOOKUP($C310,REV!$C:$AL,30,0)-'TRADE IN'!$F310))</f>
        <v>2499</v>
      </c>
      <c r="AF310" s="45">
        <f>IF(VLOOKUP($C310,REV!$C:$AL,31,0)-'TRADE IN'!$F310=0,"",(VLOOKUP($C310,REV!$C:$AL,31,0)-'TRADE IN'!$F310))</f>
        <v>2499</v>
      </c>
      <c r="AG310" s="45">
        <f>IF(VLOOKUP($C310,REV!$C:$AL,31,0)-'TRADE IN'!$F310=0,"",(VLOOKUP($C310,REV!$C:$AL,31,0)-'TRADE IN'!$F310))</f>
        <v>2499</v>
      </c>
      <c r="AH310" s="45">
        <f>IF(VLOOKUP($C310,REV!$C:$AL,32,0)-'TRADE IN'!$F310=0,"",(VLOOKUP($C310,REV!$C:$AL,32,0)-'TRADE IN'!$F310))</f>
        <v>1799</v>
      </c>
      <c r="AI310" s="45">
        <f>IF(VLOOKUP($C310,REV!$C:$AL,33,0)-'TRADE IN'!$F310=0,"",(VLOOKUP($C310,REV!$C:$AL,33,0)-'TRADE IN'!$F310))</f>
        <v>1799</v>
      </c>
      <c r="AJ310" s="45">
        <f>IF(VLOOKUP($C310,REV!$C:$AL,34,0)-'TRADE IN'!$F310=0,"",(VLOOKUP($C310,REV!$C:$AL,34,0)-'TRADE IN'!$F310))</f>
        <v>1799</v>
      </c>
      <c r="AK310" s="45">
        <f>IF(VLOOKUP($C310,REV!$C:$AL,35,0)-'TRADE IN'!$F310=0,"",(VLOOKUP($C310,REV!$C:$AL,35,0)-'TRADE IN'!$F310))</f>
        <v>1799</v>
      </c>
      <c r="AL310" s="45">
        <f>IF(VLOOKUP($C310,REV!$C:$AL,36,0)-'TRADE IN'!$F310=0,"",(VLOOKUP($C310,REV!$C:$AL,36,0)-'TRADE IN'!$F310))</f>
        <v>1699</v>
      </c>
      <c r="AM310" s="45"/>
      <c r="AN310" s="45"/>
      <c r="AO310" s="45"/>
      <c r="AP310" s="45"/>
      <c r="AQ310" s="45"/>
      <c r="AR310" s="45"/>
      <c r="AS310" s="45"/>
      <c r="AT310" s="45"/>
      <c r="AU310" s="45"/>
      <c r="AV310" s="47"/>
      <c r="AW310" s="48" t="str">
        <f>REV!AW310</f>
        <v>13.08.2026</v>
      </c>
      <c r="AX310" s="149" t="s">
        <v>68</v>
      </c>
    </row>
    <row r="311" spans="1:50" ht="22.5" customHeight="1">
      <c r="A311" s="55" t="s">
        <v>222</v>
      </c>
      <c r="B311" s="42" t="s">
        <v>64</v>
      </c>
      <c r="C311" s="43">
        <v>4017857</v>
      </c>
      <c r="D311" s="57" t="s">
        <v>472</v>
      </c>
      <c r="E311" s="56" t="s">
        <v>478</v>
      </c>
      <c r="F311" s="54">
        <v>200</v>
      </c>
      <c r="G311" s="45"/>
      <c r="H311" s="45"/>
      <c r="I311" s="45"/>
      <c r="J311" s="46">
        <f>IF(VLOOKUP($C311,REV!$C:$AA,8,0)-'TRADE IN'!$F311=0,"",(VLOOKUP($C311,REV!$C:$AA,8,0)-'TRADE IN'!$F311))</f>
        <v>2599</v>
      </c>
      <c r="K311" s="46">
        <f>IF(VLOOKUP($C311,REV!$C:$AA,9,0)-'TRADE IN'!$F311=0,"",(VLOOKUP($C311,REV!$C:$AA,9,0)-'TRADE IN'!$F311))</f>
        <v>2599</v>
      </c>
      <c r="L311" s="46">
        <f>IF(VLOOKUP($C311,REV!$C:$AA,10,0)-'TRADE IN'!$F311=0,"",(VLOOKUP($C311,REV!$C:$AA,10,0)-'TRADE IN'!$F311))</f>
        <v>2599</v>
      </c>
      <c r="M311" s="46">
        <f>IF(VLOOKUP($C311,REV!$C:$AA,11,0)-'TRADE IN'!$F311=0,"",(VLOOKUP($C311,REV!$C:$AA,11,0)-'TRADE IN'!$F311))</f>
        <v>2599</v>
      </c>
      <c r="N311" s="46">
        <f>IF(VLOOKUP($C311,REV!$C:$AA,12,0)-'TRADE IN'!$F311=0,"",(VLOOKUP($C311,REV!$C:$AA,12,0)-'TRADE IN'!$F311))</f>
        <v>2599</v>
      </c>
      <c r="O311" s="46">
        <f>IF(VLOOKUP($C311,REV!$C:$AA,13,0)-'TRADE IN'!$F311=0,"",(VLOOKUP($C311,REV!$C:$AA,13,0)-'TRADE IN'!$F311))</f>
        <v>2549</v>
      </c>
      <c r="P311" s="46">
        <f>IF(VLOOKUP($C311,REV!$C:$AA,14,0)-'TRADE IN'!$F311=0,"",(VLOOKUP($C311,REV!$C:$AA,14,0)-'TRADE IN'!$F311))</f>
        <v>2499</v>
      </c>
      <c r="Q311" s="46">
        <f>IF(VLOOKUP($C311,REV!$C:$AA,15,0)-'TRADE IN'!$F311=0,"",(VLOOKUP($C311,REV!$C:$AA,15,0)-'TRADE IN'!$F311))</f>
        <v>1799</v>
      </c>
      <c r="R311" s="46">
        <f>IF(VLOOKUP($C311,REV!$C:$AA,16,0)-'TRADE IN'!$F311=0,"",(VLOOKUP($C311,REV!$C:$AA,16,0)-'TRADE IN'!$F311))</f>
        <v>2549</v>
      </c>
      <c r="S311" s="46">
        <f>IF(VLOOKUP($C311,REV!$C:$AA,17,0)-'TRADE IN'!$F311=0,"",(VLOOKUP($C311,REV!$C:$AA,17,0)-'TRADE IN'!$F311))</f>
        <v>2499</v>
      </c>
      <c r="T311" s="46">
        <f>IF(VLOOKUP($C311,REV!$C:$AA,18,0)-'TRADE IN'!$F311=0,"",(VLOOKUP($C311,REV!$C:$AA,18,0)-'TRADE IN'!$F311))</f>
        <v>1799</v>
      </c>
      <c r="U311" s="46">
        <f>IF(VLOOKUP($C311,REV!$C:$AA,19,0)-'TRADE IN'!$F311=0,"",(VLOOKUP($C311,REV!$C:$AA,19,0)-'TRADE IN'!$F311))</f>
        <v>1799</v>
      </c>
      <c r="V311" s="46">
        <f>IF(VLOOKUP($C311,REV!$C:$AA,20,0)-'TRADE IN'!$F311=0,"",(VLOOKUP($C311,REV!$C:$AA,20,0)-'TRADE IN'!$F311))</f>
        <v>1799</v>
      </c>
      <c r="W311" s="46">
        <f>IF(VLOOKUP($C311,REV!$C:$AA,21,0)-'TRADE IN'!$F311=0,"",(VLOOKUP($C311,REV!$C:$AA,21,0)-'TRADE IN'!$F311))</f>
        <v>1799</v>
      </c>
      <c r="X311" s="46">
        <f>IF(VLOOKUP($C311,REV!$C:$AA,22,0)-'TRADE IN'!$F311=0,"",(VLOOKUP($C311,REV!$C:$AA,22,0)-'TRADE IN'!$F311))</f>
        <v>1749</v>
      </c>
      <c r="Y311" s="46">
        <f>IF(VLOOKUP($C311,REV!$C:$AA,23,0)-'TRADE IN'!$F311=0,"",(VLOOKUP($C311,REV!$C:$AA,23,0)-'TRADE IN'!$F311))</f>
        <v>1699</v>
      </c>
      <c r="Z311" s="46">
        <f>IF(VLOOKUP($C311,REV!$C:$AA,24,0)-'TRADE IN'!$F311=0,"",(VLOOKUP($C311,REV!$C:$AA,24,0)-'TRADE IN'!$F311))</f>
        <v>1699</v>
      </c>
      <c r="AA311" s="46">
        <f>IF(VLOOKUP($C311,REV!$C:$AA,25,0)-'TRADE IN'!$F311=0,"",(VLOOKUP($C311,REV!$C:$AA,25,0)-'TRADE IN'!$F311))</f>
        <v>1699</v>
      </c>
      <c r="AB311" s="45">
        <f>IF(VLOOKUP($C311,REV!$C:$AL,27,0)-'TRADE IN'!$F311=0,"",(VLOOKUP($C311,REV!$C:$AL,27,0)-'TRADE IN'!$F311))</f>
        <v>2599</v>
      </c>
      <c r="AC311" s="45">
        <f>IF(VLOOKUP($C311,REV!$C:$AL,28,0)-'TRADE IN'!$F311=0,"",(VLOOKUP($C311,REV!$C:$AL,28,0)-'TRADE IN'!$F311))</f>
        <v>2599</v>
      </c>
      <c r="AD311" s="45">
        <f>IF(VLOOKUP($C311,REV!$C:$AL,29,0)-'TRADE IN'!$F311=0,"",(VLOOKUP($C311,REV!$C:$AL,29,0)-'TRADE IN'!$F311))</f>
        <v>2549</v>
      </c>
      <c r="AE311" s="45">
        <f>IF(VLOOKUP($C311,REV!$C:$AL,30,0)-'TRADE IN'!$F311=0,"",(VLOOKUP($C311,REV!$C:$AL,30,0)-'TRADE IN'!$F311))</f>
        <v>2499</v>
      </c>
      <c r="AF311" s="45">
        <f>IF(VLOOKUP($C311,REV!$C:$AL,31,0)-'TRADE IN'!$F311=0,"",(VLOOKUP($C311,REV!$C:$AL,31,0)-'TRADE IN'!$F311))</f>
        <v>2499</v>
      </c>
      <c r="AG311" s="45">
        <f>IF(VLOOKUP($C311,REV!$C:$AL,31,0)-'TRADE IN'!$F311=0,"",(VLOOKUP($C311,REV!$C:$AL,31,0)-'TRADE IN'!$F311))</f>
        <v>2499</v>
      </c>
      <c r="AH311" s="45">
        <f>IF(VLOOKUP($C311,REV!$C:$AL,32,0)-'TRADE IN'!$F311=0,"",(VLOOKUP($C311,REV!$C:$AL,32,0)-'TRADE IN'!$F311))</f>
        <v>1799</v>
      </c>
      <c r="AI311" s="45">
        <f>IF(VLOOKUP($C311,REV!$C:$AL,33,0)-'TRADE IN'!$F311=0,"",(VLOOKUP($C311,REV!$C:$AL,33,0)-'TRADE IN'!$F311))</f>
        <v>1799</v>
      </c>
      <c r="AJ311" s="45">
        <f>IF(VLOOKUP($C311,REV!$C:$AL,34,0)-'TRADE IN'!$F311=0,"",(VLOOKUP($C311,REV!$C:$AL,34,0)-'TRADE IN'!$F311))</f>
        <v>1799</v>
      </c>
      <c r="AK311" s="45">
        <f>IF(VLOOKUP($C311,REV!$C:$AL,35,0)-'TRADE IN'!$F311=0,"",(VLOOKUP($C311,REV!$C:$AL,35,0)-'TRADE IN'!$F311))</f>
        <v>1799</v>
      </c>
      <c r="AL311" s="45">
        <f>IF(VLOOKUP($C311,REV!$C:$AL,36,0)-'TRADE IN'!$F311=0,"",(VLOOKUP($C311,REV!$C:$AL,36,0)-'TRADE IN'!$F311))</f>
        <v>1699</v>
      </c>
      <c r="AM311" s="45"/>
      <c r="AN311" s="45"/>
      <c r="AO311" s="45"/>
      <c r="AP311" s="45"/>
      <c r="AQ311" s="45"/>
      <c r="AR311" s="45"/>
      <c r="AS311" s="45"/>
      <c r="AT311" s="45"/>
      <c r="AU311" s="45"/>
      <c r="AV311" s="47"/>
      <c r="AW311" s="48" t="str">
        <f>REV!AW311</f>
        <v>13.08.2026</v>
      </c>
      <c r="AX311" s="149" t="s">
        <v>68</v>
      </c>
    </row>
    <row r="312" spans="1:50" ht="22.5" customHeight="1">
      <c r="A312" s="55" t="s">
        <v>222</v>
      </c>
      <c r="B312" s="42" t="s">
        <v>64</v>
      </c>
      <c r="C312" s="43">
        <v>4008625</v>
      </c>
      <c r="D312" s="61" t="s">
        <v>479</v>
      </c>
      <c r="E312" s="62" t="s">
        <v>480</v>
      </c>
      <c r="F312" s="45">
        <v>100</v>
      </c>
      <c r="G312" s="45"/>
      <c r="H312" s="46"/>
      <c r="I312" s="46"/>
      <c r="J312" s="46">
        <f>IF(VLOOKUP($C312,REV!$C:$AA,8,0)-'TRADE IN'!$F312=0,"",(VLOOKUP($C312,REV!$C:$AA,8,0)-'TRADE IN'!$F312))</f>
        <v>699</v>
      </c>
      <c r="K312" s="46">
        <f>IF(VLOOKUP($C312,REV!$C:$AA,9,0)-'TRADE IN'!$F312=0,"",(VLOOKUP($C312,REV!$C:$AA,9,0)-'TRADE IN'!$F312))</f>
        <v>699</v>
      </c>
      <c r="L312" s="46">
        <f>IF(VLOOKUP($C312,REV!$C:$AA,10,0)-'TRADE IN'!$F312=0,"",(VLOOKUP($C312,REV!$C:$AA,10,0)-'TRADE IN'!$F312))</f>
        <v>699</v>
      </c>
      <c r="M312" s="46">
        <f>IF(VLOOKUP($C312,REV!$C:$AA,11,0)-'TRADE IN'!$F312=0,"",(VLOOKUP($C312,REV!$C:$AA,11,0)-'TRADE IN'!$F312))</f>
        <v>699</v>
      </c>
      <c r="N312" s="46">
        <f>IF(VLOOKUP($C312,REV!$C:$AA,12,0)-'TRADE IN'!$F312=0,"",(VLOOKUP($C312,REV!$C:$AA,12,0)-'TRADE IN'!$F312))</f>
        <v>699</v>
      </c>
      <c r="O312" s="46">
        <f>IF(VLOOKUP($C312,REV!$C:$AA,13,0)-'TRADE IN'!$F312=0,"",(VLOOKUP($C312,REV!$C:$AA,13,0)-'TRADE IN'!$F312))</f>
        <v>599</v>
      </c>
      <c r="P312" s="46">
        <f>IF(VLOOKUP($C312,REV!$C:$AA,14,0)-'TRADE IN'!$F312=0,"",(VLOOKUP($C312,REV!$C:$AA,14,0)-'TRADE IN'!$F312))</f>
        <v>479</v>
      </c>
      <c r="Q312" s="46">
        <f>IF(VLOOKUP($C312,REV!$C:$AA,15,0)-'TRADE IN'!$F312=0,"",(VLOOKUP($C312,REV!$C:$AA,15,0)-'TRADE IN'!$F312))</f>
        <v>349</v>
      </c>
      <c r="R312" s="46">
        <f>IF(VLOOKUP($C312,REV!$C:$AA,16,0)-'TRADE IN'!$F312=0,"",(VLOOKUP($C312,REV!$C:$AA,16,0)-'TRADE IN'!$F312))</f>
        <v>599</v>
      </c>
      <c r="S312" s="46">
        <f>IF(VLOOKUP($C312,REV!$C:$AA,17,0)-'TRADE IN'!$F312=0,"",(VLOOKUP($C312,REV!$C:$AA,17,0)-'TRADE IN'!$F312))</f>
        <v>479</v>
      </c>
      <c r="T312" s="46">
        <f>IF(VLOOKUP($C312,REV!$C:$AA,18,0)-'TRADE IN'!$F312=0,"",(VLOOKUP($C312,REV!$C:$AA,18,0)-'TRADE IN'!$F312))</f>
        <v>349</v>
      </c>
      <c r="U312" s="46">
        <f>IF(VLOOKUP($C312,REV!$C:$AA,19,0)-'TRADE IN'!$F312=0,"",(VLOOKUP($C312,REV!$C:$AA,19,0)-'TRADE IN'!$F312))</f>
        <v>349</v>
      </c>
      <c r="V312" s="46">
        <f>IF(VLOOKUP($C312,REV!$C:$AA,20,0)-'TRADE IN'!$F312=0,"",(VLOOKUP($C312,REV!$C:$AA,20,0)-'TRADE IN'!$F312))</f>
        <v>349</v>
      </c>
      <c r="W312" s="46">
        <f>IF(VLOOKUP($C312,REV!$C:$AA,21,0)-'TRADE IN'!$F312=0,"",(VLOOKUP($C312,REV!$C:$AA,21,0)-'TRADE IN'!$F312))</f>
        <v>349</v>
      </c>
      <c r="X312" s="46">
        <f>IF(VLOOKUP($C312,REV!$C:$AA,22,0)-'TRADE IN'!$F312=0,"",(VLOOKUP($C312,REV!$C:$AA,22,0)-'TRADE IN'!$F312))</f>
        <v>299</v>
      </c>
      <c r="Y312" s="46">
        <f>IF(VLOOKUP($C312,REV!$C:$AA,23,0)-'TRADE IN'!$F312=0,"",(VLOOKUP($C312,REV!$C:$AA,23,0)-'TRADE IN'!$F312))</f>
        <v>249</v>
      </c>
      <c r="Z312" s="46">
        <f>IF(VLOOKUP($C312,REV!$C:$AA,24,0)-'TRADE IN'!$F312=0,"",(VLOOKUP($C312,REV!$C:$AA,24,0)-'TRADE IN'!$F312))</f>
        <v>249</v>
      </c>
      <c r="AA312" s="46">
        <f>IF(VLOOKUP($C312,REV!$C:$AA,25,0)-'TRADE IN'!$F312=0,"",(VLOOKUP($C312,REV!$C:$AA,25,0)-'TRADE IN'!$F312))</f>
        <v>209</v>
      </c>
      <c r="AB312" s="45"/>
      <c r="AC312" s="45"/>
      <c r="AD312" s="45"/>
      <c r="AE312" s="45"/>
      <c r="AF312" s="45"/>
      <c r="AG312" s="45"/>
      <c r="AH312" s="45"/>
      <c r="AI312" s="45"/>
      <c r="AJ312" s="45"/>
      <c r="AK312" s="45"/>
      <c r="AL312" s="45"/>
      <c r="AM312" s="45"/>
      <c r="AN312" s="45"/>
      <c r="AO312" s="45"/>
      <c r="AP312" s="45"/>
      <c r="AQ312" s="45"/>
      <c r="AR312" s="45"/>
      <c r="AS312" s="45"/>
      <c r="AT312" s="45"/>
      <c r="AU312" s="45"/>
      <c r="AV312" s="47"/>
      <c r="AW312" s="48" t="str">
        <f>REV!AW312</f>
        <v>13.08.2026</v>
      </c>
      <c r="AX312" s="149" t="s">
        <v>230</v>
      </c>
    </row>
    <row r="313" spans="1:50" ht="22.5" customHeight="1">
      <c r="A313" s="41" t="s">
        <v>63</v>
      </c>
      <c r="B313" s="42" t="s">
        <v>64</v>
      </c>
      <c r="C313" s="43">
        <v>4015427</v>
      </c>
      <c r="D313" s="56" t="s">
        <v>481</v>
      </c>
      <c r="E313" s="56" t="s">
        <v>482</v>
      </c>
      <c r="F313" s="45">
        <v>100</v>
      </c>
      <c r="G313" s="45"/>
      <c r="H313" s="45"/>
      <c r="I313" s="45"/>
      <c r="J313" s="46">
        <f>IF(VLOOKUP($C313,REV!$C:$AA,8,0)-'TRADE IN'!$F313=0,"",(VLOOKUP($C313,REV!$C:$AA,8,0)-'TRADE IN'!$F313))</f>
        <v>1319</v>
      </c>
      <c r="K313" s="46">
        <f>IF(VLOOKUP($C313,REV!$C:$AA,9,0)-'TRADE IN'!$F313=0,"",(VLOOKUP($C313,REV!$C:$AA,9,0)-'TRADE IN'!$F313))</f>
        <v>1319</v>
      </c>
      <c r="L313" s="46">
        <f>IF(VLOOKUP($C313,REV!$C:$AA,10,0)-'TRADE IN'!$F313=0,"",(VLOOKUP($C313,REV!$C:$AA,10,0)-'TRADE IN'!$F313))</f>
        <v>1319</v>
      </c>
      <c r="M313" s="46">
        <f>IF(VLOOKUP($C313,REV!$C:$AA,11,0)-'TRADE IN'!$F313=0,"",(VLOOKUP($C313,REV!$C:$AA,11,0)-'TRADE IN'!$F313))</f>
        <v>1319</v>
      </c>
      <c r="N313" s="46">
        <f>IF(VLOOKUP($C313,REV!$C:$AA,12,0)-'TRADE IN'!$F313=0,"",(VLOOKUP($C313,REV!$C:$AA,12,0)-'TRADE IN'!$F313))</f>
        <v>1319</v>
      </c>
      <c r="O313" s="46">
        <f>IF(VLOOKUP($C313,REV!$C:$AA,13,0)-'TRADE IN'!$F313=0,"",(VLOOKUP($C313,REV!$C:$AA,13,0)-'TRADE IN'!$F313))</f>
        <v>1319</v>
      </c>
      <c r="P313" s="46">
        <f>IF(VLOOKUP($C313,REV!$C:$AA,14,0)-'TRADE IN'!$F313=0,"",(VLOOKUP($C313,REV!$C:$AA,14,0)-'TRADE IN'!$F313))</f>
        <v>1319</v>
      </c>
      <c r="Q313" s="46">
        <f>IF(VLOOKUP($C313,REV!$C:$AA,15,0)-'TRADE IN'!$F313=0,"",(VLOOKUP($C313,REV!$C:$AA,15,0)-'TRADE IN'!$F313))</f>
        <v>1319</v>
      </c>
      <c r="R313" s="46">
        <f>IF(VLOOKUP($C313,REV!$C:$AA,16,0)-'TRADE IN'!$F313=0,"",(VLOOKUP($C313,REV!$C:$AA,16,0)-'TRADE IN'!$F313))</f>
        <v>1319</v>
      </c>
      <c r="S313" s="46">
        <f>IF(VLOOKUP($C313,REV!$C:$AA,17,0)-'TRADE IN'!$F313=0,"",(VLOOKUP($C313,REV!$C:$AA,17,0)-'TRADE IN'!$F313))</f>
        <v>1319</v>
      </c>
      <c r="T313" s="46">
        <f>IF(VLOOKUP($C313,REV!$C:$AA,18,0)-'TRADE IN'!$F313=0,"",(VLOOKUP($C313,REV!$C:$AA,18,0)-'TRADE IN'!$F313))</f>
        <v>1319</v>
      </c>
      <c r="U313" s="46">
        <f>IF(VLOOKUP($C313,REV!$C:$AA,19,0)-'TRADE IN'!$F313=0,"",(VLOOKUP($C313,REV!$C:$AA,19,0)-'TRADE IN'!$F313))</f>
        <v>1319</v>
      </c>
      <c r="V313" s="46">
        <f>IF(VLOOKUP($C313,REV!$C:$AA,20,0)-'TRADE IN'!$F313=0,"",(VLOOKUP($C313,REV!$C:$AA,20,0)-'TRADE IN'!$F313))</f>
        <v>1319</v>
      </c>
      <c r="W313" s="46">
        <f>IF(VLOOKUP($C313,REV!$C:$AA,21,0)-'TRADE IN'!$F313=0,"",(VLOOKUP($C313,REV!$C:$AA,21,0)-'TRADE IN'!$F313))</f>
        <v>1319</v>
      </c>
      <c r="X313" s="46">
        <f>IF(VLOOKUP($C313,REV!$C:$AA,22,0)-'TRADE IN'!$F313=0,"",(VLOOKUP($C313,REV!$C:$AA,22,0)-'TRADE IN'!$F313))</f>
        <v>1319</v>
      </c>
      <c r="Y313" s="46">
        <f>IF(VLOOKUP($C313,REV!$C:$AA,23,0)-'TRADE IN'!$F313=0,"",(VLOOKUP($C313,REV!$C:$AA,23,0)-'TRADE IN'!$F313))</f>
        <v>1319</v>
      </c>
      <c r="Z313" s="46">
        <f>IF(VLOOKUP($C313,REV!$C:$AA,24,0)-'TRADE IN'!$F313=0,"",(VLOOKUP($C313,REV!$C:$AA,24,0)-'TRADE IN'!$F313))</f>
        <v>1319</v>
      </c>
      <c r="AA313" s="46">
        <f>IF(VLOOKUP($C313,REV!$C:$AA,25,0)-'TRADE IN'!$F313=0,"",(VLOOKUP($C313,REV!$C:$AA,25,0)-'TRADE IN'!$F313))</f>
        <v>1319</v>
      </c>
      <c r="AB313" s="45"/>
      <c r="AC313" s="45"/>
      <c r="AD313" s="45"/>
      <c r="AE313" s="45"/>
      <c r="AF313" s="45"/>
      <c r="AG313" s="45"/>
      <c r="AH313" s="45"/>
      <c r="AI313" s="45"/>
      <c r="AJ313" s="45"/>
      <c r="AK313" s="45"/>
      <c r="AL313" s="45"/>
      <c r="AM313" s="45"/>
      <c r="AN313" s="45"/>
      <c r="AO313" s="45"/>
      <c r="AP313" s="45"/>
      <c r="AQ313" s="45"/>
      <c r="AR313" s="45"/>
      <c r="AS313" s="45"/>
      <c r="AT313" s="45"/>
      <c r="AU313" s="45"/>
      <c r="AV313" s="47"/>
      <c r="AW313" s="48" t="str">
        <f>REV!AW313</f>
        <v>13.08.2026</v>
      </c>
      <c r="AX313" s="149" t="s">
        <v>68</v>
      </c>
    </row>
    <row r="314" spans="1:50" ht="22.5" customHeight="1">
      <c r="A314" s="41" t="s">
        <v>63</v>
      </c>
      <c r="B314" s="42" t="s">
        <v>64</v>
      </c>
      <c r="C314" s="43">
        <v>4015449</v>
      </c>
      <c r="D314" s="56" t="s">
        <v>481</v>
      </c>
      <c r="E314" s="56" t="s">
        <v>483</v>
      </c>
      <c r="F314" s="45">
        <v>100</v>
      </c>
      <c r="G314" s="45"/>
      <c r="H314" s="45"/>
      <c r="I314" s="45"/>
      <c r="J314" s="46">
        <f>IF(VLOOKUP($C314,REV!$C:$AA,8,0)-'TRADE IN'!$F314=0,"",(VLOOKUP($C314,REV!$C:$AA,8,0)-'TRADE IN'!$F314))</f>
        <v>1319</v>
      </c>
      <c r="K314" s="46">
        <f>IF(VLOOKUP($C314,REV!$C:$AA,9,0)-'TRADE IN'!$F314=0,"",(VLOOKUP($C314,REV!$C:$AA,9,0)-'TRADE IN'!$F314))</f>
        <v>1319</v>
      </c>
      <c r="L314" s="46">
        <f>IF(VLOOKUP($C314,REV!$C:$AA,10,0)-'TRADE IN'!$F314=0,"",(VLOOKUP($C314,REV!$C:$AA,10,0)-'TRADE IN'!$F314))</f>
        <v>1319</v>
      </c>
      <c r="M314" s="46">
        <f>IF(VLOOKUP($C314,REV!$C:$AA,11,0)-'TRADE IN'!$F314=0,"",(VLOOKUP($C314,REV!$C:$AA,11,0)-'TRADE IN'!$F314))</f>
        <v>1319</v>
      </c>
      <c r="N314" s="46">
        <f>IF(VLOOKUP($C314,REV!$C:$AA,12,0)-'TRADE IN'!$F314=0,"",(VLOOKUP($C314,REV!$C:$AA,12,0)-'TRADE IN'!$F314))</f>
        <v>1319</v>
      </c>
      <c r="O314" s="46">
        <f>IF(VLOOKUP($C314,REV!$C:$AA,13,0)-'TRADE IN'!$F314=0,"",(VLOOKUP($C314,REV!$C:$AA,13,0)-'TRADE IN'!$F314))</f>
        <v>1319</v>
      </c>
      <c r="P314" s="46">
        <f>IF(VLOOKUP($C314,REV!$C:$AA,14,0)-'TRADE IN'!$F314=0,"",(VLOOKUP($C314,REV!$C:$AA,14,0)-'TRADE IN'!$F314))</f>
        <v>1319</v>
      </c>
      <c r="Q314" s="46">
        <f>IF(VLOOKUP($C314,REV!$C:$AA,15,0)-'TRADE IN'!$F314=0,"",(VLOOKUP($C314,REV!$C:$AA,15,0)-'TRADE IN'!$F314))</f>
        <v>1319</v>
      </c>
      <c r="R314" s="46">
        <f>IF(VLOOKUP($C314,REV!$C:$AA,16,0)-'TRADE IN'!$F314=0,"",(VLOOKUP($C314,REV!$C:$AA,16,0)-'TRADE IN'!$F314))</f>
        <v>1319</v>
      </c>
      <c r="S314" s="46">
        <f>IF(VLOOKUP($C314,REV!$C:$AA,17,0)-'TRADE IN'!$F314=0,"",(VLOOKUP($C314,REV!$C:$AA,17,0)-'TRADE IN'!$F314))</f>
        <v>1319</v>
      </c>
      <c r="T314" s="46">
        <f>IF(VLOOKUP($C314,REV!$C:$AA,18,0)-'TRADE IN'!$F314=0,"",(VLOOKUP($C314,REV!$C:$AA,18,0)-'TRADE IN'!$F314))</f>
        <v>1319</v>
      </c>
      <c r="U314" s="46">
        <f>IF(VLOOKUP($C314,REV!$C:$AA,19,0)-'TRADE IN'!$F314=0,"",(VLOOKUP($C314,REV!$C:$AA,19,0)-'TRADE IN'!$F314))</f>
        <v>1319</v>
      </c>
      <c r="V314" s="46">
        <f>IF(VLOOKUP($C314,REV!$C:$AA,20,0)-'TRADE IN'!$F314=0,"",(VLOOKUP($C314,REV!$C:$AA,20,0)-'TRADE IN'!$F314))</f>
        <v>1319</v>
      </c>
      <c r="W314" s="46">
        <f>IF(VLOOKUP($C314,REV!$C:$AA,21,0)-'TRADE IN'!$F314=0,"",(VLOOKUP($C314,REV!$C:$AA,21,0)-'TRADE IN'!$F314))</f>
        <v>1319</v>
      </c>
      <c r="X314" s="46">
        <f>IF(VLOOKUP($C314,REV!$C:$AA,22,0)-'TRADE IN'!$F314=0,"",(VLOOKUP($C314,REV!$C:$AA,22,0)-'TRADE IN'!$F314))</f>
        <v>1319</v>
      </c>
      <c r="Y314" s="46">
        <f>IF(VLOOKUP($C314,REV!$C:$AA,23,0)-'TRADE IN'!$F314=0,"",(VLOOKUP($C314,REV!$C:$AA,23,0)-'TRADE IN'!$F314))</f>
        <v>1319</v>
      </c>
      <c r="Z314" s="46">
        <f>IF(VLOOKUP($C314,REV!$C:$AA,24,0)-'TRADE IN'!$F314=0,"",(VLOOKUP($C314,REV!$C:$AA,24,0)-'TRADE IN'!$F314))</f>
        <v>1319</v>
      </c>
      <c r="AA314" s="46">
        <f>IF(VLOOKUP($C314,REV!$C:$AA,25,0)-'TRADE IN'!$F314=0,"",(VLOOKUP($C314,REV!$C:$AA,25,0)-'TRADE IN'!$F314))</f>
        <v>1319</v>
      </c>
      <c r="AB314" s="45"/>
      <c r="AC314" s="45"/>
      <c r="AD314" s="45"/>
      <c r="AE314" s="45"/>
      <c r="AF314" s="45"/>
      <c r="AG314" s="45"/>
      <c r="AH314" s="45"/>
      <c r="AI314" s="45"/>
      <c r="AJ314" s="45"/>
      <c r="AK314" s="45"/>
      <c r="AL314" s="45"/>
      <c r="AM314" s="45"/>
      <c r="AN314" s="45"/>
      <c r="AO314" s="45"/>
      <c r="AP314" s="45"/>
      <c r="AQ314" s="45"/>
      <c r="AR314" s="45"/>
      <c r="AS314" s="45"/>
      <c r="AT314" s="45"/>
      <c r="AU314" s="45"/>
      <c r="AV314" s="47"/>
      <c r="AW314" s="48" t="str">
        <f>REV!AW314</f>
        <v>13.08.2026</v>
      </c>
      <c r="AX314" s="149" t="s">
        <v>68</v>
      </c>
    </row>
    <row r="315" spans="1:50" ht="22.5" customHeight="1">
      <c r="A315" s="41" t="s">
        <v>63</v>
      </c>
      <c r="B315" s="42" t="s">
        <v>64</v>
      </c>
      <c r="C315" s="43">
        <v>4015443</v>
      </c>
      <c r="D315" s="56" t="s">
        <v>481</v>
      </c>
      <c r="E315" s="56" t="s">
        <v>484</v>
      </c>
      <c r="F315" s="45">
        <v>100</v>
      </c>
      <c r="G315" s="45"/>
      <c r="H315" s="45"/>
      <c r="I315" s="45"/>
      <c r="J315" s="46">
        <f>IF(VLOOKUP($C315,REV!$C:$AA,8,0)-'TRADE IN'!$F315=0,"",(VLOOKUP($C315,REV!$C:$AA,8,0)-'TRADE IN'!$F315))</f>
        <v>1319</v>
      </c>
      <c r="K315" s="46">
        <f>IF(VLOOKUP($C315,REV!$C:$AA,9,0)-'TRADE IN'!$F315=0,"",(VLOOKUP($C315,REV!$C:$AA,9,0)-'TRADE IN'!$F315))</f>
        <v>1319</v>
      </c>
      <c r="L315" s="46">
        <f>IF(VLOOKUP($C315,REV!$C:$AA,10,0)-'TRADE IN'!$F315=0,"",(VLOOKUP($C315,REV!$C:$AA,10,0)-'TRADE IN'!$F315))</f>
        <v>1319</v>
      </c>
      <c r="M315" s="46">
        <f>IF(VLOOKUP($C315,REV!$C:$AA,11,0)-'TRADE IN'!$F315=0,"",(VLOOKUP($C315,REV!$C:$AA,11,0)-'TRADE IN'!$F315))</f>
        <v>1319</v>
      </c>
      <c r="N315" s="46">
        <f>IF(VLOOKUP($C315,REV!$C:$AA,12,0)-'TRADE IN'!$F315=0,"",(VLOOKUP($C315,REV!$C:$AA,12,0)-'TRADE IN'!$F315))</f>
        <v>1319</v>
      </c>
      <c r="O315" s="46">
        <f>IF(VLOOKUP($C315,REV!$C:$AA,13,0)-'TRADE IN'!$F315=0,"",(VLOOKUP($C315,REV!$C:$AA,13,0)-'TRADE IN'!$F315))</f>
        <v>1319</v>
      </c>
      <c r="P315" s="46">
        <f>IF(VLOOKUP($C315,REV!$C:$AA,14,0)-'TRADE IN'!$F315=0,"",(VLOOKUP($C315,REV!$C:$AA,14,0)-'TRADE IN'!$F315))</f>
        <v>1319</v>
      </c>
      <c r="Q315" s="46">
        <f>IF(VLOOKUP($C315,REV!$C:$AA,15,0)-'TRADE IN'!$F315=0,"",(VLOOKUP($C315,REV!$C:$AA,15,0)-'TRADE IN'!$F315))</f>
        <v>1319</v>
      </c>
      <c r="R315" s="46">
        <f>IF(VLOOKUP($C315,REV!$C:$AA,16,0)-'TRADE IN'!$F315=0,"",(VLOOKUP($C315,REV!$C:$AA,16,0)-'TRADE IN'!$F315))</f>
        <v>1319</v>
      </c>
      <c r="S315" s="46">
        <f>IF(VLOOKUP($C315,REV!$C:$AA,17,0)-'TRADE IN'!$F315=0,"",(VLOOKUP($C315,REV!$C:$AA,17,0)-'TRADE IN'!$F315))</f>
        <v>1319</v>
      </c>
      <c r="T315" s="46">
        <f>IF(VLOOKUP($C315,REV!$C:$AA,18,0)-'TRADE IN'!$F315=0,"",(VLOOKUP($C315,REV!$C:$AA,18,0)-'TRADE IN'!$F315))</f>
        <v>1319</v>
      </c>
      <c r="U315" s="46">
        <f>IF(VLOOKUP($C315,REV!$C:$AA,19,0)-'TRADE IN'!$F315=0,"",(VLOOKUP($C315,REV!$C:$AA,19,0)-'TRADE IN'!$F315))</f>
        <v>1319</v>
      </c>
      <c r="V315" s="46">
        <f>IF(VLOOKUP($C315,REV!$C:$AA,20,0)-'TRADE IN'!$F315=0,"",(VLOOKUP($C315,REV!$C:$AA,20,0)-'TRADE IN'!$F315))</f>
        <v>1319</v>
      </c>
      <c r="W315" s="46">
        <f>IF(VLOOKUP($C315,REV!$C:$AA,21,0)-'TRADE IN'!$F315=0,"",(VLOOKUP($C315,REV!$C:$AA,21,0)-'TRADE IN'!$F315))</f>
        <v>1319</v>
      </c>
      <c r="X315" s="46">
        <f>IF(VLOOKUP($C315,REV!$C:$AA,22,0)-'TRADE IN'!$F315=0,"",(VLOOKUP($C315,REV!$C:$AA,22,0)-'TRADE IN'!$F315))</f>
        <v>1319</v>
      </c>
      <c r="Y315" s="46">
        <f>IF(VLOOKUP($C315,REV!$C:$AA,23,0)-'TRADE IN'!$F315=0,"",(VLOOKUP($C315,REV!$C:$AA,23,0)-'TRADE IN'!$F315))</f>
        <v>1319</v>
      </c>
      <c r="Z315" s="46">
        <f>IF(VLOOKUP($C315,REV!$C:$AA,24,0)-'TRADE IN'!$F315=0,"",(VLOOKUP($C315,REV!$C:$AA,24,0)-'TRADE IN'!$F315))</f>
        <v>1319</v>
      </c>
      <c r="AA315" s="46">
        <f>IF(VLOOKUP($C315,REV!$C:$AA,25,0)-'TRADE IN'!$F315=0,"",(VLOOKUP($C315,REV!$C:$AA,25,0)-'TRADE IN'!$F315))</f>
        <v>1319</v>
      </c>
      <c r="AB315" s="45"/>
      <c r="AC315" s="45"/>
      <c r="AD315" s="45"/>
      <c r="AE315" s="45"/>
      <c r="AF315" s="45"/>
      <c r="AG315" s="45"/>
      <c r="AH315" s="45"/>
      <c r="AI315" s="45"/>
      <c r="AJ315" s="45"/>
      <c r="AK315" s="45"/>
      <c r="AL315" s="45"/>
      <c r="AM315" s="45"/>
      <c r="AN315" s="45"/>
      <c r="AO315" s="45"/>
      <c r="AP315" s="45"/>
      <c r="AQ315" s="45"/>
      <c r="AR315" s="45"/>
      <c r="AS315" s="45"/>
      <c r="AT315" s="45"/>
      <c r="AU315" s="45"/>
      <c r="AV315" s="47"/>
      <c r="AW315" s="48" t="str">
        <f>REV!AW315</f>
        <v>13.08.2026</v>
      </c>
      <c r="AX315" s="149" t="s">
        <v>68</v>
      </c>
    </row>
    <row r="316" spans="1:50" ht="22.5" customHeight="1">
      <c r="A316" s="41" t="s">
        <v>63</v>
      </c>
      <c r="B316" s="42" t="s">
        <v>64</v>
      </c>
      <c r="C316" s="43">
        <v>4014767</v>
      </c>
      <c r="D316" s="56" t="s">
        <v>485</v>
      </c>
      <c r="E316" s="56" t="s">
        <v>486</v>
      </c>
      <c r="F316" s="45">
        <v>100</v>
      </c>
      <c r="G316" s="45"/>
      <c r="H316" s="45"/>
      <c r="I316" s="45"/>
      <c r="J316" s="46">
        <f>IF(VLOOKUP($C316,REV!$C:$AA,8,0)-'TRADE IN'!$F316=0,"",(VLOOKUP($C316,REV!$C:$AA,8,0)-'TRADE IN'!$F316))</f>
        <v>649</v>
      </c>
      <c r="K316" s="46">
        <f>IF(VLOOKUP($C316,REV!$C:$AA,9,0)-'TRADE IN'!$F316=0,"",(VLOOKUP($C316,REV!$C:$AA,9,0)-'TRADE IN'!$F316))</f>
        <v>649</v>
      </c>
      <c r="L316" s="46">
        <f>IF(VLOOKUP($C316,REV!$C:$AA,10,0)-'TRADE IN'!$F316=0,"",(VLOOKUP($C316,REV!$C:$AA,10,0)-'TRADE IN'!$F316))</f>
        <v>649</v>
      </c>
      <c r="M316" s="46">
        <f>IF(VLOOKUP($C316,REV!$C:$AA,11,0)-'TRADE IN'!$F316=0,"",(VLOOKUP($C316,REV!$C:$AA,11,0)-'TRADE IN'!$F316))</f>
        <v>649</v>
      </c>
      <c r="N316" s="46">
        <f>IF(VLOOKUP($C316,REV!$C:$AA,12,0)-'TRADE IN'!$F316=0,"",(VLOOKUP($C316,REV!$C:$AA,12,0)-'TRADE IN'!$F316))</f>
        <v>649</v>
      </c>
      <c r="O316" s="46">
        <f>IF(VLOOKUP($C316,REV!$C:$AA,13,0)-'TRADE IN'!$F316=0,"",(VLOOKUP($C316,REV!$C:$AA,13,0)-'TRADE IN'!$F316))</f>
        <v>649</v>
      </c>
      <c r="P316" s="46">
        <f>IF(VLOOKUP($C316,REV!$C:$AA,14,0)-'TRADE IN'!$F316=0,"",(VLOOKUP($C316,REV!$C:$AA,14,0)-'TRADE IN'!$F316))</f>
        <v>649</v>
      </c>
      <c r="Q316" s="46">
        <f>IF(VLOOKUP($C316,REV!$C:$AA,15,0)-'TRADE IN'!$F316=0,"",(VLOOKUP($C316,REV!$C:$AA,15,0)-'TRADE IN'!$F316))</f>
        <v>649</v>
      </c>
      <c r="R316" s="46">
        <f>IF(VLOOKUP($C316,REV!$C:$AA,16,0)-'TRADE IN'!$F316=0,"",(VLOOKUP($C316,REV!$C:$AA,16,0)-'TRADE IN'!$F316))</f>
        <v>649</v>
      </c>
      <c r="S316" s="46">
        <f>IF(VLOOKUP($C316,REV!$C:$AA,17,0)-'TRADE IN'!$F316=0,"",(VLOOKUP($C316,REV!$C:$AA,17,0)-'TRADE IN'!$F316))</f>
        <v>649</v>
      </c>
      <c r="T316" s="46">
        <f>IF(VLOOKUP($C316,REV!$C:$AA,18,0)-'TRADE IN'!$F316=0,"",(VLOOKUP($C316,REV!$C:$AA,18,0)-'TRADE IN'!$F316))</f>
        <v>649</v>
      </c>
      <c r="U316" s="46">
        <f>IF(VLOOKUP($C316,REV!$C:$AA,19,0)-'TRADE IN'!$F316=0,"",(VLOOKUP($C316,REV!$C:$AA,19,0)-'TRADE IN'!$F316))</f>
        <v>649</v>
      </c>
      <c r="V316" s="46">
        <f>IF(VLOOKUP($C316,REV!$C:$AA,20,0)-'TRADE IN'!$F316=0,"",(VLOOKUP($C316,REV!$C:$AA,20,0)-'TRADE IN'!$F316))</f>
        <v>649</v>
      </c>
      <c r="W316" s="46">
        <f>IF(VLOOKUP($C316,REV!$C:$AA,21,0)-'TRADE IN'!$F316=0,"",(VLOOKUP($C316,REV!$C:$AA,21,0)-'TRADE IN'!$F316))</f>
        <v>649</v>
      </c>
      <c r="X316" s="46">
        <f>IF(VLOOKUP($C316,REV!$C:$AA,22,0)-'TRADE IN'!$F316=0,"",(VLOOKUP($C316,REV!$C:$AA,22,0)-'TRADE IN'!$F316))</f>
        <v>649</v>
      </c>
      <c r="Y316" s="46">
        <f>IF(VLOOKUP($C316,REV!$C:$AA,23,0)-'TRADE IN'!$F316=0,"",(VLOOKUP($C316,REV!$C:$AA,23,0)-'TRADE IN'!$F316))</f>
        <v>649</v>
      </c>
      <c r="Z316" s="46">
        <f>IF(VLOOKUP($C316,REV!$C:$AA,24,0)-'TRADE IN'!$F316=0,"",(VLOOKUP($C316,REV!$C:$AA,24,0)-'TRADE IN'!$F316))</f>
        <v>649</v>
      </c>
      <c r="AA316" s="46">
        <f>IF(VLOOKUP($C316,REV!$C:$AA,25,0)-'TRADE IN'!$F316=0,"",(VLOOKUP($C316,REV!$C:$AA,25,0)-'TRADE IN'!$F316))</f>
        <v>649</v>
      </c>
      <c r="AB316" s="45"/>
      <c r="AC316" s="45"/>
      <c r="AD316" s="45"/>
      <c r="AE316" s="45"/>
      <c r="AF316" s="45"/>
      <c r="AG316" s="45"/>
      <c r="AH316" s="45"/>
      <c r="AI316" s="45"/>
      <c r="AJ316" s="45"/>
      <c r="AK316" s="45"/>
      <c r="AL316" s="45"/>
      <c r="AM316" s="45"/>
      <c r="AN316" s="45"/>
      <c r="AO316" s="45"/>
      <c r="AP316" s="45"/>
      <c r="AQ316" s="45"/>
      <c r="AR316" s="45"/>
      <c r="AS316" s="45"/>
      <c r="AT316" s="45"/>
      <c r="AU316" s="45"/>
      <c r="AV316" s="47"/>
      <c r="AW316" s="48" t="str">
        <f>REV!AW316</f>
        <v>13.08.2026</v>
      </c>
      <c r="AX316" s="149" t="s">
        <v>68</v>
      </c>
    </row>
    <row r="317" spans="1:50" ht="22.5" customHeight="1">
      <c r="A317" s="41" t="s">
        <v>63</v>
      </c>
      <c r="B317" s="42" t="s">
        <v>64</v>
      </c>
      <c r="C317" s="43">
        <v>4014758</v>
      </c>
      <c r="D317" s="56" t="s">
        <v>485</v>
      </c>
      <c r="E317" s="56" t="s">
        <v>487</v>
      </c>
      <c r="F317" s="45">
        <v>100</v>
      </c>
      <c r="G317" s="45"/>
      <c r="H317" s="45"/>
      <c r="I317" s="45"/>
      <c r="J317" s="46">
        <f>IF(VLOOKUP($C317,REV!$C:$AA,8,0)-'TRADE IN'!$F317=0,"",(VLOOKUP($C317,REV!$C:$AA,8,0)-'TRADE IN'!$F317))</f>
        <v>649</v>
      </c>
      <c r="K317" s="46">
        <f>IF(VLOOKUP($C317,REV!$C:$AA,9,0)-'TRADE IN'!$F317=0,"",(VLOOKUP($C317,REV!$C:$AA,9,0)-'TRADE IN'!$F317))</f>
        <v>649</v>
      </c>
      <c r="L317" s="46">
        <f>IF(VLOOKUP($C317,REV!$C:$AA,10,0)-'TRADE IN'!$F317=0,"",(VLOOKUP($C317,REV!$C:$AA,10,0)-'TRADE IN'!$F317))</f>
        <v>649</v>
      </c>
      <c r="M317" s="46">
        <f>IF(VLOOKUP($C317,REV!$C:$AA,11,0)-'TRADE IN'!$F317=0,"",(VLOOKUP($C317,REV!$C:$AA,11,0)-'TRADE IN'!$F317))</f>
        <v>649</v>
      </c>
      <c r="N317" s="46">
        <f>IF(VLOOKUP($C317,REV!$C:$AA,12,0)-'TRADE IN'!$F317=0,"",(VLOOKUP($C317,REV!$C:$AA,12,0)-'TRADE IN'!$F317))</f>
        <v>649</v>
      </c>
      <c r="O317" s="46">
        <f>IF(VLOOKUP($C317,REV!$C:$AA,13,0)-'TRADE IN'!$F317=0,"",(VLOOKUP($C317,REV!$C:$AA,13,0)-'TRADE IN'!$F317))</f>
        <v>649</v>
      </c>
      <c r="P317" s="46">
        <f>IF(VLOOKUP($C317,REV!$C:$AA,14,0)-'TRADE IN'!$F317=0,"",(VLOOKUP($C317,REV!$C:$AA,14,0)-'TRADE IN'!$F317))</f>
        <v>649</v>
      </c>
      <c r="Q317" s="46">
        <f>IF(VLOOKUP($C317,REV!$C:$AA,15,0)-'TRADE IN'!$F317=0,"",(VLOOKUP($C317,REV!$C:$AA,15,0)-'TRADE IN'!$F317))</f>
        <v>649</v>
      </c>
      <c r="R317" s="46">
        <f>IF(VLOOKUP($C317,REV!$C:$AA,16,0)-'TRADE IN'!$F317=0,"",(VLOOKUP($C317,REV!$C:$AA,16,0)-'TRADE IN'!$F317))</f>
        <v>649</v>
      </c>
      <c r="S317" s="46">
        <f>IF(VLOOKUP($C317,REV!$C:$AA,17,0)-'TRADE IN'!$F317=0,"",(VLOOKUP($C317,REV!$C:$AA,17,0)-'TRADE IN'!$F317))</f>
        <v>649</v>
      </c>
      <c r="T317" s="46">
        <f>IF(VLOOKUP($C317,REV!$C:$AA,18,0)-'TRADE IN'!$F317=0,"",(VLOOKUP($C317,REV!$C:$AA,18,0)-'TRADE IN'!$F317))</f>
        <v>649</v>
      </c>
      <c r="U317" s="46">
        <f>IF(VLOOKUP($C317,REV!$C:$AA,19,0)-'TRADE IN'!$F317=0,"",(VLOOKUP($C317,REV!$C:$AA,19,0)-'TRADE IN'!$F317))</f>
        <v>649</v>
      </c>
      <c r="V317" s="46">
        <f>IF(VLOOKUP($C317,REV!$C:$AA,20,0)-'TRADE IN'!$F317=0,"",(VLOOKUP($C317,REV!$C:$AA,20,0)-'TRADE IN'!$F317))</f>
        <v>649</v>
      </c>
      <c r="W317" s="46">
        <f>IF(VLOOKUP($C317,REV!$C:$AA,21,0)-'TRADE IN'!$F317=0,"",(VLOOKUP($C317,REV!$C:$AA,21,0)-'TRADE IN'!$F317))</f>
        <v>649</v>
      </c>
      <c r="X317" s="46">
        <f>IF(VLOOKUP($C317,REV!$C:$AA,22,0)-'TRADE IN'!$F317=0,"",(VLOOKUP($C317,REV!$C:$AA,22,0)-'TRADE IN'!$F317))</f>
        <v>649</v>
      </c>
      <c r="Y317" s="46">
        <f>IF(VLOOKUP($C317,REV!$C:$AA,23,0)-'TRADE IN'!$F317=0,"",(VLOOKUP($C317,REV!$C:$AA,23,0)-'TRADE IN'!$F317))</f>
        <v>649</v>
      </c>
      <c r="Z317" s="46">
        <f>IF(VLOOKUP($C317,REV!$C:$AA,24,0)-'TRADE IN'!$F317=0,"",(VLOOKUP($C317,REV!$C:$AA,24,0)-'TRADE IN'!$F317))</f>
        <v>649</v>
      </c>
      <c r="AA317" s="46">
        <f>IF(VLOOKUP($C317,REV!$C:$AA,25,0)-'TRADE IN'!$F317=0,"",(VLOOKUP($C317,REV!$C:$AA,25,0)-'TRADE IN'!$F317))</f>
        <v>649</v>
      </c>
      <c r="AB317" s="45"/>
      <c r="AC317" s="45"/>
      <c r="AD317" s="45"/>
      <c r="AE317" s="45"/>
      <c r="AF317" s="45"/>
      <c r="AG317" s="45"/>
      <c r="AH317" s="45"/>
      <c r="AI317" s="45"/>
      <c r="AJ317" s="45"/>
      <c r="AK317" s="45"/>
      <c r="AL317" s="45"/>
      <c r="AM317" s="45"/>
      <c r="AN317" s="45"/>
      <c r="AO317" s="45"/>
      <c r="AP317" s="45"/>
      <c r="AQ317" s="45"/>
      <c r="AR317" s="45"/>
      <c r="AS317" s="45"/>
      <c r="AT317" s="45"/>
      <c r="AU317" s="45"/>
      <c r="AV317" s="47"/>
      <c r="AW317" s="48" t="str">
        <f>REV!AW317</f>
        <v>13.08.2026</v>
      </c>
      <c r="AX317" s="149" t="s">
        <v>68</v>
      </c>
    </row>
    <row r="318" spans="1:50" ht="22.5" customHeight="1">
      <c r="A318" s="41" t="s">
        <v>63</v>
      </c>
      <c r="B318" s="42" t="s">
        <v>64</v>
      </c>
      <c r="C318" s="43">
        <v>4014764</v>
      </c>
      <c r="D318" s="56" t="s">
        <v>485</v>
      </c>
      <c r="E318" s="56" t="s">
        <v>488</v>
      </c>
      <c r="F318" s="45">
        <v>100</v>
      </c>
      <c r="G318" s="45"/>
      <c r="H318" s="45"/>
      <c r="I318" s="45"/>
      <c r="J318" s="46">
        <f>IF(VLOOKUP($C318,REV!$C:$AA,8,0)-'TRADE IN'!$F318=0,"",(VLOOKUP($C318,REV!$C:$AA,8,0)-'TRADE IN'!$F318))</f>
        <v>649</v>
      </c>
      <c r="K318" s="46">
        <f>IF(VLOOKUP($C318,REV!$C:$AA,9,0)-'TRADE IN'!$F318=0,"",(VLOOKUP($C318,REV!$C:$AA,9,0)-'TRADE IN'!$F318))</f>
        <v>649</v>
      </c>
      <c r="L318" s="46">
        <f>IF(VLOOKUP($C318,REV!$C:$AA,10,0)-'TRADE IN'!$F318=0,"",(VLOOKUP($C318,REV!$C:$AA,10,0)-'TRADE IN'!$F318))</f>
        <v>649</v>
      </c>
      <c r="M318" s="46">
        <f>IF(VLOOKUP($C318,REV!$C:$AA,11,0)-'TRADE IN'!$F318=0,"",(VLOOKUP($C318,REV!$C:$AA,11,0)-'TRADE IN'!$F318))</f>
        <v>649</v>
      </c>
      <c r="N318" s="46">
        <f>IF(VLOOKUP($C318,REV!$C:$AA,12,0)-'TRADE IN'!$F318=0,"",(VLOOKUP($C318,REV!$C:$AA,12,0)-'TRADE IN'!$F318))</f>
        <v>649</v>
      </c>
      <c r="O318" s="46">
        <f>IF(VLOOKUP($C318,REV!$C:$AA,13,0)-'TRADE IN'!$F318=0,"",(VLOOKUP($C318,REV!$C:$AA,13,0)-'TRADE IN'!$F318))</f>
        <v>649</v>
      </c>
      <c r="P318" s="46">
        <f>IF(VLOOKUP($C318,REV!$C:$AA,14,0)-'TRADE IN'!$F318=0,"",(VLOOKUP($C318,REV!$C:$AA,14,0)-'TRADE IN'!$F318))</f>
        <v>649</v>
      </c>
      <c r="Q318" s="46">
        <f>IF(VLOOKUP($C318,REV!$C:$AA,15,0)-'TRADE IN'!$F318=0,"",(VLOOKUP($C318,REV!$C:$AA,15,0)-'TRADE IN'!$F318))</f>
        <v>649</v>
      </c>
      <c r="R318" s="46">
        <f>IF(VLOOKUP($C318,REV!$C:$AA,16,0)-'TRADE IN'!$F318=0,"",(VLOOKUP($C318,REV!$C:$AA,16,0)-'TRADE IN'!$F318))</f>
        <v>649</v>
      </c>
      <c r="S318" s="46">
        <f>IF(VLOOKUP($C318,REV!$C:$AA,17,0)-'TRADE IN'!$F318=0,"",(VLOOKUP($C318,REV!$C:$AA,17,0)-'TRADE IN'!$F318))</f>
        <v>649</v>
      </c>
      <c r="T318" s="46">
        <f>IF(VLOOKUP($C318,REV!$C:$AA,18,0)-'TRADE IN'!$F318=0,"",(VLOOKUP($C318,REV!$C:$AA,18,0)-'TRADE IN'!$F318))</f>
        <v>649</v>
      </c>
      <c r="U318" s="46">
        <f>IF(VLOOKUP($C318,REV!$C:$AA,19,0)-'TRADE IN'!$F318=0,"",(VLOOKUP($C318,REV!$C:$AA,19,0)-'TRADE IN'!$F318))</f>
        <v>649</v>
      </c>
      <c r="V318" s="46">
        <f>IF(VLOOKUP($C318,REV!$C:$AA,20,0)-'TRADE IN'!$F318=0,"",(VLOOKUP($C318,REV!$C:$AA,20,0)-'TRADE IN'!$F318))</f>
        <v>649</v>
      </c>
      <c r="W318" s="46">
        <f>IF(VLOOKUP($C318,REV!$C:$AA,21,0)-'TRADE IN'!$F318=0,"",(VLOOKUP($C318,REV!$C:$AA,21,0)-'TRADE IN'!$F318))</f>
        <v>649</v>
      </c>
      <c r="X318" s="46">
        <f>IF(VLOOKUP($C318,REV!$C:$AA,22,0)-'TRADE IN'!$F318=0,"",(VLOOKUP($C318,REV!$C:$AA,22,0)-'TRADE IN'!$F318))</f>
        <v>649</v>
      </c>
      <c r="Y318" s="46">
        <f>IF(VLOOKUP($C318,REV!$C:$AA,23,0)-'TRADE IN'!$F318=0,"",(VLOOKUP($C318,REV!$C:$AA,23,0)-'TRADE IN'!$F318))</f>
        <v>649</v>
      </c>
      <c r="Z318" s="46">
        <f>IF(VLOOKUP($C318,REV!$C:$AA,24,0)-'TRADE IN'!$F318=0,"",(VLOOKUP($C318,REV!$C:$AA,24,0)-'TRADE IN'!$F318))</f>
        <v>649</v>
      </c>
      <c r="AA318" s="46">
        <f>IF(VLOOKUP($C318,REV!$C:$AA,25,0)-'TRADE IN'!$F318=0,"",(VLOOKUP($C318,REV!$C:$AA,25,0)-'TRADE IN'!$F318))</f>
        <v>649</v>
      </c>
      <c r="AB318" s="45"/>
      <c r="AC318" s="45"/>
      <c r="AD318" s="45"/>
      <c r="AE318" s="45"/>
      <c r="AF318" s="45"/>
      <c r="AG318" s="45"/>
      <c r="AH318" s="45"/>
      <c r="AI318" s="45"/>
      <c r="AJ318" s="45"/>
      <c r="AK318" s="45"/>
      <c r="AL318" s="45"/>
      <c r="AM318" s="45"/>
      <c r="AN318" s="45"/>
      <c r="AO318" s="45"/>
      <c r="AP318" s="45"/>
      <c r="AQ318" s="45"/>
      <c r="AR318" s="45"/>
      <c r="AS318" s="45"/>
      <c r="AT318" s="45"/>
      <c r="AU318" s="45"/>
      <c r="AV318" s="47"/>
      <c r="AW318" s="48" t="str">
        <f>REV!AW318</f>
        <v>13.08.2026</v>
      </c>
      <c r="AX318" s="149" t="s">
        <v>68</v>
      </c>
    </row>
    <row r="319" spans="1:50" ht="22.5" customHeight="1">
      <c r="A319" s="41" t="s">
        <v>63</v>
      </c>
      <c r="B319" s="42" t="s">
        <v>64</v>
      </c>
      <c r="C319" s="43">
        <v>4014985</v>
      </c>
      <c r="D319" s="56" t="s">
        <v>485</v>
      </c>
      <c r="E319" s="56" t="s">
        <v>489</v>
      </c>
      <c r="F319" s="45">
        <v>100</v>
      </c>
      <c r="G319" s="45"/>
      <c r="H319" s="45"/>
      <c r="I319" s="45"/>
      <c r="J319" s="46">
        <f>IF(VLOOKUP($C319,REV!$C:$AA,8,0)-'TRADE IN'!$F319=0,"",(VLOOKUP($C319,REV!$C:$AA,8,0)-'TRADE IN'!$F319))</f>
        <v>649</v>
      </c>
      <c r="K319" s="46">
        <f>IF(VLOOKUP($C319,REV!$C:$AA,9,0)-'TRADE IN'!$F319=0,"",(VLOOKUP($C319,REV!$C:$AA,9,0)-'TRADE IN'!$F319))</f>
        <v>649</v>
      </c>
      <c r="L319" s="46">
        <f>IF(VLOOKUP($C319,REV!$C:$AA,10,0)-'TRADE IN'!$F319=0,"",(VLOOKUP($C319,REV!$C:$AA,10,0)-'TRADE IN'!$F319))</f>
        <v>649</v>
      </c>
      <c r="M319" s="46">
        <f>IF(VLOOKUP($C319,REV!$C:$AA,11,0)-'TRADE IN'!$F319=0,"",(VLOOKUP($C319,REV!$C:$AA,11,0)-'TRADE IN'!$F319))</f>
        <v>649</v>
      </c>
      <c r="N319" s="46">
        <f>IF(VLOOKUP($C319,REV!$C:$AA,12,0)-'TRADE IN'!$F319=0,"",(VLOOKUP($C319,REV!$C:$AA,12,0)-'TRADE IN'!$F319))</f>
        <v>649</v>
      </c>
      <c r="O319" s="46">
        <f>IF(VLOOKUP($C319,REV!$C:$AA,13,0)-'TRADE IN'!$F319=0,"",(VLOOKUP($C319,REV!$C:$AA,13,0)-'TRADE IN'!$F319))</f>
        <v>649</v>
      </c>
      <c r="P319" s="46">
        <f>IF(VLOOKUP($C319,REV!$C:$AA,14,0)-'TRADE IN'!$F319=0,"",(VLOOKUP($C319,REV!$C:$AA,14,0)-'TRADE IN'!$F319))</f>
        <v>649</v>
      </c>
      <c r="Q319" s="46">
        <f>IF(VLOOKUP($C319,REV!$C:$AA,15,0)-'TRADE IN'!$F319=0,"",(VLOOKUP($C319,REV!$C:$AA,15,0)-'TRADE IN'!$F319))</f>
        <v>649</v>
      </c>
      <c r="R319" s="46">
        <f>IF(VLOOKUP($C319,REV!$C:$AA,16,0)-'TRADE IN'!$F319=0,"",(VLOOKUP($C319,REV!$C:$AA,16,0)-'TRADE IN'!$F319))</f>
        <v>649</v>
      </c>
      <c r="S319" s="46">
        <f>IF(VLOOKUP($C319,REV!$C:$AA,17,0)-'TRADE IN'!$F319=0,"",(VLOOKUP($C319,REV!$C:$AA,17,0)-'TRADE IN'!$F319))</f>
        <v>649</v>
      </c>
      <c r="T319" s="46">
        <f>IF(VLOOKUP($C319,REV!$C:$AA,18,0)-'TRADE IN'!$F319=0,"",(VLOOKUP($C319,REV!$C:$AA,18,0)-'TRADE IN'!$F319))</f>
        <v>649</v>
      </c>
      <c r="U319" s="46">
        <f>IF(VLOOKUP($C319,REV!$C:$AA,19,0)-'TRADE IN'!$F319=0,"",(VLOOKUP($C319,REV!$C:$AA,19,0)-'TRADE IN'!$F319))</f>
        <v>649</v>
      </c>
      <c r="V319" s="46">
        <f>IF(VLOOKUP($C319,REV!$C:$AA,20,0)-'TRADE IN'!$F319=0,"",(VLOOKUP($C319,REV!$C:$AA,20,0)-'TRADE IN'!$F319))</f>
        <v>649</v>
      </c>
      <c r="W319" s="46">
        <f>IF(VLOOKUP($C319,REV!$C:$AA,21,0)-'TRADE IN'!$F319=0,"",(VLOOKUP($C319,REV!$C:$AA,21,0)-'TRADE IN'!$F319))</f>
        <v>649</v>
      </c>
      <c r="X319" s="46">
        <f>IF(VLOOKUP($C319,REV!$C:$AA,22,0)-'TRADE IN'!$F319=0,"",(VLOOKUP($C319,REV!$C:$AA,22,0)-'TRADE IN'!$F319))</f>
        <v>649</v>
      </c>
      <c r="Y319" s="46">
        <f>IF(VLOOKUP($C319,REV!$C:$AA,23,0)-'TRADE IN'!$F319=0,"",(VLOOKUP($C319,REV!$C:$AA,23,0)-'TRADE IN'!$F319))</f>
        <v>649</v>
      </c>
      <c r="Z319" s="46">
        <f>IF(VLOOKUP($C319,REV!$C:$AA,24,0)-'TRADE IN'!$F319=0,"",(VLOOKUP($C319,REV!$C:$AA,24,0)-'TRADE IN'!$F319))</f>
        <v>649</v>
      </c>
      <c r="AA319" s="46">
        <f>IF(VLOOKUP($C319,REV!$C:$AA,25,0)-'TRADE IN'!$F319=0,"",(VLOOKUP($C319,REV!$C:$AA,25,0)-'TRADE IN'!$F319))</f>
        <v>649</v>
      </c>
      <c r="AB319" s="45"/>
      <c r="AC319" s="45"/>
      <c r="AD319" s="45"/>
      <c r="AE319" s="45"/>
      <c r="AF319" s="45"/>
      <c r="AG319" s="45"/>
      <c r="AH319" s="45"/>
      <c r="AI319" s="45"/>
      <c r="AJ319" s="45"/>
      <c r="AK319" s="45"/>
      <c r="AL319" s="45"/>
      <c r="AM319" s="45"/>
      <c r="AN319" s="45"/>
      <c r="AO319" s="45"/>
      <c r="AP319" s="45"/>
      <c r="AQ319" s="45"/>
      <c r="AR319" s="45"/>
      <c r="AS319" s="45"/>
      <c r="AT319" s="45"/>
      <c r="AU319" s="45"/>
      <c r="AV319" s="47"/>
      <c r="AW319" s="48" t="str">
        <f>REV!AW319</f>
        <v>13.08.2026</v>
      </c>
      <c r="AX319" s="149" t="s">
        <v>68</v>
      </c>
    </row>
    <row r="320" spans="1:50" ht="22.5" customHeight="1">
      <c r="A320" s="41" t="s">
        <v>63</v>
      </c>
      <c r="B320" s="42" t="s">
        <v>64</v>
      </c>
      <c r="C320" s="43">
        <v>4014742</v>
      </c>
      <c r="D320" s="56" t="s">
        <v>490</v>
      </c>
      <c r="E320" s="56" t="s">
        <v>491</v>
      </c>
      <c r="F320" s="45">
        <v>100</v>
      </c>
      <c r="G320" s="45"/>
      <c r="H320" s="45"/>
      <c r="I320" s="45"/>
      <c r="J320" s="46">
        <f>IF(VLOOKUP($C320,REV!$C:$AA,8,0)-'TRADE IN'!$F320=0,"",(VLOOKUP($C320,REV!$C:$AA,8,0)-'TRADE IN'!$F320))</f>
        <v>699</v>
      </c>
      <c r="K320" s="46">
        <f>IF(VLOOKUP($C320,REV!$C:$AA,9,0)-'TRADE IN'!$F320=0,"",(VLOOKUP($C320,REV!$C:$AA,9,0)-'TRADE IN'!$F320))</f>
        <v>699</v>
      </c>
      <c r="L320" s="46">
        <f>IF(VLOOKUP($C320,REV!$C:$AA,10,0)-'TRADE IN'!$F320=0,"",(VLOOKUP($C320,REV!$C:$AA,10,0)-'TRADE IN'!$F320))</f>
        <v>699</v>
      </c>
      <c r="M320" s="46">
        <f>IF(VLOOKUP($C320,REV!$C:$AA,11,0)-'TRADE IN'!$F320=0,"",(VLOOKUP($C320,REV!$C:$AA,11,0)-'TRADE IN'!$F320))</f>
        <v>699</v>
      </c>
      <c r="N320" s="46">
        <f>IF(VLOOKUP($C320,REV!$C:$AA,12,0)-'TRADE IN'!$F320=0,"",(VLOOKUP($C320,REV!$C:$AA,12,0)-'TRADE IN'!$F320))</f>
        <v>699</v>
      </c>
      <c r="O320" s="46">
        <f>IF(VLOOKUP($C320,REV!$C:$AA,13,0)-'TRADE IN'!$F320=0,"",(VLOOKUP($C320,REV!$C:$AA,13,0)-'TRADE IN'!$F320))</f>
        <v>699</v>
      </c>
      <c r="P320" s="46">
        <f>IF(VLOOKUP($C320,REV!$C:$AA,14,0)-'TRADE IN'!$F320=0,"",(VLOOKUP($C320,REV!$C:$AA,14,0)-'TRADE IN'!$F320))</f>
        <v>699</v>
      </c>
      <c r="Q320" s="46">
        <f>IF(VLOOKUP($C320,REV!$C:$AA,15,0)-'TRADE IN'!$F320=0,"",(VLOOKUP($C320,REV!$C:$AA,15,0)-'TRADE IN'!$F320))</f>
        <v>699</v>
      </c>
      <c r="R320" s="46">
        <f>IF(VLOOKUP($C320,REV!$C:$AA,16,0)-'TRADE IN'!$F320=0,"",(VLOOKUP($C320,REV!$C:$AA,16,0)-'TRADE IN'!$F320))</f>
        <v>699</v>
      </c>
      <c r="S320" s="46">
        <f>IF(VLOOKUP($C320,REV!$C:$AA,17,0)-'TRADE IN'!$F320=0,"",(VLOOKUP($C320,REV!$C:$AA,17,0)-'TRADE IN'!$F320))</f>
        <v>699</v>
      </c>
      <c r="T320" s="46">
        <f>IF(VLOOKUP($C320,REV!$C:$AA,18,0)-'TRADE IN'!$F320=0,"",(VLOOKUP($C320,REV!$C:$AA,18,0)-'TRADE IN'!$F320))</f>
        <v>699</v>
      </c>
      <c r="U320" s="46">
        <f>IF(VLOOKUP($C320,REV!$C:$AA,19,0)-'TRADE IN'!$F320=0,"",(VLOOKUP($C320,REV!$C:$AA,19,0)-'TRADE IN'!$F320))</f>
        <v>699</v>
      </c>
      <c r="V320" s="46">
        <f>IF(VLOOKUP($C320,REV!$C:$AA,20,0)-'TRADE IN'!$F320=0,"",(VLOOKUP($C320,REV!$C:$AA,20,0)-'TRADE IN'!$F320))</f>
        <v>699</v>
      </c>
      <c r="W320" s="46">
        <f>IF(VLOOKUP($C320,REV!$C:$AA,21,0)-'TRADE IN'!$F320=0,"",(VLOOKUP($C320,REV!$C:$AA,21,0)-'TRADE IN'!$F320))</f>
        <v>699</v>
      </c>
      <c r="X320" s="46">
        <f>IF(VLOOKUP($C320,REV!$C:$AA,22,0)-'TRADE IN'!$F320=0,"",(VLOOKUP($C320,REV!$C:$AA,22,0)-'TRADE IN'!$F320))</f>
        <v>699</v>
      </c>
      <c r="Y320" s="46">
        <f>IF(VLOOKUP($C320,REV!$C:$AA,23,0)-'TRADE IN'!$F320=0,"",(VLOOKUP($C320,REV!$C:$AA,23,0)-'TRADE IN'!$F320))</f>
        <v>699</v>
      </c>
      <c r="Z320" s="46">
        <f>IF(VLOOKUP($C320,REV!$C:$AA,24,0)-'TRADE IN'!$F320=0,"",(VLOOKUP($C320,REV!$C:$AA,24,0)-'TRADE IN'!$F320))</f>
        <v>699</v>
      </c>
      <c r="AA320" s="46">
        <f>IF(VLOOKUP($C320,REV!$C:$AA,25,0)-'TRADE IN'!$F320=0,"",(VLOOKUP($C320,REV!$C:$AA,25,0)-'TRADE IN'!$F320))</f>
        <v>699</v>
      </c>
      <c r="AB320" s="45"/>
      <c r="AC320" s="45"/>
      <c r="AD320" s="45"/>
      <c r="AE320" s="45"/>
      <c r="AF320" s="45"/>
      <c r="AG320" s="45"/>
      <c r="AH320" s="45"/>
      <c r="AI320" s="45"/>
      <c r="AJ320" s="45"/>
      <c r="AK320" s="45"/>
      <c r="AL320" s="45"/>
      <c r="AM320" s="45"/>
      <c r="AN320" s="45"/>
      <c r="AO320" s="45"/>
      <c r="AP320" s="45"/>
      <c r="AQ320" s="45"/>
      <c r="AR320" s="45"/>
      <c r="AS320" s="45"/>
      <c r="AT320" s="45"/>
      <c r="AU320" s="45"/>
      <c r="AV320" s="47"/>
      <c r="AW320" s="48" t="str">
        <f>REV!AW320</f>
        <v>13.08.2026</v>
      </c>
      <c r="AX320" s="149" t="s">
        <v>68</v>
      </c>
    </row>
    <row r="321" spans="1:50" ht="22.5" customHeight="1">
      <c r="A321" s="41" t="s">
        <v>63</v>
      </c>
      <c r="B321" s="42" t="s">
        <v>64</v>
      </c>
      <c r="C321" s="43">
        <v>4014708</v>
      </c>
      <c r="D321" s="56" t="s">
        <v>490</v>
      </c>
      <c r="E321" s="56" t="s">
        <v>492</v>
      </c>
      <c r="F321" s="45">
        <v>100</v>
      </c>
      <c r="G321" s="45"/>
      <c r="H321" s="45"/>
      <c r="I321" s="45"/>
      <c r="J321" s="46">
        <f>IF(VLOOKUP($C321,REV!$C:$AA,8,0)-'TRADE IN'!$F321=0,"",(VLOOKUP($C321,REV!$C:$AA,8,0)-'TRADE IN'!$F321))</f>
        <v>699</v>
      </c>
      <c r="K321" s="46">
        <f>IF(VLOOKUP($C321,REV!$C:$AA,9,0)-'TRADE IN'!$F321=0,"",(VLOOKUP($C321,REV!$C:$AA,9,0)-'TRADE IN'!$F321))</f>
        <v>699</v>
      </c>
      <c r="L321" s="46">
        <f>IF(VLOOKUP($C321,REV!$C:$AA,10,0)-'TRADE IN'!$F321=0,"",(VLOOKUP($C321,REV!$C:$AA,10,0)-'TRADE IN'!$F321))</f>
        <v>699</v>
      </c>
      <c r="M321" s="46">
        <f>IF(VLOOKUP($C321,REV!$C:$AA,11,0)-'TRADE IN'!$F321=0,"",(VLOOKUP($C321,REV!$C:$AA,11,0)-'TRADE IN'!$F321))</f>
        <v>699</v>
      </c>
      <c r="N321" s="46">
        <f>IF(VLOOKUP($C321,REV!$C:$AA,12,0)-'TRADE IN'!$F321=0,"",(VLOOKUP($C321,REV!$C:$AA,12,0)-'TRADE IN'!$F321))</f>
        <v>699</v>
      </c>
      <c r="O321" s="46">
        <f>IF(VLOOKUP($C321,REV!$C:$AA,13,0)-'TRADE IN'!$F321=0,"",(VLOOKUP($C321,REV!$C:$AA,13,0)-'TRADE IN'!$F321))</f>
        <v>699</v>
      </c>
      <c r="P321" s="46">
        <f>IF(VLOOKUP($C321,REV!$C:$AA,14,0)-'TRADE IN'!$F321=0,"",(VLOOKUP($C321,REV!$C:$AA,14,0)-'TRADE IN'!$F321))</f>
        <v>699</v>
      </c>
      <c r="Q321" s="46">
        <f>IF(VLOOKUP($C321,REV!$C:$AA,15,0)-'TRADE IN'!$F321=0,"",(VLOOKUP($C321,REV!$C:$AA,15,0)-'TRADE IN'!$F321))</f>
        <v>699</v>
      </c>
      <c r="R321" s="46">
        <f>IF(VLOOKUP($C321,REV!$C:$AA,16,0)-'TRADE IN'!$F321=0,"",(VLOOKUP($C321,REV!$C:$AA,16,0)-'TRADE IN'!$F321))</f>
        <v>699</v>
      </c>
      <c r="S321" s="46">
        <f>IF(VLOOKUP($C321,REV!$C:$AA,17,0)-'TRADE IN'!$F321=0,"",(VLOOKUP($C321,REV!$C:$AA,17,0)-'TRADE IN'!$F321))</f>
        <v>699</v>
      </c>
      <c r="T321" s="46">
        <f>IF(VLOOKUP($C321,REV!$C:$AA,18,0)-'TRADE IN'!$F321=0,"",(VLOOKUP($C321,REV!$C:$AA,18,0)-'TRADE IN'!$F321))</f>
        <v>699</v>
      </c>
      <c r="U321" s="46">
        <f>IF(VLOOKUP($C321,REV!$C:$AA,19,0)-'TRADE IN'!$F321=0,"",(VLOOKUP($C321,REV!$C:$AA,19,0)-'TRADE IN'!$F321))</f>
        <v>699</v>
      </c>
      <c r="V321" s="46">
        <f>IF(VLOOKUP($C321,REV!$C:$AA,20,0)-'TRADE IN'!$F321=0,"",(VLOOKUP($C321,REV!$C:$AA,20,0)-'TRADE IN'!$F321))</f>
        <v>699</v>
      </c>
      <c r="W321" s="46">
        <f>IF(VLOOKUP($C321,REV!$C:$AA,21,0)-'TRADE IN'!$F321=0,"",(VLOOKUP($C321,REV!$C:$AA,21,0)-'TRADE IN'!$F321))</f>
        <v>699</v>
      </c>
      <c r="X321" s="46">
        <f>IF(VLOOKUP($C321,REV!$C:$AA,22,0)-'TRADE IN'!$F321=0,"",(VLOOKUP($C321,REV!$C:$AA,22,0)-'TRADE IN'!$F321))</f>
        <v>699</v>
      </c>
      <c r="Y321" s="46">
        <f>IF(VLOOKUP($C321,REV!$C:$AA,23,0)-'TRADE IN'!$F321=0,"",(VLOOKUP($C321,REV!$C:$AA,23,0)-'TRADE IN'!$F321))</f>
        <v>699</v>
      </c>
      <c r="Z321" s="46">
        <f>IF(VLOOKUP($C321,REV!$C:$AA,24,0)-'TRADE IN'!$F321=0,"",(VLOOKUP($C321,REV!$C:$AA,24,0)-'TRADE IN'!$F321))</f>
        <v>699</v>
      </c>
      <c r="AA321" s="46">
        <f>IF(VLOOKUP($C321,REV!$C:$AA,25,0)-'TRADE IN'!$F321=0,"",(VLOOKUP($C321,REV!$C:$AA,25,0)-'TRADE IN'!$F321))</f>
        <v>699</v>
      </c>
      <c r="AB321" s="45"/>
      <c r="AC321" s="45"/>
      <c r="AD321" s="45"/>
      <c r="AE321" s="45"/>
      <c r="AF321" s="45"/>
      <c r="AG321" s="45"/>
      <c r="AH321" s="45"/>
      <c r="AI321" s="45"/>
      <c r="AJ321" s="45"/>
      <c r="AK321" s="45"/>
      <c r="AL321" s="45"/>
      <c r="AM321" s="45"/>
      <c r="AN321" s="45"/>
      <c r="AO321" s="45"/>
      <c r="AP321" s="45"/>
      <c r="AQ321" s="45"/>
      <c r="AR321" s="45"/>
      <c r="AS321" s="45"/>
      <c r="AT321" s="45"/>
      <c r="AU321" s="45"/>
      <c r="AV321" s="47"/>
      <c r="AW321" s="48" t="str">
        <f>REV!AW321</f>
        <v>13.08.2026</v>
      </c>
      <c r="AX321" s="149" t="s">
        <v>68</v>
      </c>
    </row>
    <row r="322" spans="1:50" ht="22.5" customHeight="1">
      <c r="A322" s="41" t="s">
        <v>63</v>
      </c>
      <c r="B322" s="42" t="s">
        <v>64</v>
      </c>
      <c r="C322" s="43">
        <v>4015523</v>
      </c>
      <c r="D322" s="56" t="s">
        <v>490</v>
      </c>
      <c r="E322" s="56" t="s">
        <v>493</v>
      </c>
      <c r="F322" s="45">
        <v>100</v>
      </c>
      <c r="G322" s="45"/>
      <c r="H322" s="45"/>
      <c r="I322" s="45"/>
      <c r="J322" s="46">
        <f>IF(VLOOKUP($C322,REV!$C:$AA,8,0)-'TRADE IN'!$F322=0,"",(VLOOKUP($C322,REV!$C:$AA,8,0)-'TRADE IN'!$F322))</f>
        <v>699</v>
      </c>
      <c r="K322" s="46">
        <f>IF(VLOOKUP($C322,REV!$C:$AA,9,0)-'TRADE IN'!$F322=0,"",(VLOOKUP($C322,REV!$C:$AA,9,0)-'TRADE IN'!$F322))</f>
        <v>699</v>
      </c>
      <c r="L322" s="46">
        <f>IF(VLOOKUP($C322,REV!$C:$AA,10,0)-'TRADE IN'!$F322=0,"",(VLOOKUP($C322,REV!$C:$AA,10,0)-'TRADE IN'!$F322))</f>
        <v>699</v>
      </c>
      <c r="M322" s="46">
        <f>IF(VLOOKUP($C322,REV!$C:$AA,11,0)-'TRADE IN'!$F322=0,"",(VLOOKUP($C322,REV!$C:$AA,11,0)-'TRADE IN'!$F322))</f>
        <v>699</v>
      </c>
      <c r="N322" s="46">
        <f>IF(VLOOKUP($C322,REV!$C:$AA,12,0)-'TRADE IN'!$F322=0,"",(VLOOKUP($C322,REV!$C:$AA,12,0)-'TRADE IN'!$F322))</f>
        <v>699</v>
      </c>
      <c r="O322" s="46">
        <f>IF(VLOOKUP($C322,REV!$C:$AA,13,0)-'TRADE IN'!$F322=0,"",(VLOOKUP($C322,REV!$C:$AA,13,0)-'TRADE IN'!$F322))</f>
        <v>699</v>
      </c>
      <c r="P322" s="46">
        <f>IF(VLOOKUP($C322,REV!$C:$AA,14,0)-'TRADE IN'!$F322=0,"",(VLOOKUP($C322,REV!$C:$AA,14,0)-'TRADE IN'!$F322))</f>
        <v>699</v>
      </c>
      <c r="Q322" s="46">
        <f>IF(VLOOKUP($C322,REV!$C:$AA,15,0)-'TRADE IN'!$F322=0,"",(VLOOKUP($C322,REV!$C:$AA,15,0)-'TRADE IN'!$F322))</f>
        <v>699</v>
      </c>
      <c r="R322" s="46">
        <f>IF(VLOOKUP($C322,REV!$C:$AA,16,0)-'TRADE IN'!$F322=0,"",(VLOOKUP($C322,REV!$C:$AA,16,0)-'TRADE IN'!$F322))</f>
        <v>699</v>
      </c>
      <c r="S322" s="46">
        <f>IF(VLOOKUP($C322,REV!$C:$AA,17,0)-'TRADE IN'!$F322=0,"",(VLOOKUP($C322,REV!$C:$AA,17,0)-'TRADE IN'!$F322))</f>
        <v>699</v>
      </c>
      <c r="T322" s="46">
        <f>IF(VLOOKUP($C322,REV!$C:$AA,18,0)-'TRADE IN'!$F322=0,"",(VLOOKUP($C322,REV!$C:$AA,18,0)-'TRADE IN'!$F322))</f>
        <v>699</v>
      </c>
      <c r="U322" s="46">
        <f>IF(VLOOKUP($C322,REV!$C:$AA,19,0)-'TRADE IN'!$F322=0,"",(VLOOKUP($C322,REV!$C:$AA,19,0)-'TRADE IN'!$F322))</f>
        <v>699</v>
      </c>
      <c r="V322" s="46">
        <f>IF(VLOOKUP($C322,REV!$C:$AA,20,0)-'TRADE IN'!$F322=0,"",(VLOOKUP($C322,REV!$C:$AA,20,0)-'TRADE IN'!$F322))</f>
        <v>699</v>
      </c>
      <c r="W322" s="46">
        <f>IF(VLOOKUP($C322,REV!$C:$AA,21,0)-'TRADE IN'!$F322=0,"",(VLOOKUP($C322,REV!$C:$AA,21,0)-'TRADE IN'!$F322))</f>
        <v>699</v>
      </c>
      <c r="X322" s="46">
        <f>IF(VLOOKUP($C322,REV!$C:$AA,22,0)-'TRADE IN'!$F322=0,"",(VLOOKUP($C322,REV!$C:$AA,22,0)-'TRADE IN'!$F322))</f>
        <v>699</v>
      </c>
      <c r="Y322" s="46">
        <f>IF(VLOOKUP($C322,REV!$C:$AA,23,0)-'TRADE IN'!$F322=0,"",(VLOOKUP($C322,REV!$C:$AA,23,0)-'TRADE IN'!$F322))</f>
        <v>699</v>
      </c>
      <c r="Z322" s="46">
        <f>IF(VLOOKUP($C322,REV!$C:$AA,24,0)-'TRADE IN'!$F322=0,"",(VLOOKUP($C322,REV!$C:$AA,24,0)-'TRADE IN'!$F322))</f>
        <v>699</v>
      </c>
      <c r="AA322" s="46">
        <f>IF(VLOOKUP($C322,REV!$C:$AA,25,0)-'TRADE IN'!$F322=0,"",(VLOOKUP($C322,REV!$C:$AA,25,0)-'TRADE IN'!$F322))</f>
        <v>699</v>
      </c>
      <c r="AB322" s="45"/>
      <c r="AC322" s="45"/>
      <c r="AD322" s="45"/>
      <c r="AE322" s="45"/>
      <c r="AF322" s="45"/>
      <c r="AG322" s="45"/>
      <c r="AH322" s="45"/>
      <c r="AI322" s="45"/>
      <c r="AJ322" s="45"/>
      <c r="AK322" s="45"/>
      <c r="AL322" s="45"/>
      <c r="AM322" s="45"/>
      <c r="AN322" s="45"/>
      <c r="AO322" s="45"/>
      <c r="AP322" s="45"/>
      <c r="AQ322" s="45"/>
      <c r="AR322" s="45"/>
      <c r="AS322" s="45"/>
      <c r="AT322" s="45"/>
      <c r="AU322" s="45"/>
      <c r="AV322" s="47"/>
      <c r="AW322" s="48" t="str">
        <f>REV!AW322</f>
        <v>13.08.2026</v>
      </c>
      <c r="AX322" s="149" t="s">
        <v>68</v>
      </c>
    </row>
    <row r="323" spans="1:50" ht="22.5" customHeight="1">
      <c r="A323" s="41" t="s">
        <v>63</v>
      </c>
      <c r="B323" s="42" t="s">
        <v>64</v>
      </c>
      <c r="C323" s="43">
        <v>4015520</v>
      </c>
      <c r="D323" s="56" t="s">
        <v>490</v>
      </c>
      <c r="E323" s="56" t="s">
        <v>494</v>
      </c>
      <c r="F323" s="45">
        <v>100</v>
      </c>
      <c r="G323" s="45"/>
      <c r="H323" s="45"/>
      <c r="I323" s="45"/>
      <c r="J323" s="46">
        <f>IF(VLOOKUP($C323,REV!$C:$AA,8,0)-'TRADE IN'!$F323=0,"",(VLOOKUP($C323,REV!$C:$AA,8,0)-'TRADE IN'!$F323))</f>
        <v>699</v>
      </c>
      <c r="K323" s="46">
        <f>IF(VLOOKUP($C323,REV!$C:$AA,9,0)-'TRADE IN'!$F323=0,"",(VLOOKUP($C323,REV!$C:$AA,9,0)-'TRADE IN'!$F323))</f>
        <v>699</v>
      </c>
      <c r="L323" s="46">
        <f>IF(VLOOKUP($C323,REV!$C:$AA,10,0)-'TRADE IN'!$F323=0,"",(VLOOKUP($C323,REV!$C:$AA,10,0)-'TRADE IN'!$F323))</f>
        <v>699</v>
      </c>
      <c r="M323" s="46">
        <f>IF(VLOOKUP($C323,REV!$C:$AA,11,0)-'TRADE IN'!$F323=0,"",(VLOOKUP($C323,REV!$C:$AA,11,0)-'TRADE IN'!$F323))</f>
        <v>699</v>
      </c>
      <c r="N323" s="46">
        <f>IF(VLOOKUP($C323,REV!$C:$AA,12,0)-'TRADE IN'!$F323=0,"",(VLOOKUP($C323,REV!$C:$AA,12,0)-'TRADE IN'!$F323))</f>
        <v>699</v>
      </c>
      <c r="O323" s="46">
        <f>IF(VLOOKUP($C323,REV!$C:$AA,13,0)-'TRADE IN'!$F323=0,"",(VLOOKUP($C323,REV!$C:$AA,13,0)-'TRADE IN'!$F323))</f>
        <v>699</v>
      </c>
      <c r="P323" s="46">
        <f>IF(VLOOKUP($C323,REV!$C:$AA,14,0)-'TRADE IN'!$F323=0,"",(VLOOKUP($C323,REV!$C:$AA,14,0)-'TRADE IN'!$F323))</f>
        <v>699</v>
      </c>
      <c r="Q323" s="46">
        <f>IF(VLOOKUP($C323,REV!$C:$AA,15,0)-'TRADE IN'!$F323=0,"",(VLOOKUP($C323,REV!$C:$AA,15,0)-'TRADE IN'!$F323))</f>
        <v>699</v>
      </c>
      <c r="R323" s="46">
        <f>IF(VLOOKUP($C323,REV!$C:$AA,16,0)-'TRADE IN'!$F323=0,"",(VLOOKUP($C323,REV!$C:$AA,16,0)-'TRADE IN'!$F323))</f>
        <v>699</v>
      </c>
      <c r="S323" s="46">
        <f>IF(VLOOKUP($C323,REV!$C:$AA,17,0)-'TRADE IN'!$F323=0,"",(VLOOKUP($C323,REV!$C:$AA,17,0)-'TRADE IN'!$F323))</f>
        <v>699</v>
      </c>
      <c r="T323" s="46">
        <f>IF(VLOOKUP($C323,REV!$C:$AA,18,0)-'TRADE IN'!$F323=0,"",(VLOOKUP($C323,REV!$C:$AA,18,0)-'TRADE IN'!$F323))</f>
        <v>699</v>
      </c>
      <c r="U323" s="46">
        <f>IF(VLOOKUP($C323,REV!$C:$AA,19,0)-'TRADE IN'!$F323=0,"",(VLOOKUP($C323,REV!$C:$AA,19,0)-'TRADE IN'!$F323))</f>
        <v>699</v>
      </c>
      <c r="V323" s="46">
        <f>IF(VLOOKUP($C323,REV!$C:$AA,20,0)-'TRADE IN'!$F323=0,"",(VLOOKUP($C323,REV!$C:$AA,20,0)-'TRADE IN'!$F323))</f>
        <v>699</v>
      </c>
      <c r="W323" s="46">
        <f>IF(VLOOKUP($C323,REV!$C:$AA,21,0)-'TRADE IN'!$F323=0,"",(VLOOKUP($C323,REV!$C:$AA,21,0)-'TRADE IN'!$F323))</f>
        <v>699</v>
      </c>
      <c r="X323" s="46">
        <f>IF(VLOOKUP($C323,REV!$C:$AA,22,0)-'TRADE IN'!$F323=0,"",(VLOOKUP($C323,REV!$C:$AA,22,0)-'TRADE IN'!$F323))</f>
        <v>699</v>
      </c>
      <c r="Y323" s="46">
        <f>IF(VLOOKUP($C323,REV!$C:$AA,23,0)-'TRADE IN'!$F323=0,"",(VLOOKUP($C323,REV!$C:$AA,23,0)-'TRADE IN'!$F323))</f>
        <v>699</v>
      </c>
      <c r="Z323" s="46">
        <f>IF(VLOOKUP($C323,REV!$C:$AA,24,0)-'TRADE IN'!$F323=0,"",(VLOOKUP($C323,REV!$C:$AA,24,0)-'TRADE IN'!$F323))</f>
        <v>699</v>
      </c>
      <c r="AA323" s="46">
        <f>IF(VLOOKUP($C323,REV!$C:$AA,25,0)-'TRADE IN'!$F323=0,"",(VLOOKUP($C323,REV!$C:$AA,25,0)-'TRADE IN'!$F323))</f>
        <v>699</v>
      </c>
      <c r="AB323" s="45"/>
      <c r="AC323" s="45"/>
      <c r="AD323" s="45"/>
      <c r="AE323" s="45"/>
      <c r="AF323" s="45"/>
      <c r="AG323" s="45"/>
      <c r="AH323" s="45"/>
      <c r="AI323" s="45"/>
      <c r="AJ323" s="45"/>
      <c r="AK323" s="45"/>
      <c r="AL323" s="45"/>
      <c r="AM323" s="45"/>
      <c r="AN323" s="45"/>
      <c r="AO323" s="45"/>
      <c r="AP323" s="45"/>
      <c r="AQ323" s="45"/>
      <c r="AR323" s="45"/>
      <c r="AS323" s="45"/>
      <c r="AT323" s="45"/>
      <c r="AU323" s="45"/>
      <c r="AV323" s="47"/>
      <c r="AW323" s="48" t="str">
        <f>REV!AW323</f>
        <v>13.08.2026</v>
      </c>
      <c r="AX323" s="149" t="s">
        <v>68</v>
      </c>
    </row>
    <row r="324" spans="1:50" ht="22.5" customHeight="1">
      <c r="A324" s="41" t="s">
        <v>63</v>
      </c>
      <c r="B324" s="42" t="s">
        <v>64</v>
      </c>
      <c r="C324" s="43">
        <v>4014707</v>
      </c>
      <c r="D324" s="56" t="s">
        <v>495</v>
      </c>
      <c r="E324" s="56" t="s">
        <v>496</v>
      </c>
      <c r="F324" s="45">
        <v>100</v>
      </c>
      <c r="G324" s="45"/>
      <c r="H324" s="45"/>
      <c r="I324" s="45"/>
      <c r="J324" s="46">
        <f>IF(VLOOKUP($C324,REV!$C:$AA,8,0)-'TRADE IN'!$F324=0,"",(VLOOKUP($C324,REV!$C:$AA,8,0)-'TRADE IN'!$F324))</f>
        <v>1099</v>
      </c>
      <c r="K324" s="46">
        <f>IF(VLOOKUP($C324,REV!$C:$AA,9,0)-'TRADE IN'!$F324=0,"",(VLOOKUP($C324,REV!$C:$AA,9,0)-'TRADE IN'!$F324))</f>
        <v>1099</v>
      </c>
      <c r="L324" s="46">
        <f>IF(VLOOKUP($C324,REV!$C:$AA,10,0)-'TRADE IN'!$F324=0,"",(VLOOKUP($C324,REV!$C:$AA,10,0)-'TRADE IN'!$F324))</f>
        <v>1099</v>
      </c>
      <c r="M324" s="46">
        <f>IF(VLOOKUP($C324,REV!$C:$AA,11,0)-'TRADE IN'!$F324=0,"",(VLOOKUP($C324,REV!$C:$AA,11,0)-'TRADE IN'!$F324))</f>
        <v>1099</v>
      </c>
      <c r="N324" s="46">
        <f>IF(VLOOKUP($C324,REV!$C:$AA,12,0)-'TRADE IN'!$F324=0,"",(VLOOKUP($C324,REV!$C:$AA,12,0)-'TRADE IN'!$F324))</f>
        <v>1099</v>
      </c>
      <c r="O324" s="46">
        <f>IF(VLOOKUP($C324,REV!$C:$AA,13,0)-'TRADE IN'!$F324=0,"",(VLOOKUP($C324,REV!$C:$AA,13,0)-'TRADE IN'!$F324))</f>
        <v>1099</v>
      </c>
      <c r="P324" s="46">
        <f>IF(VLOOKUP($C324,REV!$C:$AA,14,0)-'TRADE IN'!$F324=0,"",(VLOOKUP($C324,REV!$C:$AA,14,0)-'TRADE IN'!$F324))</f>
        <v>1099</v>
      </c>
      <c r="Q324" s="46">
        <f>IF(VLOOKUP($C324,REV!$C:$AA,15,0)-'TRADE IN'!$F324=0,"",(VLOOKUP($C324,REV!$C:$AA,15,0)-'TRADE IN'!$F324))</f>
        <v>999</v>
      </c>
      <c r="R324" s="46">
        <f>IF(VLOOKUP($C324,REV!$C:$AA,16,0)-'TRADE IN'!$F324=0,"",(VLOOKUP($C324,REV!$C:$AA,16,0)-'TRADE IN'!$F324))</f>
        <v>1099</v>
      </c>
      <c r="S324" s="46">
        <f>IF(VLOOKUP($C324,REV!$C:$AA,17,0)-'TRADE IN'!$F324=0,"",(VLOOKUP($C324,REV!$C:$AA,17,0)-'TRADE IN'!$F324))</f>
        <v>1099</v>
      </c>
      <c r="T324" s="46">
        <f>IF(VLOOKUP($C324,REV!$C:$AA,18,0)-'TRADE IN'!$F324=0,"",(VLOOKUP($C324,REV!$C:$AA,18,0)-'TRADE IN'!$F324))</f>
        <v>999</v>
      </c>
      <c r="U324" s="46">
        <f>IF(VLOOKUP($C324,REV!$C:$AA,19,0)-'TRADE IN'!$F324=0,"",(VLOOKUP($C324,REV!$C:$AA,19,0)-'TRADE IN'!$F324))</f>
        <v>999</v>
      </c>
      <c r="V324" s="46">
        <f>IF(VLOOKUP($C324,REV!$C:$AA,20,0)-'TRADE IN'!$F324=0,"",(VLOOKUP($C324,REV!$C:$AA,20,0)-'TRADE IN'!$F324))</f>
        <v>999</v>
      </c>
      <c r="W324" s="46">
        <f>IF(VLOOKUP($C324,REV!$C:$AA,21,0)-'TRADE IN'!$F324=0,"",(VLOOKUP($C324,REV!$C:$AA,21,0)-'TRADE IN'!$F324))</f>
        <v>999</v>
      </c>
      <c r="X324" s="46">
        <f>IF(VLOOKUP($C324,REV!$C:$AA,22,0)-'TRADE IN'!$F324=0,"",(VLOOKUP($C324,REV!$C:$AA,22,0)-'TRADE IN'!$F324))</f>
        <v>999</v>
      </c>
      <c r="Y324" s="46">
        <f>IF(VLOOKUP($C324,REV!$C:$AA,23,0)-'TRADE IN'!$F324=0,"",(VLOOKUP($C324,REV!$C:$AA,23,0)-'TRADE IN'!$F324))</f>
        <v>999</v>
      </c>
      <c r="Z324" s="46">
        <f>IF(VLOOKUP($C324,REV!$C:$AA,24,0)-'TRADE IN'!$F324=0,"",(VLOOKUP($C324,REV!$C:$AA,24,0)-'TRADE IN'!$F324))</f>
        <v>999</v>
      </c>
      <c r="AA324" s="46">
        <f>IF(VLOOKUP($C324,REV!$C:$AA,25,0)-'TRADE IN'!$F324=0,"",(VLOOKUP($C324,REV!$C:$AA,25,0)-'TRADE IN'!$F324))</f>
        <v>999</v>
      </c>
      <c r="AB324" s="45"/>
      <c r="AC324" s="45"/>
      <c r="AD324" s="45"/>
      <c r="AE324" s="45"/>
      <c r="AF324" s="45"/>
      <c r="AG324" s="45"/>
      <c r="AH324" s="45"/>
      <c r="AI324" s="45"/>
      <c r="AJ324" s="45"/>
      <c r="AK324" s="45"/>
      <c r="AL324" s="45"/>
      <c r="AM324" s="45"/>
      <c r="AN324" s="45"/>
      <c r="AO324" s="45"/>
      <c r="AP324" s="45"/>
      <c r="AQ324" s="45"/>
      <c r="AR324" s="45"/>
      <c r="AS324" s="45"/>
      <c r="AT324" s="45"/>
      <c r="AU324" s="45"/>
      <c r="AV324" s="47"/>
      <c r="AW324" s="48" t="str">
        <f>REV!AW324</f>
        <v>13.08.2026</v>
      </c>
      <c r="AX324" s="149" t="s">
        <v>68</v>
      </c>
    </row>
    <row r="325" spans="1:50" ht="22.5" customHeight="1">
      <c r="A325" s="41" t="s">
        <v>63</v>
      </c>
      <c r="B325" s="42" t="s">
        <v>64</v>
      </c>
      <c r="C325" s="43">
        <v>4014734</v>
      </c>
      <c r="D325" s="56" t="s">
        <v>495</v>
      </c>
      <c r="E325" s="56" t="s">
        <v>497</v>
      </c>
      <c r="F325" s="45">
        <v>100</v>
      </c>
      <c r="G325" s="45"/>
      <c r="H325" s="45"/>
      <c r="I325" s="45"/>
      <c r="J325" s="46">
        <f>IF(VLOOKUP($C325,REV!$C:$AA,8,0)-'TRADE IN'!$F325=0,"",(VLOOKUP($C325,REV!$C:$AA,8,0)-'TRADE IN'!$F325))</f>
        <v>1099</v>
      </c>
      <c r="K325" s="46">
        <f>IF(VLOOKUP($C325,REV!$C:$AA,9,0)-'TRADE IN'!$F325=0,"",(VLOOKUP($C325,REV!$C:$AA,9,0)-'TRADE IN'!$F325))</f>
        <v>1099</v>
      </c>
      <c r="L325" s="46">
        <f>IF(VLOOKUP($C325,REV!$C:$AA,10,0)-'TRADE IN'!$F325=0,"",(VLOOKUP($C325,REV!$C:$AA,10,0)-'TRADE IN'!$F325))</f>
        <v>1099</v>
      </c>
      <c r="M325" s="46">
        <f>IF(VLOOKUP($C325,REV!$C:$AA,11,0)-'TRADE IN'!$F325=0,"",(VLOOKUP($C325,REV!$C:$AA,11,0)-'TRADE IN'!$F325))</f>
        <v>1099</v>
      </c>
      <c r="N325" s="46">
        <f>IF(VLOOKUP($C325,REV!$C:$AA,12,0)-'TRADE IN'!$F325=0,"",(VLOOKUP($C325,REV!$C:$AA,12,0)-'TRADE IN'!$F325))</f>
        <v>1099</v>
      </c>
      <c r="O325" s="46">
        <f>IF(VLOOKUP($C325,REV!$C:$AA,13,0)-'TRADE IN'!$F325=0,"",(VLOOKUP($C325,REV!$C:$AA,13,0)-'TRADE IN'!$F325))</f>
        <v>1099</v>
      </c>
      <c r="P325" s="46">
        <f>IF(VLOOKUP($C325,REV!$C:$AA,14,0)-'TRADE IN'!$F325=0,"",(VLOOKUP($C325,REV!$C:$AA,14,0)-'TRADE IN'!$F325))</f>
        <v>1099</v>
      </c>
      <c r="Q325" s="46">
        <f>IF(VLOOKUP($C325,REV!$C:$AA,15,0)-'TRADE IN'!$F325=0,"",(VLOOKUP($C325,REV!$C:$AA,15,0)-'TRADE IN'!$F325))</f>
        <v>999</v>
      </c>
      <c r="R325" s="46">
        <f>IF(VLOOKUP($C325,REV!$C:$AA,16,0)-'TRADE IN'!$F325=0,"",(VLOOKUP($C325,REV!$C:$AA,16,0)-'TRADE IN'!$F325))</f>
        <v>1099</v>
      </c>
      <c r="S325" s="46">
        <f>IF(VLOOKUP($C325,REV!$C:$AA,17,0)-'TRADE IN'!$F325=0,"",(VLOOKUP($C325,REV!$C:$AA,17,0)-'TRADE IN'!$F325))</f>
        <v>1099</v>
      </c>
      <c r="T325" s="46">
        <f>IF(VLOOKUP($C325,REV!$C:$AA,18,0)-'TRADE IN'!$F325=0,"",(VLOOKUP($C325,REV!$C:$AA,18,0)-'TRADE IN'!$F325))</f>
        <v>999</v>
      </c>
      <c r="U325" s="46">
        <f>IF(VLOOKUP($C325,REV!$C:$AA,19,0)-'TRADE IN'!$F325=0,"",(VLOOKUP($C325,REV!$C:$AA,19,0)-'TRADE IN'!$F325))</f>
        <v>999</v>
      </c>
      <c r="V325" s="46">
        <f>IF(VLOOKUP($C325,REV!$C:$AA,20,0)-'TRADE IN'!$F325=0,"",(VLOOKUP($C325,REV!$C:$AA,20,0)-'TRADE IN'!$F325))</f>
        <v>999</v>
      </c>
      <c r="W325" s="46">
        <f>IF(VLOOKUP($C325,REV!$C:$AA,21,0)-'TRADE IN'!$F325=0,"",(VLOOKUP($C325,REV!$C:$AA,21,0)-'TRADE IN'!$F325))</f>
        <v>999</v>
      </c>
      <c r="X325" s="46">
        <f>IF(VLOOKUP($C325,REV!$C:$AA,22,0)-'TRADE IN'!$F325=0,"",(VLOOKUP($C325,REV!$C:$AA,22,0)-'TRADE IN'!$F325))</f>
        <v>999</v>
      </c>
      <c r="Y325" s="46">
        <f>IF(VLOOKUP($C325,REV!$C:$AA,23,0)-'TRADE IN'!$F325=0,"",(VLOOKUP($C325,REV!$C:$AA,23,0)-'TRADE IN'!$F325))</f>
        <v>999</v>
      </c>
      <c r="Z325" s="46">
        <f>IF(VLOOKUP($C325,REV!$C:$AA,24,0)-'TRADE IN'!$F325=0,"",(VLOOKUP($C325,REV!$C:$AA,24,0)-'TRADE IN'!$F325))</f>
        <v>999</v>
      </c>
      <c r="AA325" s="46">
        <f>IF(VLOOKUP($C325,REV!$C:$AA,25,0)-'TRADE IN'!$F325=0,"",(VLOOKUP($C325,REV!$C:$AA,25,0)-'TRADE IN'!$F325))</f>
        <v>999</v>
      </c>
      <c r="AB325" s="45"/>
      <c r="AC325" s="45"/>
      <c r="AD325" s="45"/>
      <c r="AE325" s="45"/>
      <c r="AF325" s="45"/>
      <c r="AG325" s="45"/>
      <c r="AH325" s="45"/>
      <c r="AI325" s="45"/>
      <c r="AJ325" s="45"/>
      <c r="AK325" s="45"/>
      <c r="AL325" s="45"/>
      <c r="AM325" s="45"/>
      <c r="AN325" s="45"/>
      <c r="AO325" s="45"/>
      <c r="AP325" s="45"/>
      <c r="AQ325" s="45"/>
      <c r="AR325" s="45"/>
      <c r="AS325" s="45"/>
      <c r="AT325" s="45"/>
      <c r="AU325" s="45"/>
      <c r="AV325" s="47"/>
      <c r="AW325" s="48" t="str">
        <f>REV!AW325</f>
        <v>13.08.2026</v>
      </c>
      <c r="AX325" s="149" t="s">
        <v>68</v>
      </c>
    </row>
    <row r="326" spans="1:50" ht="22.5" customHeight="1">
      <c r="A326" s="41" t="s">
        <v>63</v>
      </c>
      <c r="B326" s="42" t="s">
        <v>64</v>
      </c>
      <c r="C326" s="43">
        <v>4015319</v>
      </c>
      <c r="D326" s="56" t="s">
        <v>498</v>
      </c>
      <c r="E326" s="56" t="s">
        <v>499</v>
      </c>
      <c r="F326" s="45">
        <v>100</v>
      </c>
      <c r="G326" s="45"/>
      <c r="H326" s="45"/>
      <c r="I326" s="45"/>
      <c r="J326" s="46">
        <f>IF(VLOOKUP($C326,REV!$C:$AA,8,0)-'TRADE IN'!$F326=0,"",(VLOOKUP($C326,REV!$C:$AA,8,0)-'TRADE IN'!$F326))</f>
        <v>2799</v>
      </c>
      <c r="K326" s="46">
        <f>IF(VLOOKUP($C326,REV!$C:$AA,9,0)-'TRADE IN'!$F326=0,"",(VLOOKUP($C326,REV!$C:$AA,9,0)-'TRADE IN'!$F326))</f>
        <v>2699</v>
      </c>
      <c r="L326" s="46">
        <f>IF(VLOOKUP($C326,REV!$C:$AA,10,0)-'TRADE IN'!$F326=0,"",(VLOOKUP($C326,REV!$C:$AA,10,0)-'TRADE IN'!$F326))</f>
        <v>2699</v>
      </c>
      <c r="M326" s="46">
        <f>IF(VLOOKUP($C326,REV!$C:$AA,11,0)-'TRADE IN'!$F326=0,"",(VLOOKUP($C326,REV!$C:$AA,11,0)-'TRADE IN'!$F326))</f>
        <v>2799</v>
      </c>
      <c r="N326" s="46">
        <f>IF(VLOOKUP($C326,REV!$C:$AA,12,0)-'TRADE IN'!$F326=0,"",(VLOOKUP($C326,REV!$C:$AA,12,0)-'TRADE IN'!$F326))</f>
        <v>2799</v>
      </c>
      <c r="O326" s="46">
        <f>IF(VLOOKUP($C326,REV!$C:$AA,13,0)-'TRADE IN'!$F326=0,"",(VLOOKUP($C326,REV!$C:$AA,13,0)-'TRADE IN'!$F326))</f>
        <v>2499</v>
      </c>
      <c r="P326" s="46">
        <f>IF(VLOOKUP($C326,REV!$C:$AA,14,0)-'TRADE IN'!$F326=0,"",(VLOOKUP($C326,REV!$C:$AA,14,0)-'TRADE IN'!$F326))</f>
        <v>2299</v>
      </c>
      <c r="Q326" s="46">
        <f>IF(VLOOKUP($C326,REV!$C:$AA,15,0)-'TRADE IN'!$F326=0,"",(VLOOKUP($C326,REV!$C:$AA,15,0)-'TRADE IN'!$F326))</f>
        <v>1499</v>
      </c>
      <c r="R326" s="46">
        <f>IF(VLOOKUP($C326,REV!$C:$AA,16,0)-'TRADE IN'!$F326=0,"",(VLOOKUP($C326,REV!$C:$AA,16,0)-'TRADE IN'!$F326))</f>
        <v>2499</v>
      </c>
      <c r="S326" s="46">
        <f>IF(VLOOKUP($C326,REV!$C:$AA,17,0)-'TRADE IN'!$F326=0,"",(VLOOKUP($C326,REV!$C:$AA,17,0)-'TRADE IN'!$F326))</f>
        <v>2299</v>
      </c>
      <c r="T326" s="46">
        <f>IF(VLOOKUP($C326,REV!$C:$AA,18,0)-'TRADE IN'!$F326=0,"",(VLOOKUP($C326,REV!$C:$AA,18,0)-'TRADE IN'!$F326))</f>
        <v>1499</v>
      </c>
      <c r="U326" s="46">
        <f>IF(VLOOKUP($C326,REV!$C:$AA,19,0)-'TRADE IN'!$F326=0,"",(VLOOKUP($C326,REV!$C:$AA,19,0)-'TRADE IN'!$F326))</f>
        <v>1499</v>
      </c>
      <c r="V326" s="46">
        <f>IF(VLOOKUP($C326,REV!$C:$AA,20,0)-'TRADE IN'!$F326=0,"",(VLOOKUP($C326,REV!$C:$AA,20,0)-'TRADE IN'!$F326))</f>
        <v>1499</v>
      </c>
      <c r="W326" s="46">
        <f>IF(VLOOKUP($C326,REV!$C:$AA,21,0)-'TRADE IN'!$F326=0,"",(VLOOKUP($C326,REV!$C:$AA,21,0)-'TRADE IN'!$F326))</f>
        <v>1499</v>
      </c>
      <c r="X326" s="46">
        <f>IF(VLOOKUP($C326,REV!$C:$AA,22,0)-'TRADE IN'!$F326=0,"",(VLOOKUP($C326,REV!$C:$AA,22,0)-'TRADE IN'!$F326))</f>
        <v>1399</v>
      </c>
      <c r="Y326" s="46">
        <f>IF(VLOOKUP($C326,REV!$C:$AA,23,0)-'TRADE IN'!$F326=0,"",(VLOOKUP($C326,REV!$C:$AA,23,0)-'TRADE IN'!$F326))</f>
        <v>1199</v>
      </c>
      <c r="Z326" s="46">
        <f>IF(VLOOKUP($C326,REV!$C:$AA,24,0)-'TRADE IN'!$F326=0,"",(VLOOKUP($C326,REV!$C:$AA,24,0)-'TRADE IN'!$F326))</f>
        <v>1199</v>
      </c>
      <c r="AA326" s="46">
        <f>IF(VLOOKUP($C326,REV!$C:$AA,25,0)-'TRADE IN'!$F326=0,"",(VLOOKUP($C326,REV!$C:$AA,25,0)-'TRADE IN'!$F326))</f>
        <v>1199</v>
      </c>
      <c r="AB326" s="45"/>
      <c r="AC326" s="45"/>
      <c r="AD326" s="45"/>
      <c r="AE326" s="45"/>
      <c r="AF326" s="45"/>
      <c r="AG326" s="45"/>
      <c r="AH326" s="45"/>
      <c r="AI326" s="45"/>
      <c r="AJ326" s="45"/>
      <c r="AK326" s="45"/>
      <c r="AL326" s="45"/>
      <c r="AM326" s="45"/>
      <c r="AN326" s="45"/>
      <c r="AO326" s="45"/>
      <c r="AP326" s="45"/>
      <c r="AQ326" s="45"/>
      <c r="AR326" s="45"/>
      <c r="AS326" s="45"/>
      <c r="AT326" s="45"/>
      <c r="AU326" s="45"/>
      <c r="AV326" s="47"/>
      <c r="AW326" s="48" t="str">
        <f>REV!AW326</f>
        <v>13.08.2026</v>
      </c>
      <c r="AX326" s="149" t="s">
        <v>68</v>
      </c>
    </row>
    <row r="327" spans="1:50" ht="22.5" customHeight="1">
      <c r="A327" s="41" t="s">
        <v>63</v>
      </c>
      <c r="B327" s="42" t="s">
        <v>64</v>
      </c>
      <c r="C327" s="43">
        <v>4015280</v>
      </c>
      <c r="D327" s="56" t="s">
        <v>498</v>
      </c>
      <c r="E327" s="56" t="s">
        <v>500</v>
      </c>
      <c r="F327" s="45">
        <v>100</v>
      </c>
      <c r="G327" s="45"/>
      <c r="H327" s="45"/>
      <c r="I327" s="45"/>
      <c r="J327" s="46">
        <f>IF(VLOOKUP($C327,REV!$C:$AA,8,0)-'TRADE IN'!$F327=0,"",(VLOOKUP($C327,REV!$C:$AA,8,0)-'TRADE IN'!$F327))</f>
        <v>2799</v>
      </c>
      <c r="K327" s="46">
        <f>IF(VLOOKUP($C327,REV!$C:$AA,9,0)-'TRADE IN'!$F327=0,"",(VLOOKUP($C327,REV!$C:$AA,9,0)-'TRADE IN'!$F327))</f>
        <v>2699</v>
      </c>
      <c r="L327" s="46">
        <f>IF(VLOOKUP($C327,REV!$C:$AA,10,0)-'TRADE IN'!$F327=0,"",(VLOOKUP($C327,REV!$C:$AA,10,0)-'TRADE IN'!$F327))</f>
        <v>2699</v>
      </c>
      <c r="M327" s="46">
        <f>IF(VLOOKUP($C327,REV!$C:$AA,11,0)-'TRADE IN'!$F327=0,"",(VLOOKUP($C327,REV!$C:$AA,11,0)-'TRADE IN'!$F327))</f>
        <v>2799</v>
      </c>
      <c r="N327" s="46">
        <f>IF(VLOOKUP($C327,REV!$C:$AA,12,0)-'TRADE IN'!$F327=0,"",(VLOOKUP($C327,REV!$C:$AA,12,0)-'TRADE IN'!$F327))</f>
        <v>2799</v>
      </c>
      <c r="O327" s="46">
        <f>IF(VLOOKUP($C327,REV!$C:$AA,13,0)-'TRADE IN'!$F327=0,"",(VLOOKUP($C327,REV!$C:$AA,13,0)-'TRADE IN'!$F327))</f>
        <v>2499</v>
      </c>
      <c r="P327" s="46">
        <f>IF(VLOOKUP($C327,REV!$C:$AA,14,0)-'TRADE IN'!$F327=0,"",(VLOOKUP($C327,REV!$C:$AA,14,0)-'TRADE IN'!$F327))</f>
        <v>2299</v>
      </c>
      <c r="Q327" s="46">
        <f>IF(VLOOKUP($C327,REV!$C:$AA,15,0)-'TRADE IN'!$F327=0,"",(VLOOKUP($C327,REV!$C:$AA,15,0)-'TRADE IN'!$F327))</f>
        <v>1499</v>
      </c>
      <c r="R327" s="46">
        <f>IF(VLOOKUP($C327,REV!$C:$AA,16,0)-'TRADE IN'!$F327=0,"",(VLOOKUP($C327,REV!$C:$AA,16,0)-'TRADE IN'!$F327))</f>
        <v>2499</v>
      </c>
      <c r="S327" s="46">
        <f>IF(VLOOKUP($C327,REV!$C:$AA,17,0)-'TRADE IN'!$F327=0,"",(VLOOKUP($C327,REV!$C:$AA,17,0)-'TRADE IN'!$F327))</f>
        <v>2299</v>
      </c>
      <c r="T327" s="46">
        <f>IF(VLOOKUP($C327,REV!$C:$AA,18,0)-'TRADE IN'!$F327=0,"",(VLOOKUP($C327,REV!$C:$AA,18,0)-'TRADE IN'!$F327))</f>
        <v>1499</v>
      </c>
      <c r="U327" s="46">
        <f>IF(VLOOKUP($C327,REV!$C:$AA,19,0)-'TRADE IN'!$F327=0,"",(VLOOKUP($C327,REV!$C:$AA,19,0)-'TRADE IN'!$F327))</f>
        <v>1499</v>
      </c>
      <c r="V327" s="46">
        <f>IF(VLOOKUP($C327,REV!$C:$AA,20,0)-'TRADE IN'!$F327=0,"",(VLOOKUP($C327,REV!$C:$AA,20,0)-'TRADE IN'!$F327))</f>
        <v>1499</v>
      </c>
      <c r="W327" s="46">
        <f>IF(VLOOKUP($C327,REV!$C:$AA,21,0)-'TRADE IN'!$F327=0,"",(VLOOKUP($C327,REV!$C:$AA,21,0)-'TRADE IN'!$F327))</f>
        <v>1499</v>
      </c>
      <c r="X327" s="46">
        <f>IF(VLOOKUP($C327,REV!$C:$AA,22,0)-'TRADE IN'!$F327=0,"",(VLOOKUP($C327,REV!$C:$AA,22,0)-'TRADE IN'!$F327))</f>
        <v>1399</v>
      </c>
      <c r="Y327" s="46">
        <f>IF(VLOOKUP($C327,REV!$C:$AA,23,0)-'TRADE IN'!$F327=0,"",(VLOOKUP($C327,REV!$C:$AA,23,0)-'TRADE IN'!$F327))</f>
        <v>1199</v>
      </c>
      <c r="Z327" s="46">
        <f>IF(VLOOKUP($C327,REV!$C:$AA,24,0)-'TRADE IN'!$F327=0,"",(VLOOKUP($C327,REV!$C:$AA,24,0)-'TRADE IN'!$F327))</f>
        <v>1199</v>
      </c>
      <c r="AA327" s="46">
        <f>IF(VLOOKUP($C327,REV!$C:$AA,25,0)-'TRADE IN'!$F327=0,"",(VLOOKUP($C327,REV!$C:$AA,25,0)-'TRADE IN'!$F327))</f>
        <v>1199</v>
      </c>
      <c r="AB327" s="45"/>
      <c r="AC327" s="45"/>
      <c r="AD327" s="45"/>
      <c r="AE327" s="45"/>
      <c r="AF327" s="45"/>
      <c r="AG327" s="45"/>
      <c r="AH327" s="45"/>
      <c r="AI327" s="45"/>
      <c r="AJ327" s="45"/>
      <c r="AK327" s="45"/>
      <c r="AL327" s="45"/>
      <c r="AM327" s="45"/>
      <c r="AN327" s="45"/>
      <c r="AO327" s="45"/>
      <c r="AP327" s="45"/>
      <c r="AQ327" s="45"/>
      <c r="AR327" s="45"/>
      <c r="AS327" s="45"/>
      <c r="AT327" s="45"/>
      <c r="AU327" s="45"/>
      <c r="AV327" s="47"/>
      <c r="AW327" s="48" t="str">
        <f>REV!AW327</f>
        <v>13.08.2026</v>
      </c>
      <c r="AX327" s="149" t="s">
        <v>68</v>
      </c>
    </row>
    <row r="328" spans="1:50" ht="22.5" customHeight="1">
      <c r="A328" s="41" t="s">
        <v>63</v>
      </c>
      <c r="B328" s="42" t="s">
        <v>64</v>
      </c>
      <c r="C328" s="43">
        <v>4015312</v>
      </c>
      <c r="D328" s="56" t="s">
        <v>498</v>
      </c>
      <c r="E328" s="56" t="s">
        <v>501</v>
      </c>
      <c r="F328" s="45">
        <v>100</v>
      </c>
      <c r="G328" s="45"/>
      <c r="H328" s="45"/>
      <c r="I328" s="45"/>
      <c r="J328" s="46">
        <f>IF(VLOOKUP($C328,REV!$C:$AA,8,0)-'TRADE IN'!$F328=0,"",(VLOOKUP($C328,REV!$C:$AA,8,0)-'TRADE IN'!$F328))</f>
        <v>2799</v>
      </c>
      <c r="K328" s="46">
        <f>IF(VLOOKUP($C328,REV!$C:$AA,9,0)-'TRADE IN'!$F328=0,"",(VLOOKUP($C328,REV!$C:$AA,9,0)-'TRADE IN'!$F328))</f>
        <v>2699</v>
      </c>
      <c r="L328" s="46">
        <f>IF(VLOOKUP($C328,REV!$C:$AA,10,0)-'TRADE IN'!$F328=0,"",(VLOOKUP($C328,REV!$C:$AA,10,0)-'TRADE IN'!$F328))</f>
        <v>2699</v>
      </c>
      <c r="M328" s="46">
        <f>IF(VLOOKUP($C328,REV!$C:$AA,11,0)-'TRADE IN'!$F328=0,"",(VLOOKUP($C328,REV!$C:$AA,11,0)-'TRADE IN'!$F328))</f>
        <v>2799</v>
      </c>
      <c r="N328" s="46">
        <f>IF(VLOOKUP($C328,REV!$C:$AA,12,0)-'TRADE IN'!$F328=0,"",(VLOOKUP($C328,REV!$C:$AA,12,0)-'TRADE IN'!$F328))</f>
        <v>2799</v>
      </c>
      <c r="O328" s="46">
        <f>IF(VLOOKUP($C328,REV!$C:$AA,13,0)-'TRADE IN'!$F328=0,"",(VLOOKUP($C328,REV!$C:$AA,13,0)-'TRADE IN'!$F328))</f>
        <v>2499</v>
      </c>
      <c r="P328" s="46">
        <f>IF(VLOOKUP($C328,REV!$C:$AA,14,0)-'TRADE IN'!$F328=0,"",(VLOOKUP($C328,REV!$C:$AA,14,0)-'TRADE IN'!$F328))</f>
        <v>2299</v>
      </c>
      <c r="Q328" s="46">
        <f>IF(VLOOKUP($C328,REV!$C:$AA,15,0)-'TRADE IN'!$F328=0,"",(VLOOKUP($C328,REV!$C:$AA,15,0)-'TRADE IN'!$F328))</f>
        <v>1499</v>
      </c>
      <c r="R328" s="46">
        <f>IF(VLOOKUP($C328,REV!$C:$AA,16,0)-'TRADE IN'!$F328=0,"",(VLOOKUP($C328,REV!$C:$AA,16,0)-'TRADE IN'!$F328))</f>
        <v>2499</v>
      </c>
      <c r="S328" s="46">
        <f>IF(VLOOKUP($C328,REV!$C:$AA,17,0)-'TRADE IN'!$F328=0,"",(VLOOKUP($C328,REV!$C:$AA,17,0)-'TRADE IN'!$F328))</f>
        <v>2299</v>
      </c>
      <c r="T328" s="46">
        <f>IF(VLOOKUP($C328,REV!$C:$AA,18,0)-'TRADE IN'!$F328=0,"",(VLOOKUP($C328,REV!$C:$AA,18,0)-'TRADE IN'!$F328))</f>
        <v>1499</v>
      </c>
      <c r="U328" s="46">
        <f>IF(VLOOKUP($C328,REV!$C:$AA,19,0)-'TRADE IN'!$F328=0,"",(VLOOKUP($C328,REV!$C:$AA,19,0)-'TRADE IN'!$F328))</f>
        <v>1499</v>
      </c>
      <c r="V328" s="46">
        <f>IF(VLOOKUP($C328,REV!$C:$AA,20,0)-'TRADE IN'!$F328=0,"",(VLOOKUP($C328,REV!$C:$AA,20,0)-'TRADE IN'!$F328))</f>
        <v>1499</v>
      </c>
      <c r="W328" s="46">
        <f>IF(VLOOKUP($C328,REV!$C:$AA,21,0)-'TRADE IN'!$F328=0,"",(VLOOKUP($C328,REV!$C:$AA,21,0)-'TRADE IN'!$F328))</f>
        <v>1499</v>
      </c>
      <c r="X328" s="46">
        <f>IF(VLOOKUP($C328,REV!$C:$AA,22,0)-'TRADE IN'!$F328=0,"",(VLOOKUP($C328,REV!$C:$AA,22,0)-'TRADE IN'!$F328))</f>
        <v>1399</v>
      </c>
      <c r="Y328" s="46">
        <f>IF(VLOOKUP($C328,REV!$C:$AA,23,0)-'TRADE IN'!$F328=0,"",(VLOOKUP($C328,REV!$C:$AA,23,0)-'TRADE IN'!$F328))</f>
        <v>1199</v>
      </c>
      <c r="Z328" s="46">
        <f>IF(VLOOKUP($C328,REV!$C:$AA,24,0)-'TRADE IN'!$F328=0,"",(VLOOKUP($C328,REV!$C:$AA,24,0)-'TRADE IN'!$F328))</f>
        <v>1199</v>
      </c>
      <c r="AA328" s="46">
        <f>IF(VLOOKUP($C328,REV!$C:$AA,25,0)-'TRADE IN'!$F328=0,"",(VLOOKUP($C328,REV!$C:$AA,25,0)-'TRADE IN'!$F328))</f>
        <v>1199</v>
      </c>
      <c r="AB328" s="45"/>
      <c r="AC328" s="45"/>
      <c r="AD328" s="45"/>
      <c r="AE328" s="45"/>
      <c r="AF328" s="45"/>
      <c r="AG328" s="45"/>
      <c r="AH328" s="45"/>
      <c r="AI328" s="45"/>
      <c r="AJ328" s="45"/>
      <c r="AK328" s="45"/>
      <c r="AL328" s="45"/>
      <c r="AM328" s="45"/>
      <c r="AN328" s="45"/>
      <c r="AO328" s="45"/>
      <c r="AP328" s="45"/>
      <c r="AQ328" s="45"/>
      <c r="AR328" s="45"/>
      <c r="AS328" s="45"/>
      <c r="AT328" s="45"/>
      <c r="AU328" s="45"/>
      <c r="AV328" s="47"/>
      <c r="AW328" s="48" t="str">
        <f>REV!AW328</f>
        <v>13.08.2026</v>
      </c>
      <c r="AX328" s="149" t="s">
        <v>68</v>
      </c>
    </row>
    <row r="329" spans="1:50" ht="22.5" customHeight="1">
      <c r="A329" s="41" t="s">
        <v>63</v>
      </c>
      <c r="B329" s="42" t="s">
        <v>64</v>
      </c>
      <c r="C329" s="43">
        <v>4015327</v>
      </c>
      <c r="D329" s="56" t="s">
        <v>498</v>
      </c>
      <c r="E329" s="56" t="s">
        <v>502</v>
      </c>
      <c r="F329" s="45">
        <v>100</v>
      </c>
      <c r="G329" s="45"/>
      <c r="H329" s="45"/>
      <c r="I329" s="45"/>
      <c r="J329" s="46">
        <f>IF(VLOOKUP($C329,REV!$C:$AA,8,0)-'TRADE IN'!$F329=0,"",(VLOOKUP($C329,REV!$C:$AA,8,0)-'TRADE IN'!$F329))</f>
        <v>2799</v>
      </c>
      <c r="K329" s="46">
        <f>IF(VLOOKUP($C329,REV!$C:$AA,9,0)-'TRADE IN'!$F329=0,"",(VLOOKUP($C329,REV!$C:$AA,9,0)-'TRADE IN'!$F329))</f>
        <v>2699</v>
      </c>
      <c r="L329" s="46">
        <f>IF(VLOOKUP($C329,REV!$C:$AA,10,0)-'TRADE IN'!$F329=0,"",(VLOOKUP($C329,REV!$C:$AA,10,0)-'TRADE IN'!$F329))</f>
        <v>2699</v>
      </c>
      <c r="M329" s="46">
        <f>IF(VLOOKUP($C329,REV!$C:$AA,11,0)-'TRADE IN'!$F329=0,"",(VLOOKUP($C329,REV!$C:$AA,11,0)-'TRADE IN'!$F329))</f>
        <v>2799</v>
      </c>
      <c r="N329" s="46">
        <f>IF(VLOOKUP($C329,REV!$C:$AA,12,0)-'TRADE IN'!$F329=0,"",(VLOOKUP($C329,REV!$C:$AA,12,0)-'TRADE IN'!$F329))</f>
        <v>2799</v>
      </c>
      <c r="O329" s="46">
        <f>IF(VLOOKUP($C329,REV!$C:$AA,13,0)-'TRADE IN'!$F329=0,"",(VLOOKUP($C329,REV!$C:$AA,13,0)-'TRADE IN'!$F329))</f>
        <v>2499</v>
      </c>
      <c r="P329" s="46">
        <f>IF(VLOOKUP($C329,REV!$C:$AA,14,0)-'TRADE IN'!$F329=0,"",(VLOOKUP($C329,REV!$C:$AA,14,0)-'TRADE IN'!$F329))</f>
        <v>2299</v>
      </c>
      <c r="Q329" s="46">
        <f>IF(VLOOKUP($C329,REV!$C:$AA,15,0)-'TRADE IN'!$F329=0,"",(VLOOKUP($C329,REV!$C:$AA,15,0)-'TRADE IN'!$F329))</f>
        <v>1499</v>
      </c>
      <c r="R329" s="46">
        <f>IF(VLOOKUP($C329,REV!$C:$AA,16,0)-'TRADE IN'!$F329=0,"",(VLOOKUP($C329,REV!$C:$AA,16,0)-'TRADE IN'!$F329))</f>
        <v>2499</v>
      </c>
      <c r="S329" s="46">
        <f>IF(VLOOKUP($C329,REV!$C:$AA,17,0)-'TRADE IN'!$F329=0,"",(VLOOKUP($C329,REV!$C:$AA,17,0)-'TRADE IN'!$F329))</f>
        <v>2299</v>
      </c>
      <c r="T329" s="46">
        <f>IF(VLOOKUP($C329,REV!$C:$AA,18,0)-'TRADE IN'!$F329=0,"",(VLOOKUP($C329,REV!$C:$AA,18,0)-'TRADE IN'!$F329))</f>
        <v>1499</v>
      </c>
      <c r="U329" s="46">
        <f>IF(VLOOKUP($C329,REV!$C:$AA,19,0)-'TRADE IN'!$F329=0,"",(VLOOKUP($C329,REV!$C:$AA,19,0)-'TRADE IN'!$F329))</f>
        <v>1499</v>
      </c>
      <c r="V329" s="46">
        <f>IF(VLOOKUP($C329,REV!$C:$AA,20,0)-'TRADE IN'!$F329=0,"",(VLOOKUP($C329,REV!$C:$AA,20,0)-'TRADE IN'!$F329))</f>
        <v>1499</v>
      </c>
      <c r="W329" s="46">
        <f>IF(VLOOKUP($C329,REV!$C:$AA,21,0)-'TRADE IN'!$F329=0,"",(VLOOKUP($C329,REV!$C:$AA,21,0)-'TRADE IN'!$F329))</f>
        <v>1499</v>
      </c>
      <c r="X329" s="46">
        <f>IF(VLOOKUP($C329,REV!$C:$AA,22,0)-'TRADE IN'!$F329=0,"",(VLOOKUP($C329,REV!$C:$AA,22,0)-'TRADE IN'!$F329))</f>
        <v>1399</v>
      </c>
      <c r="Y329" s="46">
        <f>IF(VLOOKUP($C329,REV!$C:$AA,23,0)-'TRADE IN'!$F329=0,"",(VLOOKUP($C329,REV!$C:$AA,23,0)-'TRADE IN'!$F329))</f>
        <v>1199</v>
      </c>
      <c r="Z329" s="46">
        <f>IF(VLOOKUP($C329,REV!$C:$AA,24,0)-'TRADE IN'!$F329=0,"",(VLOOKUP($C329,REV!$C:$AA,24,0)-'TRADE IN'!$F329))</f>
        <v>1199</v>
      </c>
      <c r="AA329" s="46">
        <f>IF(VLOOKUP($C329,REV!$C:$AA,25,0)-'TRADE IN'!$F329=0,"",(VLOOKUP($C329,REV!$C:$AA,25,0)-'TRADE IN'!$F329))</f>
        <v>1199</v>
      </c>
      <c r="AB329" s="45"/>
      <c r="AC329" s="45"/>
      <c r="AD329" s="45"/>
      <c r="AE329" s="45"/>
      <c r="AF329" s="45"/>
      <c r="AG329" s="45"/>
      <c r="AH329" s="45"/>
      <c r="AI329" s="45"/>
      <c r="AJ329" s="45"/>
      <c r="AK329" s="45"/>
      <c r="AL329" s="45"/>
      <c r="AM329" s="45"/>
      <c r="AN329" s="45"/>
      <c r="AO329" s="45"/>
      <c r="AP329" s="45"/>
      <c r="AQ329" s="45"/>
      <c r="AR329" s="45"/>
      <c r="AS329" s="45"/>
      <c r="AT329" s="45"/>
      <c r="AU329" s="45"/>
      <c r="AV329" s="47"/>
      <c r="AW329" s="48" t="str">
        <f>REV!AW329</f>
        <v>13.08.2026</v>
      </c>
      <c r="AX329" s="149" t="s">
        <v>68</v>
      </c>
    </row>
    <row r="330" spans="1:50" ht="22.5" customHeight="1">
      <c r="A330" s="41" t="s">
        <v>63</v>
      </c>
      <c r="B330" s="42" t="s">
        <v>64</v>
      </c>
      <c r="C330" s="43">
        <v>4015291</v>
      </c>
      <c r="D330" s="56" t="s">
        <v>503</v>
      </c>
      <c r="E330" s="56" t="s">
        <v>504</v>
      </c>
      <c r="F330" s="45">
        <v>100</v>
      </c>
      <c r="G330" s="45"/>
      <c r="H330" s="45"/>
      <c r="I330" s="45"/>
      <c r="J330" s="46">
        <f>IF(VLOOKUP($C330,REV!$C:$AA,8,0)-'TRADE IN'!$F330=0,"",(VLOOKUP($C330,REV!$C:$AA,8,0)-'TRADE IN'!$F330))</f>
        <v>3999</v>
      </c>
      <c r="K330" s="46">
        <f>IF(VLOOKUP($C330,REV!$C:$AA,9,0)-'TRADE IN'!$F330=0,"",(VLOOKUP($C330,REV!$C:$AA,9,0)-'TRADE IN'!$F330))</f>
        <v>3899</v>
      </c>
      <c r="L330" s="46">
        <f>IF(VLOOKUP($C330,REV!$C:$AA,10,0)-'TRADE IN'!$F330=0,"",(VLOOKUP($C330,REV!$C:$AA,10,0)-'TRADE IN'!$F330))</f>
        <v>3899</v>
      </c>
      <c r="M330" s="46">
        <f>IF(VLOOKUP($C330,REV!$C:$AA,11,0)-'TRADE IN'!$F330=0,"",(VLOOKUP($C330,REV!$C:$AA,11,0)-'TRADE IN'!$F330))</f>
        <v>3999</v>
      </c>
      <c r="N330" s="46">
        <f>IF(VLOOKUP($C330,REV!$C:$AA,12,0)-'TRADE IN'!$F330=0,"",(VLOOKUP($C330,REV!$C:$AA,12,0)-'TRADE IN'!$F330))</f>
        <v>3999</v>
      </c>
      <c r="O330" s="46">
        <f>IF(VLOOKUP($C330,REV!$C:$AA,13,0)-'TRADE IN'!$F330=0,"",(VLOOKUP($C330,REV!$C:$AA,13,0)-'TRADE IN'!$F330))</f>
        <v>3799</v>
      </c>
      <c r="P330" s="46">
        <f>IF(VLOOKUP($C330,REV!$C:$AA,14,0)-'TRADE IN'!$F330=0,"",(VLOOKUP($C330,REV!$C:$AA,14,0)-'TRADE IN'!$F330))</f>
        <v>3699</v>
      </c>
      <c r="Q330" s="46">
        <f>IF(VLOOKUP($C330,REV!$C:$AA,15,0)-'TRADE IN'!$F330=0,"",(VLOOKUP($C330,REV!$C:$AA,15,0)-'TRADE IN'!$F330))</f>
        <v>3299</v>
      </c>
      <c r="R330" s="46">
        <f>IF(VLOOKUP($C330,REV!$C:$AA,16,0)-'TRADE IN'!$F330=0,"",(VLOOKUP($C330,REV!$C:$AA,16,0)-'TRADE IN'!$F330))</f>
        <v>3799</v>
      </c>
      <c r="S330" s="46">
        <f>IF(VLOOKUP($C330,REV!$C:$AA,17,0)-'TRADE IN'!$F330=0,"",(VLOOKUP($C330,REV!$C:$AA,17,0)-'TRADE IN'!$F330))</f>
        <v>3699</v>
      </c>
      <c r="T330" s="46">
        <f>IF(VLOOKUP($C330,REV!$C:$AA,18,0)-'TRADE IN'!$F330=0,"",(VLOOKUP($C330,REV!$C:$AA,18,0)-'TRADE IN'!$F330))</f>
        <v>3299</v>
      </c>
      <c r="U330" s="46">
        <f>IF(VLOOKUP($C330,REV!$C:$AA,19,0)-'TRADE IN'!$F330=0,"",(VLOOKUP($C330,REV!$C:$AA,19,0)-'TRADE IN'!$F330))</f>
        <v>3299</v>
      </c>
      <c r="V330" s="46">
        <f>IF(VLOOKUP($C330,REV!$C:$AA,20,0)-'TRADE IN'!$F330=0,"",(VLOOKUP($C330,REV!$C:$AA,20,0)-'TRADE IN'!$F330))</f>
        <v>3299</v>
      </c>
      <c r="W330" s="46">
        <f>IF(VLOOKUP($C330,REV!$C:$AA,21,0)-'TRADE IN'!$F330=0,"",(VLOOKUP($C330,REV!$C:$AA,21,0)-'TRADE IN'!$F330))</f>
        <v>3299</v>
      </c>
      <c r="X330" s="46">
        <f>IF(VLOOKUP($C330,REV!$C:$AA,22,0)-'TRADE IN'!$F330=0,"",(VLOOKUP($C330,REV!$C:$AA,22,0)-'TRADE IN'!$F330))</f>
        <v>3199</v>
      </c>
      <c r="Y330" s="46">
        <f>IF(VLOOKUP($C330,REV!$C:$AA,23,0)-'TRADE IN'!$F330=0,"",(VLOOKUP($C330,REV!$C:$AA,23,0)-'TRADE IN'!$F330))</f>
        <v>2799</v>
      </c>
      <c r="Z330" s="46">
        <f>IF(VLOOKUP($C330,REV!$C:$AA,24,0)-'TRADE IN'!$F330=0,"",(VLOOKUP($C330,REV!$C:$AA,24,0)-'TRADE IN'!$F330))</f>
        <v>2799</v>
      </c>
      <c r="AA330" s="46">
        <f>IF(VLOOKUP($C330,REV!$C:$AA,25,0)-'TRADE IN'!$F330=0,"",(VLOOKUP($C330,REV!$C:$AA,25,0)-'TRADE IN'!$F330))</f>
        <v>2799</v>
      </c>
      <c r="AB330" s="45"/>
      <c r="AC330" s="45"/>
      <c r="AD330" s="45"/>
      <c r="AE330" s="45"/>
      <c r="AF330" s="45"/>
      <c r="AG330" s="45"/>
      <c r="AH330" s="45"/>
      <c r="AI330" s="45"/>
      <c r="AJ330" s="45"/>
      <c r="AK330" s="45"/>
      <c r="AL330" s="45"/>
      <c r="AM330" s="45"/>
      <c r="AN330" s="45"/>
      <c r="AO330" s="45"/>
      <c r="AP330" s="45"/>
      <c r="AQ330" s="45"/>
      <c r="AR330" s="45"/>
      <c r="AS330" s="45"/>
      <c r="AT330" s="45"/>
      <c r="AU330" s="45"/>
      <c r="AV330" s="47"/>
      <c r="AW330" s="48" t="str">
        <f>REV!AW330</f>
        <v>13.08.2026</v>
      </c>
      <c r="AX330" s="149" t="s">
        <v>68</v>
      </c>
    </row>
    <row r="331" spans="1:50" ht="22.5" customHeight="1">
      <c r="A331" s="41" t="s">
        <v>63</v>
      </c>
      <c r="B331" s="42" t="s">
        <v>64</v>
      </c>
      <c r="C331" s="43">
        <v>4015322</v>
      </c>
      <c r="D331" s="56" t="s">
        <v>503</v>
      </c>
      <c r="E331" s="56" t="s">
        <v>505</v>
      </c>
      <c r="F331" s="45">
        <v>100</v>
      </c>
      <c r="G331" s="45"/>
      <c r="H331" s="45"/>
      <c r="I331" s="45"/>
      <c r="J331" s="46">
        <f>IF(VLOOKUP($C331,REV!$C:$AA,8,0)-'TRADE IN'!$F331=0,"",(VLOOKUP($C331,REV!$C:$AA,8,0)-'TRADE IN'!$F331))</f>
        <v>3999</v>
      </c>
      <c r="K331" s="46">
        <f>IF(VLOOKUP($C331,REV!$C:$AA,9,0)-'TRADE IN'!$F331=0,"",(VLOOKUP($C331,REV!$C:$AA,9,0)-'TRADE IN'!$F331))</f>
        <v>3899</v>
      </c>
      <c r="L331" s="46">
        <f>IF(VLOOKUP($C331,REV!$C:$AA,10,0)-'TRADE IN'!$F331=0,"",(VLOOKUP($C331,REV!$C:$AA,10,0)-'TRADE IN'!$F331))</f>
        <v>3899</v>
      </c>
      <c r="M331" s="46">
        <f>IF(VLOOKUP($C331,REV!$C:$AA,11,0)-'TRADE IN'!$F331=0,"",(VLOOKUP($C331,REV!$C:$AA,11,0)-'TRADE IN'!$F331))</f>
        <v>3999</v>
      </c>
      <c r="N331" s="46">
        <f>IF(VLOOKUP($C331,REV!$C:$AA,12,0)-'TRADE IN'!$F331=0,"",(VLOOKUP($C331,REV!$C:$AA,12,0)-'TRADE IN'!$F331))</f>
        <v>3999</v>
      </c>
      <c r="O331" s="46">
        <f>IF(VLOOKUP($C331,REV!$C:$AA,13,0)-'TRADE IN'!$F331=0,"",(VLOOKUP($C331,REV!$C:$AA,13,0)-'TRADE IN'!$F331))</f>
        <v>3799</v>
      </c>
      <c r="P331" s="46">
        <f>IF(VLOOKUP($C331,REV!$C:$AA,14,0)-'TRADE IN'!$F331=0,"",(VLOOKUP($C331,REV!$C:$AA,14,0)-'TRADE IN'!$F331))</f>
        <v>3699</v>
      </c>
      <c r="Q331" s="46">
        <f>IF(VLOOKUP($C331,REV!$C:$AA,15,0)-'TRADE IN'!$F331=0,"",(VLOOKUP($C331,REV!$C:$AA,15,0)-'TRADE IN'!$F331))</f>
        <v>3299</v>
      </c>
      <c r="R331" s="46">
        <f>IF(VLOOKUP($C331,REV!$C:$AA,16,0)-'TRADE IN'!$F331=0,"",(VLOOKUP($C331,REV!$C:$AA,16,0)-'TRADE IN'!$F331))</f>
        <v>3799</v>
      </c>
      <c r="S331" s="46">
        <f>IF(VLOOKUP($C331,REV!$C:$AA,17,0)-'TRADE IN'!$F331=0,"",(VLOOKUP($C331,REV!$C:$AA,17,0)-'TRADE IN'!$F331))</f>
        <v>3699</v>
      </c>
      <c r="T331" s="46">
        <f>IF(VLOOKUP($C331,REV!$C:$AA,18,0)-'TRADE IN'!$F331=0,"",(VLOOKUP($C331,REV!$C:$AA,18,0)-'TRADE IN'!$F331))</f>
        <v>3299</v>
      </c>
      <c r="U331" s="46">
        <f>IF(VLOOKUP($C331,REV!$C:$AA,19,0)-'TRADE IN'!$F331=0,"",(VLOOKUP($C331,REV!$C:$AA,19,0)-'TRADE IN'!$F331))</f>
        <v>3299</v>
      </c>
      <c r="V331" s="46">
        <f>IF(VLOOKUP($C331,REV!$C:$AA,20,0)-'TRADE IN'!$F331=0,"",(VLOOKUP($C331,REV!$C:$AA,20,0)-'TRADE IN'!$F331))</f>
        <v>3299</v>
      </c>
      <c r="W331" s="46">
        <f>IF(VLOOKUP($C331,REV!$C:$AA,21,0)-'TRADE IN'!$F331=0,"",(VLOOKUP($C331,REV!$C:$AA,21,0)-'TRADE IN'!$F331))</f>
        <v>3299</v>
      </c>
      <c r="X331" s="46">
        <f>IF(VLOOKUP($C331,REV!$C:$AA,22,0)-'TRADE IN'!$F331=0,"",(VLOOKUP($C331,REV!$C:$AA,22,0)-'TRADE IN'!$F331))</f>
        <v>3199</v>
      </c>
      <c r="Y331" s="46">
        <f>IF(VLOOKUP($C331,REV!$C:$AA,23,0)-'TRADE IN'!$F331=0,"",(VLOOKUP($C331,REV!$C:$AA,23,0)-'TRADE IN'!$F331))</f>
        <v>2799</v>
      </c>
      <c r="Z331" s="46">
        <f>IF(VLOOKUP($C331,REV!$C:$AA,24,0)-'TRADE IN'!$F331=0,"",(VLOOKUP($C331,REV!$C:$AA,24,0)-'TRADE IN'!$F331))</f>
        <v>2799</v>
      </c>
      <c r="AA331" s="46">
        <f>IF(VLOOKUP($C331,REV!$C:$AA,25,0)-'TRADE IN'!$F331=0,"",(VLOOKUP($C331,REV!$C:$AA,25,0)-'TRADE IN'!$F331))</f>
        <v>2799</v>
      </c>
      <c r="AB331" s="45"/>
      <c r="AC331" s="45"/>
      <c r="AD331" s="45"/>
      <c r="AE331" s="45"/>
      <c r="AF331" s="45"/>
      <c r="AG331" s="45"/>
      <c r="AH331" s="45"/>
      <c r="AI331" s="45"/>
      <c r="AJ331" s="45"/>
      <c r="AK331" s="45"/>
      <c r="AL331" s="45"/>
      <c r="AM331" s="45"/>
      <c r="AN331" s="45"/>
      <c r="AO331" s="45"/>
      <c r="AP331" s="45"/>
      <c r="AQ331" s="45"/>
      <c r="AR331" s="45"/>
      <c r="AS331" s="45"/>
      <c r="AT331" s="45"/>
      <c r="AU331" s="45"/>
      <c r="AV331" s="47"/>
      <c r="AW331" s="48" t="str">
        <f>REV!AW331</f>
        <v>13.08.2026</v>
      </c>
      <c r="AX331" s="149" t="s">
        <v>68</v>
      </c>
    </row>
    <row r="332" spans="1:50" ht="22.5" customHeight="1">
      <c r="A332" s="41" t="s">
        <v>63</v>
      </c>
      <c r="B332" s="42" t="s">
        <v>64</v>
      </c>
      <c r="C332" s="43">
        <v>4015282</v>
      </c>
      <c r="D332" s="56" t="s">
        <v>503</v>
      </c>
      <c r="E332" s="56" t="s">
        <v>506</v>
      </c>
      <c r="F332" s="45">
        <v>100</v>
      </c>
      <c r="G332" s="45"/>
      <c r="H332" s="45"/>
      <c r="I332" s="45"/>
      <c r="J332" s="46">
        <f>IF(VLOOKUP($C332,REV!$C:$AA,8,0)-'TRADE IN'!$F332=0,"",(VLOOKUP($C332,REV!$C:$AA,8,0)-'TRADE IN'!$F332))</f>
        <v>3999</v>
      </c>
      <c r="K332" s="46">
        <f>IF(VLOOKUP($C332,REV!$C:$AA,9,0)-'TRADE IN'!$F332=0,"",(VLOOKUP($C332,REV!$C:$AA,9,0)-'TRADE IN'!$F332))</f>
        <v>3899</v>
      </c>
      <c r="L332" s="46">
        <f>IF(VLOOKUP($C332,REV!$C:$AA,10,0)-'TRADE IN'!$F332=0,"",(VLOOKUP($C332,REV!$C:$AA,10,0)-'TRADE IN'!$F332))</f>
        <v>3899</v>
      </c>
      <c r="M332" s="46">
        <f>IF(VLOOKUP($C332,REV!$C:$AA,11,0)-'TRADE IN'!$F332=0,"",(VLOOKUP($C332,REV!$C:$AA,11,0)-'TRADE IN'!$F332))</f>
        <v>3999</v>
      </c>
      <c r="N332" s="46">
        <f>IF(VLOOKUP($C332,REV!$C:$AA,12,0)-'TRADE IN'!$F332=0,"",(VLOOKUP($C332,REV!$C:$AA,12,0)-'TRADE IN'!$F332))</f>
        <v>3999</v>
      </c>
      <c r="O332" s="46">
        <f>IF(VLOOKUP($C332,REV!$C:$AA,13,0)-'TRADE IN'!$F332=0,"",(VLOOKUP($C332,REV!$C:$AA,13,0)-'TRADE IN'!$F332))</f>
        <v>3799</v>
      </c>
      <c r="P332" s="46">
        <f>IF(VLOOKUP($C332,REV!$C:$AA,14,0)-'TRADE IN'!$F332=0,"",(VLOOKUP($C332,REV!$C:$AA,14,0)-'TRADE IN'!$F332))</f>
        <v>3699</v>
      </c>
      <c r="Q332" s="46">
        <f>IF(VLOOKUP($C332,REV!$C:$AA,15,0)-'TRADE IN'!$F332=0,"",(VLOOKUP($C332,REV!$C:$AA,15,0)-'TRADE IN'!$F332))</f>
        <v>3299</v>
      </c>
      <c r="R332" s="46">
        <f>IF(VLOOKUP($C332,REV!$C:$AA,16,0)-'TRADE IN'!$F332=0,"",(VLOOKUP($C332,REV!$C:$AA,16,0)-'TRADE IN'!$F332))</f>
        <v>3799</v>
      </c>
      <c r="S332" s="46">
        <f>IF(VLOOKUP($C332,REV!$C:$AA,17,0)-'TRADE IN'!$F332=0,"",(VLOOKUP($C332,REV!$C:$AA,17,0)-'TRADE IN'!$F332))</f>
        <v>3699</v>
      </c>
      <c r="T332" s="46">
        <f>IF(VLOOKUP($C332,REV!$C:$AA,18,0)-'TRADE IN'!$F332=0,"",(VLOOKUP($C332,REV!$C:$AA,18,0)-'TRADE IN'!$F332))</f>
        <v>3299</v>
      </c>
      <c r="U332" s="46">
        <f>IF(VLOOKUP($C332,REV!$C:$AA,19,0)-'TRADE IN'!$F332=0,"",(VLOOKUP($C332,REV!$C:$AA,19,0)-'TRADE IN'!$F332))</f>
        <v>3299</v>
      </c>
      <c r="V332" s="46">
        <f>IF(VLOOKUP($C332,REV!$C:$AA,20,0)-'TRADE IN'!$F332=0,"",(VLOOKUP($C332,REV!$C:$AA,20,0)-'TRADE IN'!$F332))</f>
        <v>3299</v>
      </c>
      <c r="W332" s="46">
        <f>IF(VLOOKUP($C332,REV!$C:$AA,21,0)-'TRADE IN'!$F332=0,"",(VLOOKUP($C332,REV!$C:$AA,21,0)-'TRADE IN'!$F332))</f>
        <v>3299</v>
      </c>
      <c r="X332" s="46">
        <f>IF(VLOOKUP($C332,REV!$C:$AA,22,0)-'TRADE IN'!$F332=0,"",(VLOOKUP($C332,REV!$C:$AA,22,0)-'TRADE IN'!$F332))</f>
        <v>3199</v>
      </c>
      <c r="Y332" s="46">
        <f>IF(VLOOKUP($C332,REV!$C:$AA,23,0)-'TRADE IN'!$F332=0,"",(VLOOKUP($C332,REV!$C:$AA,23,0)-'TRADE IN'!$F332))</f>
        <v>2799</v>
      </c>
      <c r="Z332" s="46">
        <f>IF(VLOOKUP($C332,REV!$C:$AA,24,0)-'TRADE IN'!$F332=0,"",(VLOOKUP($C332,REV!$C:$AA,24,0)-'TRADE IN'!$F332))</f>
        <v>2799</v>
      </c>
      <c r="AA332" s="46">
        <f>IF(VLOOKUP($C332,REV!$C:$AA,25,0)-'TRADE IN'!$F332=0,"",(VLOOKUP($C332,REV!$C:$AA,25,0)-'TRADE IN'!$F332))</f>
        <v>2799</v>
      </c>
      <c r="AB332" s="45"/>
      <c r="AC332" s="45"/>
      <c r="AD332" s="45"/>
      <c r="AE332" s="45"/>
      <c r="AF332" s="45"/>
      <c r="AG332" s="45"/>
      <c r="AH332" s="45"/>
      <c r="AI332" s="45"/>
      <c r="AJ332" s="45"/>
      <c r="AK332" s="45"/>
      <c r="AL332" s="45"/>
      <c r="AM332" s="45"/>
      <c r="AN332" s="45"/>
      <c r="AO332" s="45"/>
      <c r="AP332" s="45"/>
      <c r="AQ332" s="45"/>
      <c r="AR332" s="45"/>
      <c r="AS332" s="45"/>
      <c r="AT332" s="45"/>
      <c r="AU332" s="45"/>
      <c r="AV332" s="47"/>
      <c r="AW332" s="48" t="str">
        <f>REV!AW332</f>
        <v>13.08.2026</v>
      </c>
      <c r="AX332" s="149" t="s">
        <v>68</v>
      </c>
    </row>
    <row r="333" spans="1:50" ht="22.5" customHeight="1">
      <c r="A333" s="41" t="s">
        <v>63</v>
      </c>
      <c r="B333" s="42" t="s">
        <v>64</v>
      </c>
      <c r="C333" s="43">
        <v>4015314</v>
      </c>
      <c r="D333" s="56" t="s">
        <v>503</v>
      </c>
      <c r="E333" s="56" t="s">
        <v>507</v>
      </c>
      <c r="F333" s="45">
        <v>100</v>
      </c>
      <c r="G333" s="45"/>
      <c r="H333" s="45"/>
      <c r="I333" s="45"/>
      <c r="J333" s="46">
        <f>IF(VLOOKUP($C333,REV!$C:$AA,8,0)-'TRADE IN'!$F333=0,"",(VLOOKUP($C333,REV!$C:$AA,8,0)-'TRADE IN'!$F333))</f>
        <v>3999</v>
      </c>
      <c r="K333" s="46">
        <f>IF(VLOOKUP($C333,REV!$C:$AA,9,0)-'TRADE IN'!$F333=0,"",(VLOOKUP($C333,REV!$C:$AA,9,0)-'TRADE IN'!$F333))</f>
        <v>3899</v>
      </c>
      <c r="L333" s="46">
        <f>IF(VLOOKUP($C333,REV!$C:$AA,10,0)-'TRADE IN'!$F333=0,"",(VLOOKUP($C333,REV!$C:$AA,10,0)-'TRADE IN'!$F333))</f>
        <v>3899</v>
      </c>
      <c r="M333" s="46">
        <f>IF(VLOOKUP($C333,REV!$C:$AA,11,0)-'TRADE IN'!$F333=0,"",(VLOOKUP($C333,REV!$C:$AA,11,0)-'TRADE IN'!$F333))</f>
        <v>3999</v>
      </c>
      <c r="N333" s="46">
        <f>IF(VLOOKUP($C333,REV!$C:$AA,12,0)-'TRADE IN'!$F333=0,"",(VLOOKUP($C333,REV!$C:$AA,12,0)-'TRADE IN'!$F333))</f>
        <v>3999</v>
      </c>
      <c r="O333" s="46">
        <f>IF(VLOOKUP($C333,REV!$C:$AA,13,0)-'TRADE IN'!$F333=0,"",(VLOOKUP($C333,REV!$C:$AA,13,0)-'TRADE IN'!$F333))</f>
        <v>3799</v>
      </c>
      <c r="P333" s="46">
        <f>IF(VLOOKUP($C333,REV!$C:$AA,14,0)-'TRADE IN'!$F333=0,"",(VLOOKUP($C333,REV!$C:$AA,14,0)-'TRADE IN'!$F333))</f>
        <v>3699</v>
      </c>
      <c r="Q333" s="46">
        <f>IF(VLOOKUP($C333,REV!$C:$AA,15,0)-'TRADE IN'!$F333=0,"",(VLOOKUP($C333,REV!$C:$AA,15,0)-'TRADE IN'!$F333))</f>
        <v>3299</v>
      </c>
      <c r="R333" s="46">
        <f>IF(VLOOKUP($C333,REV!$C:$AA,16,0)-'TRADE IN'!$F333=0,"",(VLOOKUP($C333,REV!$C:$AA,16,0)-'TRADE IN'!$F333))</f>
        <v>3799</v>
      </c>
      <c r="S333" s="46">
        <f>IF(VLOOKUP($C333,REV!$C:$AA,17,0)-'TRADE IN'!$F333=0,"",(VLOOKUP($C333,REV!$C:$AA,17,0)-'TRADE IN'!$F333))</f>
        <v>3699</v>
      </c>
      <c r="T333" s="46">
        <f>IF(VLOOKUP($C333,REV!$C:$AA,18,0)-'TRADE IN'!$F333=0,"",(VLOOKUP($C333,REV!$C:$AA,18,0)-'TRADE IN'!$F333))</f>
        <v>3299</v>
      </c>
      <c r="U333" s="46">
        <f>IF(VLOOKUP($C333,REV!$C:$AA,19,0)-'TRADE IN'!$F333=0,"",(VLOOKUP($C333,REV!$C:$AA,19,0)-'TRADE IN'!$F333))</f>
        <v>3299</v>
      </c>
      <c r="V333" s="46">
        <f>IF(VLOOKUP($C333,REV!$C:$AA,20,0)-'TRADE IN'!$F333=0,"",(VLOOKUP($C333,REV!$C:$AA,20,0)-'TRADE IN'!$F333))</f>
        <v>3299</v>
      </c>
      <c r="W333" s="46">
        <f>IF(VLOOKUP($C333,REV!$C:$AA,21,0)-'TRADE IN'!$F333=0,"",(VLOOKUP($C333,REV!$C:$AA,21,0)-'TRADE IN'!$F333))</f>
        <v>3299</v>
      </c>
      <c r="X333" s="46">
        <f>IF(VLOOKUP($C333,REV!$C:$AA,22,0)-'TRADE IN'!$F333=0,"",(VLOOKUP($C333,REV!$C:$AA,22,0)-'TRADE IN'!$F333))</f>
        <v>3199</v>
      </c>
      <c r="Y333" s="46">
        <f>IF(VLOOKUP($C333,REV!$C:$AA,23,0)-'TRADE IN'!$F333=0,"",(VLOOKUP($C333,REV!$C:$AA,23,0)-'TRADE IN'!$F333))</f>
        <v>2799</v>
      </c>
      <c r="Z333" s="46">
        <f>IF(VLOOKUP($C333,REV!$C:$AA,24,0)-'TRADE IN'!$F333=0,"",(VLOOKUP($C333,REV!$C:$AA,24,0)-'TRADE IN'!$F333))</f>
        <v>2799</v>
      </c>
      <c r="AA333" s="46">
        <f>IF(VLOOKUP($C333,REV!$C:$AA,25,0)-'TRADE IN'!$F333=0,"",(VLOOKUP($C333,REV!$C:$AA,25,0)-'TRADE IN'!$F333))</f>
        <v>2799</v>
      </c>
      <c r="AB333" s="45"/>
      <c r="AC333" s="45"/>
      <c r="AD333" s="45"/>
      <c r="AE333" s="45"/>
      <c r="AF333" s="45"/>
      <c r="AG333" s="45"/>
      <c r="AH333" s="45"/>
      <c r="AI333" s="45"/>
      <c r="AJ333" s="45"/>
      <c r="AK333" s="45"/>
      <c r="AL333" s="45"/>
      <c r="AM333" s="45"/>
      <c r="AN333" s="45"/>
      <c r="AO333" s="45"/>
      <c r="AP333" s="45"/>
      <c r="AQ333" s="45"/>
      <c r="AR333" s="45"/>
      <c r="AS333" s="45"/>
      <c r="AT333" s="45"/>
      <c r="AU333" s="45"/>
      <c r="AV333" s="47"/>
      <c r="AW333" s="48" t="str">
        <f>REV!AW333</f>
        <v>13.08.2026</v>
      </c>
      <c r="AX333" s="149" t="s">
        <v>68</v>
      </c>
    </row>
    <row r="334" spans="1:50" ht="22.5" customHeight="1">
      <c r="A334" s="41" t="s">
        <v>63</v>
      </c>
      <c r="B334" s="42" t="s">
        <v>64</v>
      </c>
      <c r="C334" s="43">
        <v>4015330</v>
      </c>
      <c r="D334" s="56" t="s">
        <v>503</v>
      </c>
      <c r="E334" s="56" t="s">
        <v>508</v>
      </c>
      <c r="F334" s="45">
        <v>100</v>
      </c>
      <c r="G334" s="45"/>
      <c r="H334" s="45"/>
      <c r="I334" s="45"/>
      <c r="J334" s="46">
        <f>IF(VLOOKUP($C334,REV!$C:$AA,8,0)-'TRADE IN'!$F334=0,"",(VLOOKUP($C334,REV!$C:$AA,8,0)-'TRADE IN'!$F334))</f>
        <v>3999</v>
      </c>
      <c r="K334" s="46">
        <f>IF(VLOOKUP($C334,REV!$C:$AA,9,0)-'TRADE IN'!$F334=0,"",(VLOOKUP($C334,REV!$C:$AA,9,0)-'TRADE IN'!$F334))</f>
        <v>3899</v>
      </c>
      <c r="L334" s="46">
        <f>IF(VLOOKUP($C334,REV!$C:$AA,10,0)-'TRADE IN'!$F334=0,"",(VLOOKUP($C334,REV!$C:$AA,10,0)-'TRADE IN'!$F334))</f>
        <v>3899</v>
      </c>
      <c r="M334" s="46">
        <f>IF(VLOOKUP($C334,REV!$C:$AA,11,0)-'TRADE IN'!$F334=0,"",(VLOOKUP($C334,REV!$C:$AA,11,0)-'TRADE IN'!$F334))</f>
        <v>3999</v>
      </c>
      <c r="N334" s="46">
        <f>IF(VLOOKUP($C334,REV!$C:$AA,12,0)-'TRADE IN'!$F334=0,"",(VLOOKUP($C334,REV!$C:$AA,12,0)-'TRADE IN'!$F334))</f>
        <v>3999</v>
      </c>
      <c r="O334" s="46">
        <f>IF(VLOOKUP($C334,REV!$C:$AA,13,0)-'TRADE IN'!$F334=0,"",(VLOOKUP($C334,REV!$C:$AA,13,0)-'TRADE IN'!$F334))</f>
        <v>3799</v>
      </c>
      <c r="P334" s="46">
        <f>IF(VLOOKUP($C334,REV!$C:$AA,14,0)-'TRADE IN'!$F334=0,"",(VLOOKUP($C334,REV!$C:$AA,14,0)-'TRADE IN'!$F334))</f>
        <v>3699</v>
      </c>
      <c r="Q334" s="46">
        <f>IF(VLOOKUP($C334,REV!$C:$AA,15,0)-'TRADE IN'!$F334=0,"",(VLOOKUP($C334,REV!$C:$AA,15,0)-'TRADE IN'!$F334))</f>
        <v>3299</v>
      </c>
      <c r="R334" s="46">
        <f>IF(VLOOKUP($C334,REV!$C:$AA,16,0)-'TRADE IN'!$F334=0,"",(VLOOKUP($C334,REV!$C:$AA,16,0)-'TRADE IN'!$F334))</f>
        <v>3799</v>
      </c>
      <c r="S334" s="46">
        <f>IF(VLOOKUP($C334,REV!$C:$AA,17,0)-'TRADE IN'!$F334=0,"",(VLOOKUP($C334,REV!$C:$AA,17,0)-'TRADE IN'!$F334))</f>
        <v>3699</v>
      </c>
      <c r="T334" s="46">
        <f>IF(VLOOKUP($C334,REV!$C:$AA,18,0)-'TRADE IN'!$F334=0,"",(VLOOKUP($C334,REV!$C:$AA,18,0)-'TRADE IN'!$F334))</f>
        <v>3299</v>
      </c>
      <c r="U334" s="46">
        <f>IF(VLOOKUP($C334,REV!$C:$AA,19,0)-'TRADE IN'!$F334=0,"",(VLOOKUP($C334,REV!$C:$AA,19,0)-'TRADE IN'!$F334))</f>
        <v>3299</v>
      </c>
      <c r="V334" s="46">
        <f>IF(VLOOKUP($C334,REV!$C:$AA,20,0)-'TRADE IN'!$F334=0,"",(VLOOKUP($C334,REV!$C:$AA,20,0)-'TRADE IN'!$F334))</f>
        <v>3299</v>
      </c>
      <c r="W334" s="46">
        <f>IF(VLOOKUP($C334,REV!$C:$AA,21,0)-'TRADE IN'!$F334=0,"",(VLOOKUP($C334,REV!$C:$AA,21,0)-'TRADE IN'!$F334))</f>
        <v>3299</v>
      </c>
      <c r="X334" s="46">
        <f>IF(VLOOKUP($C334,REV!$C:$AA,22,0)-'TRADE IN'!$F334=0,"",(VLOOKUP($C334,REV!$C:$AA,22,0)-'TRADE IN'!$F334))</f>
        <v>3199</v>
      </c>
      <c r="Y334" s="46">
        <f>IF(VLOOKUP($C334,REV!$C:$AA,23,0)-'TRADE IN'!$F334=0,"",(VLOOKUP($C334,REV!$C:$AA,23,0)-'TRADE IN'!$F334))</f>
        <v>2799</v>
      </c>
      <c r="Z334" s="46">
        <f>IF(VLOOKUP($C334,REV!$C:$AA,24,0)-'TRADE IN'!$F334=0,"",(VLOOKUP($C334,REV!$C:$AA,24,0)-'TRADE IN'!$F334))</f>
        <v>2799</v>
      </c>
      <c r="AA334" s="46">
        <f>IF(VLOOKUP($C334,REV!$C:$AA,25,0)-'TRADE IN'!$F334=0,"",(VLOOKUP($C334,REV!$C:$AA,25,0)-'TRADE IN'!$F334))</f>
        <v>2799</v>
      </c>
      <c r="AB334" s="45"/>
      <c r="AC334" s="45"/>
      <c r="AD334" s="45"/>
      <c r="AE334" s="45"/>
      <c r="AF334" s="45"/>
      <c r="AG334" s="45"/>
      <c r="AH334" s="45"/>
      <c r="AI334" s="45"/>
      <c r="AJ334" s="45"/>
      <c r="AK334" s="45"/>
      <c r="AL334" s="45"/>
      <c r="AM334" s="45"/>
      <c r="AN334" s="45"/>
      <c r="AO334" s="45"/>
      <c r="AP334" s="45"/>
      <c r="AQ334" s="45"/>
      <c r="AR334" s="45"/>
      <c r="AS334" s="45"/>
      <c r="AT334" s="45"/>
      <c r="AU334" s="45"/>
      <c r="AV334" s="47"/>
      <c r="AW334" s="48" t="str">
        <f>REV!AW334</f>
        <v>13.08.2026</v>
      </c>
      <c r="AX334" s="149" t="s">
        <v>68</v>
      </c>
    </row>
    <row r="335" spans="1:50" ht="22.5" customHeight="1">
      <c r="A335" s="41" t="s">
        <v>63</v>
      </c>
      <c r="B335" s="42" t="s">
        <v>64</v>
      </c>
      <c r="C335" s="43">
        <v>4015290</v>
      </c>
      <c r="D335" s="56" t="s">
        <v>509</v>
      </c>
      <c r="E335" s="56" t="s">
        <v>510</v>
      </c>
      <c r="F335" s="45">
        <v>100</v>
      </c>
      <c r="G335" s="45"/>
      <c r="H335" s="45"/>
      <c r="I335" s="45"/>
      <c r="J335" s="46">
        <f>IF(VLOOKUP($C335,REV!$C:$AA,8,0)-'TRADE IN'!$F335=0,"",(VLOOKUP($C335,REV!$C:$AA,8,0)-'TRADE IN'!$F335))</f>
        <v>4899</v>
      </c>
      <c r="K335" s="46">
        <f>IF(VLOOKUP($C335,REV!$C:$AA,9,0)-'TRADE IN'!$F335=0,"",(VLOOKUP($C335,REV!$C:$AA,9,0)-'TRADE IN'!$F335))</f>
        <v>4799</v>
      </c>
      <c r="L335" s="46">
        <f>IF(VLOOKUP($C335,REV!$C:$AA,10,0)-'TRADE IN'!$F335=0,"",(VLOOKUP($C335,REV!$C:$AA,10,0)-'TRADE IN'!$F335))</f>
        <v>4799</v>
      </c>
      <c r="M335" s="46">
        <f>IF(VLOOKUP($C335,REV!$C:$AA,11,0)-'TRADE IN'!$F335=0,"",(VLOOKUP($C335,REV!$C:$AA,11,0)-'TRADE IN'!$F335))</f>
        <v>4899</v>
      </c>
      <c r="N335" s="46">
        <f>IF(VLOOKUP($C335,REV!$C:$AA,12,0)-'TRADE IN'!$F335=0,"",(VLOOKUP($C335,REV!$C:$AA,12,0)-'TRADE IN'!$F335))</f>
        <v>4899</v>
      </c>
      <c r="O335" s="46">
        <f>IF(VLOOKUP($C335,REV!$C:$AA,13,0)-'TRADE IN'!$F335=0,"",(VLOOKUP($C335,REV!$C:$AA,13,0)-'TRADE IN'!$F335))</f>
        <v>4699</v>
      </c>
      <c r="P335" s="46">
        <f>IF(VLOOKUP($C335,REV!$C:$AA,14,0)-'TRADE IN'!$F335=0,"",(VLOOKUP($C335,REV!$C:$AA,14,0)-'TRADE IN'!$F335))</f>
        <v>4599</v>
      </c>
      <c r="Q335" s="46">
        <f>IF(VLOOKUP($C335,REV!$C:$AA,15,0)-'TRADE IN'!$F335=0,"",(VLOOKUP($C335,REV!$C:$AA,15,0)-'TRADE IN'!$F335))</f>
        <v>3699</v>
      </c>
      <c r="R335" s="46">
        <f>IF(VLOOKUP($C335,REV!$C:$AA,16,0)-'TRADE IN'!$F335=0,"",(VLOOKUP($C335,REV!$C:$AA,16,0)-'TRADE IN'!$F335))</f>
        <v>4699</v>
      </c>
      <c r="S335" s="46">
        <f>IF(VLOOKUP($C335,REV!$C:$AA,17,0)-'TRADE IN'!$F335=0,"",(VLOOKUP($C335,REV!$C:$AA,17,0)-'TRADE IN'!$F335))</f>
        <v>4599</v>
      </c>
      <c r="T335" s="46">
        <f>IF(VLOOKUP($C335,REV!$C:$AA,18,0)-'TRADE IN'!$F335=0,"",(VLOOKUP($C335,REV!$C:$AA,18,0)-'TRADE IN'!$F335))</f>
        <v>3699</v>
      </c>
      <c r="U335" s="46">
        <f>IF(VLOOKUP($C335,REV!$C:$AA,19,0)-'TRADE IN'!$F335=0,"",(VLOOKUP($C335,REV!$C:$AA,19,0)-'TRADE IN'!$F335))</f>
        <v>3699</v>
      </c>
      <c r="V335" s="46">
        <f>IF(VLOOKUP($C335,REV!$C:$AA,20,0)-'TRADE IN'!$F335=0,"",(VLOOKUP($C335,REV!$C:$AA,20,0)-'TRADE IN'!$F335))</f>
        <v>3699</v>
      </c>
      <c r="W335" s="46">
        <f>IF(VLOOKUP($C335,REV!$C:$AA,21,0)-'TRADE IN'!$F335=0,"",(VLOOKUP($C335,REV!$C:$AA,21,0)-'TRADE IN'!$F335))</f>
        <v>3699</v>
      </c>
      <c r="X335" s="46">
        <f>IF(VLOOKUP($C335,REV!$C:$AA,22,0)-'TRADE IN'!$F335=0,"",(VLOOKUP($C335,REV!$C:$AA,22,0)-'TRADE IN'!$F335))</f>
        <v>3599</v>
      </c>
      <c r="Y335" s="46">
        <f>IF(VLOOKUP($C335,REV!$C:$AA,23,0)-'TRADE IN'!$F335=0,"",(VLOOKUP($C335,REV!$C:$AA,23,0)-'TRADE IN'!$F335))</f>
        <v>3399</v>
      </c>
      <c r="Z335" s="46">
        <f>IF(VLOOKUP($C335,REV!$C:$AA,24,0)-'TRADE IN'!$F335=0,"",(VLOOKUP($C335,REV!$C:$AA,24,0)-'TRADE IN'!$F335))</f>
        <v>3399</v>
      </c>
      <c r="AA335" s="46">
        <f>IF(VLOOKUP($C335,REV!$C:$AA,25,0)-'TRADE IN'!$F335=0,"",(VLOOKUP($C335,REV!$C:$AA,25,0)-'TRADE IN'!$F335))</f>
        <v>3399</v>
      </c>
      <c r="AB335" s="45"/>
      <c r="AC335" s="45"/>
      <c r="AD335" s="45"/>
      <c r="AE335" s="45"/>
      <c r="AF335" s="45"/>
      <c r="AG335" s="45"/>
      <c r="AH335" s="45"/>
      <c r="AI335" s="45"/>
      <c r="AJ335" s="45"/>
      <c r="AK335" s="45"/>
      <c r="AL335" s="45"/>
      <c r="AM335" s="45"/>
      <c r="AN335" s="45"/>
      <c r="AO335" s="45"/>
      <c r="AP335" s="45"/>
      <c r="AQ335" s="45"/>
      <c r="AR335" s="45"/>
      <c r="AS335" s="45"/>
      <c r="AT335" s="45"/>
      <c r="AU335" s="45"/>
      <c r="AV335" s="47"/>
      <c r="AW335" s="48" t="str">
        <f>REV!AW335</f>
        <v>13.08.2026</v>
      </c>
      <c r="AX335" s="149" t="s">
        <v>68</v>
      </c>
    </row>
    <row r="336" spans="1:50" ht="22.5" customHeight="1">
      <c r="A336" s="41" t="s">
        <v>63</v>
      </c>
      <c r="B336" s="42" t="s">
        <v>64</v>
      </c>
      <c r="C336" s="43">
        <v>4015321</v>
      </c>
      <c r="D336" s="56" t="s">
        <v>509</v>
      </c>
      <c r="E336" s="56" t="s">
        <v>511</v>
      </c>
      <c r="F336" s="45">
        <v>100</v>
      </c>
      <c r="G336" s="45"/>
      <c r="H336" s="45"/>
      <c r="I336" s="45"/>
      <c r="J336" s="46">
        <f>IF(VLOOKUP($C336,REV!$C:$AA,8,0)-'TRADE IN'!$F336=0,"",(VLOOKUP($C336,REV!$C:$AA,8,0)-'TRADE IN'!$F336))</f>
        <v>4899</v>
      </c>
      <c r="K336" s="46">
        <f>IF(VLOOKUP($C336,REV!$C:$AA,9,0)-'TRADE IN'!$F336=0,"",(VLOOKUP($C336,REV!$C:$AA,9,0)-'TRADE IN'!$F336))</f>
        <v>4799</v>
      </c>
      <c r="L336" s="46">
        <f>IF(VLOOKUP($C336,REV!$C:$AA,10,0)-'TRADE IN'!$F336=0,"",(VLOOKUP($C336,REV!$C:$AA,10,0)-'TRADE IN'!$F336))</f>
        <v>4799</v>
      </c>
      <c r="M336" s="46">
        <f>IF(VLOOKUP($C336,REV!$C:$AA,11,0)-'TRADE IN'!$F336=0,"",(VLOOKUP($C336,REV!$C:$AA,11,0)-'TRADE IN'!$F336))</f>
        <v>4899</v>
      </c>
      <c r="N336" s="46">
        <f>IF(VLOOKUP($C336,REV!$C:$AA,12,0)-'TRADE IN'!$F336=0,"",(VLOOKUP($C336,REV!$C:$AA,12,0)-'TRADE IN'!$F336))</f>
        <v>4899</v>
      </c>
      <c r="O336" s="46">
        <f>IF(VLOOKUP($C336,REV!$C:$AA,13,0)-'TRADE IN'!$F336=0,"",(VLOOKUP($C336,REV!$C:$AA,13,0)-'TRADE IN'!$F336))</f>
        <v>4699</v>
      </c>
      <c r="P336" s="46">
        <f>IF(VLOOKUP($C336,REV!$C:$AA,14,0)-'TRADE IN'!$F336=0,"",(VLOOKUP($C336,REV!$C:$AA,14,0)-'TRADE IN'!$F336))</f>
        <v>4599</v>
      </c>
      <c r="Q336" s="46">
        <f>IF(VLOOKUP($C336,REV!$C:$AA,15,0)-'TRADE IN'!$F336=0,"",(VLOOKUP($C336,REV!$C:$AA,15,0)-'TRADE IN'!$F336))</f>
        <v>3699</v>
      </c>
      <c r="R336" s="46">
        <f>IF(VLOOKUP($C336,REV!$C:$AA,16,0)-'TRADE IN'!$F336=0,"",(VLOOKUP($C336,REV!$C:$AA,16,0)-'TRADE IN'!$F336))</f>
        <v>4699</v>
      </c>
      <c r="S336" s="46">
        <f>IF(VLOOKUP($C336,REV!$C:$AA,17,0)-'TRADE IN'!$F336=0,"",(VLOOKUP($C336,REV!$C:$AA,17,0)-'TRADE IN'!$F336))</f>
        <v>4599</v>
      </c>
      <c r="T336" s="46">
        <f>IF(VLOOKUP($C336,REV!$C:$AA,18,0)-'TRADE IN'!$F336=0,"",(VLOOKUP($C336,REV!$C:$AA,18,0)-'TRADE IN'!$F336))</f>
        <v>3699</v>
      </c>
      <c r="U336" s="46">
        <f>IF(VLOOKUP($C336,REV!$C:$AA,19,0)-'TRADE IN'!$F336=0,"",(VLOOKUP($C336,REV!$C:$AA,19,0)-'TRADE IN'!$F336))</f>
        <v>3699</v>
      </c>
      <c r="V336" s="46">
        <f>IF(VLOOKUP($C336,REV!$C:$AA,20,0)-'TRADE IN'!$F336=0,"",(VLOOKUP($C336,REV!$C:$AA,20,0)-'TRADE IN'!$F336))</f>
        <v>3699</v>
      </c>
      <c r="W336" s="46">
        <f>IF(VLOOKUP($C336,REV!$C:$AA,21,0)-'TRADE IN'!$F336=0,"",(VLOOKUP($C336,REV!$C:$AA,21,0)-'TRADE IN'!$F336))</f>
        <v>3699</v>
      </c>
      <c r="X336" s="46">
        <f>IF(VLOOKUP($C336,REV!$C:$AA,22,0)-'TRADE IN'!$F336=0,"",(VLOOKUP($C336,REV!$C:$AA,22,0)-'TRADE IN'!$F336))</f>
        <v>3599</v>
      </c>
      <c r="Y336" s="46">
        <f>IF(VLOOKUP($C336,REV!$C:$AA,23,0)-'TRADE IN'!$F336=0,"",(VLOOKUP($C336,REV!$C:$AA,23,0)-'TRADE IN'!$F336))</f>
        <v>3399</v>
      </c>
      <c r="Z336" s="46">
        <f>IF(VLOOKUP($C336,REV!$C:$AA,24,0)-'TRADE IN'!$F336=0,"",(VLOOKUP($C336,REV!$C:$AA,24,0)-'TRADE IN'!$F336))</f>
        <v>3399</v>
      </c>
      <c r="AA336" s="46">
        <f>IF(VLOOKUP($C336,REV!$C:$AA,25,0)-'TRADE IN'!$F336=0,"",(VLOOKUP($C336,REV!$C:$AA,25,0)-'TRADE IN'!$F336))</f>
        <v>3399</v>
      </c>
      <c r="AB336" s="45"/>
      <c r="AC336" s="45"/>
      <c r="AD336" s="45"/>
      <c r="AE336" s="45"/>
      <c r="AF336" s="45"/>
      <c r="AG336" s="45"/>
      <c r="AH336" s="45"/>
      <c r="AI336" s="45"/>
      <c r="AJ336" s="45"/>
      <c r="AK336" s="45"/>
      <c r="AL336" s="45"/>
      <c r="AM336" s="45"/>
      <c r="AN336" s="45"/>
      <c r="AO336" s="45"/>
      <c r="AP336" s="45"/>
      <c r="AQ336" s="45"/>
      <c r="AR336" s="45"/>
      <c r="AS336" s="45"/>
      <c r="AT336" s="45"/>
      <c r="AU336" s="45"/>
      <c r="AV336" s="47"/>
      <c r="AW336" s="48" t="str">
        <f>REV!AW336</f>
        <v>13.08.2026</v>
      </c>
      <c r="AX336" s="149" t="s">
        <v>68</v>
      </c>
    </row>
    <row r="337" spans="1:50" ht="22.5" customHeight="1">
      <c r="A337" s="41" t="s">
        <v>63</v>
      </c>
      <c r="B337" s="42" t="s">
        <v>64</v>
      </c>
      <c r="C337" s="43">
        <v>4015283</v>
      </c>
      <c r="D337" s="56" t="s">
        <v>509</v>
      </c>
      <c r="E337" s="56" t="s">
        <v>512</v>
      </c>
      <c r="F337" s="45">
        <v>100</v>
      </c>
      <c r="G337" s="45"/>
      <c r="H337" s="45"/>
      <c r="I337" s="45"/>
      <c r="J337" s="46">
        <f>IF(VLOOKUP($C337,REV!$C:$AA,8,0)-'TRADE IN'!$F337=0,"",(VLOOKUP($C337,REV!$C:$AA,8,0)-'TRADE IN'!$F337))</f>
        <v>4899</v>
      </c>
      <c r="K337" s="46">
        <f>IF(VLOOKUP($C337,REV!$C:$AA,9,0)-'TRADE IN'!$F337=0,"",(VLOOKUP($C337,REV!$C:$AA,9,0)-'TRADE IN'!$F337))</f>
        <v>4799</v>
      </c>
      <c r="L337" s="46">
        <f>IF(VLOOKUP($C337,REV!$C:$AA,10,0)-'TRADE IN'!$F337=0,"",(VLOOKUP($C337,REV!$C:$AA,10,0)-'TRADE IN'!$F337))</f>
        <v>4799</v>
      </c>
      <c r="M337" s="46">
        <f>IF(VLOOKUP($C337,REV!$C:$AA,11,0)-'TRADE IN'!$F337=0,"",(VLOOKUP($C337,REV!$C:$AA,11,0)-'TRADE IN'!$F337))</f>
        <v>4899</v>
      </c>
      <c r="N337" s="46">
        <f>IF(VLOOKUP($C337,REV!$C:$AA,12,0)-'TRADE IN'!$F337=0,"",(VLOOKUP($C337,REV!$C:$AA,12,0)-'TRADE IN'!$F337))</f>
        <v>4899</v>
      </c>
      <c r="O337" s="46">
        <f>IF(VLOOKUP($C337,REV!$C:$AA,13,0)-'TRADE IN'!$F337=0,"",(VLOOKUP($C337,REV!$C:$AA,13,0)-'TRADE IN'!$F337))</f>
        <v>4699</v>
      </c>
      <c r="P337" s="46">
        <f>IF(VLOOKUP($C337,REV!$C:$AA,14,0)-'TRADE IN'!$F337=0,"",(VLOOKUP($C337,REV!$C:$AA,14,0)-'TRADE IN'!$F337))</f>
        <v>4599</v>
      </c>
      <c r="Q337" s="46">
        <f>IF(VLOOKUP($C337,REV!$C:$AA,15,0)-'TRADE IN'!$F337=0,"",(VLOOKUP($C337,REV!$C:$AA,15,0)-'TRADE IN'!$F337))</f>
        <v>3699</v>
      </c>
      <c r="R337" s="46">
        <f>IF(VLOOKUP($C337,REV!$C:$AA,16,0)-'TRADE IN'!$F337=0,"",(VLOOKUP($C337,REV!$C:$AA,16,0)-'TRADE IN'!$F337))</f>
        <v>4699</v>
      </c>
      <c r="S337" s="46">
        <f>IF(VLOOKUP($C337,REV!$C:$AA,17,0)-'TRADE IN'!$F337=0,"",(VLOOKUP($C337,REV!$C:$AA,17,0)-'TRADE IN'!$F337))</f>
        <v>4599</v>
      </c>
      <c r="T337" s="46">
        <f>IF(VLOOKUP($C337,REV!$C:$AA,18,0)-'TRADE IN'!$F337=0,"",(VLOOKUP($C337,REV!$C:$AA,18,0)-'TRADE IN'!$F337))</f>
        <v>3699</v>
      </c>
      <c r="U337" s="46">
        <f>IF(VLOOKUP($C337,REV!$C:$AA,19,0)-'TRADE IN'!$F337=0,"",(VLOOKUP($C337,REV!$C:$AA,19,0)-'TRADE IN'!$F337))</f>
        <v>3699</v>
      </c>
      <c r="V337" s="46">
        <f>IF(VLOOKUP($C337,REV!$C:$AA,20,0)-'TRADE IN'!$F337=0,"",(VLOOKUP($C337,REV!$C:$AA,20,0)-'TRADE IN'!$F337))</f>
        <v>3699</v>
      </c>
      <c r="W337" s="46">
        <f>IF(VLOOKUP($C337,REV!$C:$AA,21,0)-'TRADE IN'!$F337=0,"",(VLOOKUP($C337,REV!$C:$AA,21,0)-'TRADE IN'!$F337))</f>
        <v>3699</v>
      </c>
      <c r="X337" s="46">
        <f>IF(VLOOKUP($C337,REV!$C:$AA,22,0)-'TRADE IN'!$F337=0,"",(VLOOKUP($C337,REV!$C:$AA,22,0)-'TRADE IN'!$F337))</f>
        <v>3599</v>
      </c>
      <c r="Y337" s="46">
        <f>IF(VLOOKUP($C337,REV!$C:$AA,23,0)-'TRADE IN'!$F337=0,"",(VLOOKUP($C337,REV!$C:$AA,23,0)-'TRADE IN'!$F337))</f>
        <v>3399</v>
      </c>
      <c r="Z337" s="46">
        <f>IF(VLOOKUP($C337,REV!$C:$AA,24,0)-'TRADE IN'!$F337=0,"",(VLOOKUP($C337,REV!$C:$AA,24,0)-'TRADE IN'!$F337))</f>
        <v>3399</v>
      </c>
      <c r="AA337" s="46">
        <f>IF(VLOOKUP($C337,REV!$C:$AA,25,0)-'TRADE IN'!$F337=0,"",(VLOOKUP($C337,REV!$C:$AA,25,0)-'TRADE IN'!$F337))</f>
        <v>3399</v>
      </c>
      <c r="AB337" s="45"/>
      <c r="AC337" s="45"/>
      <c r="AD337" s="45"/>
      <c r="AE337" s="45"/>
      <c r="AF337" s="45"/>
      <c r="AG337" s="45"/>
      <c r="AH337" s="45"/>
      <c r="AI337" s="45"/>
      <c r="AJ337" s="45"/>
      <c r="AK337" s="45"/>
      <c r="AL337" s="45"/>
      <c r="AM337" s="45"/>
      <c r="AN337" s="45"/>
      <c r="AO337" s="45"/>
      <c r="AP337" s="45"/>
      <c r="AQ337" s="45"/>
      <c r="AR337" s="45"/>
      <c r="AS337" s="45"/>
      <c r="AT337" s="45"/>
      <c r="AU337" s="45"/>
      <c r="AV337" s="47"/>
      <c r="AW337" s="48" t="str">
        <f>REV!AW337</f>
        <v>13.08.2026</v>
      </c>
      <c r="AX337" s="149" t="s">
        <v>68</v>
      </c>
    </row>
    <row r="338" spans="1:50" ht="22.5" customHeight="1">
      <c r="A338" s="41" t="s">
        <v>63</v>
      </c>
      <c r="B338" s="42" t="s">
        <v>64</v>
      </c>
      <c r="C338" s="43">
        <v>4015313</v>
      </c>
      <c r="D338" s="56" t="s">
        <v>509</v>
      </c>
      <c r="E338" s="56" t="s">
        <v>513</v>
      </c>
      <c r="F338" s="45">
        <v>100</v>
      </c>
      <c r="G338" s="45"/>
      <c r="H338" s="45"/>
      <c r="I338" s="45"/>
      <c r="J338" s="46">
        <f>IF(VLOOKUP($C338,REV!$C:$AA,8,0)-'TRADE IN'!$F338=0,"",(VLOOKUP($C338,REV!$C:$AA,8,0)-'TRADE IN'!$F338))</f>
        <v>4899</v>
      </c>
      <c r="K338" s="46">
        <f>IF(VLOOKUP($C338,REV!$C:$AA,9,0)-'TRADE IN'!$F338=0,"",(VLOOKUP($C338,REV!$C:$AA,9,0)-'TRADE IN'!$F338))</f>
        <v>4799</v>
      </c>
      <c r="L338" s="46">
        <f>IF(VLOOKUP($C338,REV!$C:$AA,10,0)-'TRADE IN'!$F338=0,"",(VLOOKUP($C338,REV!$C:$AA,10,0)-'TRADE IN'!$F338))</f>
        <v>4799</v>
      </c>
      <c r="M338" s="46">
        <f>IF(VLOOKUP($C338,REV!$C:$AA,11,0)-'TRADE IN'!$F338=0,"",(VLOOKUP($C338,REV!$C:$AA,11,0)-'TRADE IN'!$F338))</f>
        <v>4899</v>
      </c>
      <c r="N338" s="46">
        <f>IF(VLOOKUP($C338,REV!$C:$AA,12,0)-'TRADE IN'!$F338=0,"",(VLOOKUP($C338,REV!$C:$AA,12,0)-'TRADE IN'!$F338))</f>
        <v>4899</v>
      </c>
      <c r="O338" s="46">
        <f>IF(VLOOKUP($C338,REV!$C:$AA,13,0)-'TRADE IN'!$F338=0,"",(VLOOKUP($C338,REV!$C:$AA,13,0)-'TRADE IN'!$F338))</f>
        <v>4699</v>
      </c>
      <c r="P338" s="46">
        <f>IF(VLOOKUP($C338,REV!$C:$AA,14,0)-'TRADE IN'!$F338=0,"",(VLOOKUP($C338,REV!$C:$AA,14,0)-'TRADE IN'!$F338))</f>
        <v>4599</v>
      </c>
      <c r="Q338" s="46">
        <f>IF(VLOOKUP($C338,REV!$C:$AA,15,0)-'TRADE IN'!$F338=0,"",(VLOOKUP($C338,REV!$C:$AA,15,0)-'TRADE IN'!$F338))</f>
        <v>3699</v>
      </c>
      <c r="R338" s="46">
        <f>IF(VLOOKUP($C338,REV!$C:$AA,16,0)-'TRADE IN'!$F338=0,"",(VLOOKUP($C338,REV!$C:$AA,16,0)-'TRADE IN'!$F338))</f>
        <v>4699</v>
      </c>
      <c r="S338" s="46">
        <f>IF(VLOOKUP($C338,REV!$C:$AA,17,0)-'TRADE IN'!$F338=0,"",(VLOOKUP($C338,REV!$C:$AA,17,0)-'TRADE IN'!$F338))</f>
        <v>4599</v>
      </c>
      <c r="T338" s="46">
        <f>IF(VLOOKUP($C338,REV!$C:$AA,18,0)-'TRADE IN'!$F338=0,"",(VLOOKUP($C338,REV!$C:$AA,18,0)-'TRADE IN'!$F338))</f>
        <v>3699</v>
      </c>
      <c r="U338" s="46">
        <f>IF(VLOOKUP($C338,REV!$C:$AA,19,0)-'TRADE IN'!$F338=0,"",(VLOOKUP($C338,REV!$C:$AA,19,0)-'TRADE IN'!$F338))</f>
        <v>3699</v>
      </c>
      <c r="V338" s="46">
        <f>IF(VLOOKUP($C338,REV!$C:$AA,20,0)-'TRADE IN'!$F338=0,"",(VLOOKUP($C338,REV!$C:$AA,20,0)-'TRADE IN'!$F338))</f>
        <v>3699</v>
      </c>
      <c r="W338" s="46">
        <f>IF(VLOOKUP($C338,REV!$C:$AA,21,0)-'TRADE IN'!$F338=0,"",(VLOOKUP($C338,REV!$C:$AA,21,0)-'TRADE IN'!$F338))</f>
        <v>3699</v>
      </c>
      <c r="X338" s="46">
        <f>IF(VLOOKUP($C338,REV!$C:$AA,22,0)-'TRADE IN'!$F338=0,"",(VLOOKUP($C338,REV!$C:$AA,22,0)-'TRADE IN'!$F338))</f>
        <v>3599</v>
      </c>
      <c r="Y338" s="46">
        <f>IF(VLOOKUP($C338,REV!$C:$AA,23,0)-'TRADE IN'!$F338=0,"",(VLOOKUP($C338,REV!$C:$AA,23,0)-'TRADE IN'!$F338))</f>
        <v>3399</v>
      </c>
      <c r="Z338" s="46">
        <f>IF(VLOOKUP($C338,REV!$C:$AA,24,0)-'TRADE IN'!$F338=0,"",(VLOOKUP($C338,REV!$C:$AA,24,0)-'TRADE IN'!$F338))</f>
        <v>3399</v>
      </c>
      <c r="AA338" s="46">
        <f>IF(VLOOKUP($C338,REV!$C:$AA,25,0)-'TRADE IN'!$F338=0,"",(VLOOKUP($C338,REV!$C:$AA,25,0)-'TRADE IN'!$F338))</f>
        <v>3399</v>
      </c>
      <c r="AB338" s="45"/>
      <c r="AC338" s="45"/>
      <c r="AD338" s="45"/>
      <c r="AE338" s="45"/>
      <c r="AF338" s="45"/>
      <c r="AG338" s="45"/>
      <c r="AH338" s="45"/>
      <c r="AI338" s="45"/>
      <c r="AJ338" s="45"/>
      <c r="AK338" s="45"/>
      <c r="AL338" s="45"/>
      <c r="AM338" s="45"/>
      <c r="AN338" s="45"/>
      <c r="AO338" s="45"/>
      <c r="AP338" s="45"/>
      <c r="AQ338" s="45"/>
      <c r="AR338" s="45"/>
      <c r="AS338" s="45"/>
      <c r="AT338" s="45"/>
      <c r="AU338" s="45"/>
      <c r="AV338" s="47"/>
      <c r="AW338" s="48" t="str">
        <f>REV!AW338</f>
        <v>13.08.2026</v>
      </c>
      <c r="AX338" s="149" t="s">
        <v>68</v>
      </c>
    </row>
    <row r="339" spans="1:50" ht="22.5" customHeight="1">
      <c r="A339" s="41" t="s">
        <v>63</v>
      </c>
      <c r="B339" s="42" t="s">
        <v>64</v>
      </c>
      <c r="C339" s="43">
        <v>4015297</v>
      </c>
      <c r="D339" s="56" t="s">
        <v>509</v>
      </c>
      <c r="E339" s="56" t="s">
        <v>514</v>
      </c>
      <c r="F339" s="45">
        <v>100</v>
      </c>
      <c r="G339" s="45"/>
      <c r="H339" s="45"/>
      <c r="I339" s="45"/>
      <c r="J339" s="46">
        <f>IF(VLOOKUP($C339,REV!$C:$AA,8,0)-'TRADE IN'!$F339=0,"",(VLOOKUP($C339,REV!$C:$AA,8,0)-'TRADE IN'!$F339))</f>
        <v>4899</v>
      </c>
      <c r="K339" s="46">
        <f>IF(VLOOKUP($C339,REV!$C:$AA,9,0)-'TRADE IN'!$F339=0,"",(VLOOKUP($C339,REV!$C:$AA,9,0)-'TRADE IN'!$F339))</f>
        <v>4799</v>
      </c>
      <c r="L339" s="46">
        <f>IF(VLOOKUP($C339,REV!$C:$AA,10,0)-'TRADE IN'!$F339=0,"",(VLOOKUP($C339,REV!$C:$AA,10,0)-'TRADE IN'!$F339))</f>
        <v>4799</v>
      </c>
      <c r="M339" s="46">
        <f>IF(VLOOKUP($C339,REV!$C:$AA,11,0)-'TRADE IN'!$F339=0,"",(VLOOKUP($C339,REV!$C:$AA,11,0)-'TRADE IN'!$F339))</f>
        <v>4899</v>
      </c>
      <c r="N339" s="46">
        <f>IF(VLOOKUP($C339,REV!$C:$AA,12,0)-'TRADE IN'!$F339=0,"",(VLOOKUP($C339,REV!$C:$AA,12,0)-'TRADE IN'!$F339))</f>
        <v>4899</v>
      </c>
      <c r="O339" s="46">
        <f>IF(VLOOKUP($C339,REV!$C:$AA,13,0)-'TRADE IN'!$F339=0,"",(VLOOKUP($C339,REV!$C:$AA,13,0)-'TRADE IN'!$F339))</f>
        <v>4699</v>
      </c>
      <c r="P339" s="46">
        <f>IF(VLOOKUP($C339,REV!$C:$AA,14,0)-'TRADE IN'!$F339=0,"",(VLOOKUP($C339,REV!$C:$AA,14,0)-'TRADE IN'!$F339))</f>
        <v>4599</v>
      </c>
      <c r="Q339" s="46">
        <f>IF(VLOOKUP($C339,REV!$C:$AA,15,0)-'TRADE IN'!$F339=0,"",(VLOOKUP($C339,REV!$C:$AA,15,0)-'TRADE IN'!$F339))</f>
        <v>3699</v>
      </c>
      <c r="R339" s="46">
        <f>IF(VLOOKUP($C339,REV!$C:$AA,16,0)-'TRADE IN'!$F339=0,"",(VLOOKUP($C339,REV!$C:$AA,16,0)-'TRADE IN'!$F339))</f>
        <v>4699</v>
      </c>
      <c r="S339" s="46">
        <f>IF(VLOOKUP($C339,REV!$C:$AA,17,0)-'TRADE IN'!$F339=0,"",(VLOOKUP($C339,REV!$C:$AA,17,0)-'TRADE IN'!$F339))</f>
        <v>4599</v>
      </c>
      <c r="T339" s="46">
        <f>IF(VLOOKUP($C339,REV!$C:$AA,18,0)-'TRADE IN'!$F339=0,"",(VLOOKUP($C339,REV!$C:$AA,18,0)-'TRADE IN'!$F339))</f>
        <v>3699</v>
      </c>
      <c r="U339" s="46">
        <f>IF(VLOOKUP($C339,REV!$C:$AA,19,0)-'TRADE IN'!$F339=0,"",(VLOOKUP($C339,REV!$C:$AA,19,0)-'TRADE IN'!$F339))</f>
        <v>3699</v>
      </c>
      <c r="V339" s="46">
        <f>IF(VLOOKUP($C339,REV!$C:$AA,20,0)-'TRADE IN'!$F339=0,"",(VLOOKUP($C339,REV!$C:$AA,20,0)-'TRADE IN'!$F339))</f>
        <v>3699</v>
      </c>
      <c r="W339" s="46">
        <f>IF(VLOOKUP($C339,REV!$C:$AA,21,0)-'TRADE IN'!$F339=0,"",(VLOOKUP($C339,REV!$C:$AA,21,0)-'TRADE IN'!$F339))</f>
        <v>3699</v>
      </c>
      <c r="X339" s="46">
        <f>IF(VLOOKUP($C339,REV!$C:$AA,22,0)-'TRADE IN'!$F339=0,"",(VLOOKUP($C339,REV!$C:$AA,22,0)-'TRADE IN'!$F339))</f>
        <v>3599</v>
      </c>
      <c r="Y339" s="46">
        <f>IF(VLOOKUP($C339,REV!$C:$AA,23,0)-'TRADE IN'!$F339=0,"",(VLOOKUP($C339,REV!$C:$AA,23,0)-'TRADE IN'!$F339))</f>
        <v>3399</v>
      </c>
      <c r="Z339" s="46">
        <f>IF(VLOOKUP($C339,REV!$C:$AA,24,0)-'TRADE IN'!$F339=0,"",(VLOOKUP($C339,REV!$C:$AA,24,0)-'TRADE IN'!$F339))</f>
        <v>3399</v>
      </c>
      <c r="AA339" s="46">
        <f>IF(VLOOKUP($C339,REV!$C:$AA,25,0)-'TRADE IN'!$F339=0,"",(VLOOKUP($C339,REV!$C:$AA,25,0)-'TRADE IN'!$F339))</f>
        <v>3399</v>
      </c>
      <c r="AB339" s="45"/>
      <c r="AC339" s="45"/>
      <c r="AD339" s="45"/>
      <c r="AE339" s="45"/>
      <c r="AF339" s="45"/>
      <c r="AG339" s="45"/>
      <c r="AH339" s="45"/>
      <c r="AI339" s="45"/>
      <c r="AJ339" s="45"/>
      <c r="AK339" s="45"/>
      <c r="AL339" s="45"/>
      <c r="AM339" s="45"/>
      <c r="AN339" s="45"/>
      <c r="AO339" s="45"/>
      <c r="AP339" s="45"/>
      <c r="AQ339" s="45"/>
      <c r="AR339" s="45"/>
      <c r="AS339" s="45"/>
      <c r="AT339" s="45"/>
      <c r="AU339" s="45"/>
      <c r="AV339" s="47"/>
      <c r="AW339" s="48" t="str">
        <f>REV!AW339</f>
        <v>13.08.2026</v>
      </c>
      <c r="AX339" s="149" t="s">
        <v>68</v>
      </c>
    </row>
    <row r="340" spans="1:50" ht="22.5" customHeight="1">
      <c r="A340" s="41" t="s">
        <v>63</v>
      </c>
      <c r="B340" s="42" t="s">
        <v>64</v>
      </c>
      <c r="C340" s="43">
        <v>4015329</v>
      </c>
      <c r="D340" s="56" t="s">
        <v>509</v>
      </c>
      <c r="E340" s="56" t="s">
        <v>515</v>
      </c>
      <c r="F340" s="45">
        <v>100</v>
      </c>
      <c r="G340" s="45"/>
      <c r="H340" s="45"/>
      <c r="I340" s="45"/>
      <c r="J340" s="46">
        <f>IF(VLOOKUP($C340,REV!$C:$AA,8,0)-'TRADE IN'!$F340=0,"",(VLOOKUP($C340,REV!$C:$AA,8,0)-'TRADE IN'!$F340))</f>
        <v>4899</v>
      </c>
      <c r="K340" s="46">
        <f>IF(VLOOKUP($C340,REV!$C:$AA,9,0)-'TRADE IN'!$F340=0,"",(VLOOKUP($C340,REV!$C:$AA,9,0)-'TRADE IN'!$F340))</f>
        <v>4799</v>
      </c>
      <c r="L340" s="46">
        <f>IF(VLOOKUP($C340,REV!$C:$AA,10,0)-'TRADE IN'!$F340=0,"",(VLOOKUP($C340,REV!$C:$AA,10,0)-'TRADE IN'!$F340))</f>
        <v>4799</v>
      </c>
      <c r="M340" s="46">
        <f>IF(VLOOKUP($C340,REV!$C:$AA,11,0)-'TRADE IN'!$F340=0,"",(VLOOKUP($C340,REV!$C:$AA,11,0)-'TRADE IN'!$F340))</f>
        <v>4899</v>
      </c>
      <c r="N340" s="46">
        <f>IF(VLOOKUP($C340,REV!$C:$AA,12,0)-'TRADE IN'!$F340=0,"",(VLOOKUP($C340,REV!$C:$AA,12,0)-'TRADE IN'!$F340))</f>
        <v>4899</v>
      </c>
      <c r="O340" s="46">
        <f>IF(VLOOKUP($C340,REV!$C:$AA,13,0)-'TRADE IN'!$F340=0,"",(VLOOKUP($C340,REV!$C:$AA,13,0)-'TRADE IN'!$F340))</f>
        <v>4699</v>
      </c>
      <c r="P340" s="46">
        <f>IF(VLOOKUP($C340,REV!$C:$AA,14,0)-'TRADE IN'!$F340=0,"",(VLOOKUP($C340,REV!$C:$AA,14,0)-'TRADE IN'!$F340))</f>
        <v>4599</v>
      </c>
      <c r="Q340" s="46">
        <f>IF(VLOOKUP($C340,REV!$C:$AA,15,0)-'TRADE IN'!$F340=0,"",(VLOOKUP($C340,REV!$C:$AA,15,0)-'TRADE IN'!$F340))</f>
        <v>3699</v>
      </c>
      <c r="R340" s="46">
        <f>IF(VLOOKUP($C340,REV!$C:$AA,16,0)-'TRADE IN'!$F340=0,"",(VLOOKUP($C340,REV!$C:$AA,16,0)-'TRADE IN'!$F340))</f>
        <v>4699</v>
      </c>
      <c r="S340" s="46">
        <f>IF(VLOOKUP($C340,REV!$C:$AA,17,0)-'TRADE IN'!$F340=0,"",(VLOOKUP($C340,REV!$C:$AA,17,0)-'TRADE IN'!$F340))</f>
        <v>4599</v>
      </c>
      <c r="T340" s="46">
        <f>IF(VLOOKUP($C340,REV!$C:$AA,18,0)-'TRADE IN'!$F340=0,"",(VLOOKUP($C340,REV!$C:$AA,18,0)-'TRADE IN'!$F340))</f>
        <v>3699</v>
      </c>
      <c r="U340" s="46">
        <f>IF(VLOOKUP($C340,REV!$C:$AA,19,0)-'TRADE IN'!$F340=0,"",(VLOOKUP($C340,REV!$C:$AA,19,0)-'TRADE IN'!$F340))</f>
        <v>3699</v>
      </c>
      <c r="V340" s="46">
        <f>IF(VLOOKUP($C340,REV!$C:$AA,20,0)-'TRADE IN'!$F340=0,"",(VLOOKUP($C340,REV!$C:$AA,20,0)-'TRADE IN'!$F340))</f>
        <v>3699</v>
      </c>
      <c r="W340" s="46">
        <f>IF(VLOOKUP($C340,REV!$C:$AA,21,0)-'TRADE IN'!$F340=0,"",(VLOOKUP($C340,REV!$C:$AA,21,0)-'TRADE IN'!$F340))</f>
        <v>3699</v>
      </c>
      <c r="X340" s="46">
        <f>IF(VLOOKUP($C340,REV!$C:$AA,22,0)-'TRADE IN'!$F340=0,"",(VLOOKUP($C340,REV!$C:$AA,22,0)-'TRADE IN'!$F340))</f>
        <v>3599</v>
      </c>
      <c r="Y340" s="46">
        <f>IF(VLOOKUP($C340,REV!$C:$AA,23,0)-'TRADE IN'!$F340=0,"",(VLOOKUP($C340,REV!$C:$AA,23,0)-'TRADE IN'!$F340))</f>
        <v>3399</v>
      </c>
      <c r="Z340" s="46">
        <f>IF(VLOOKUP($C340,REV!$C:$AA,24,0)-'TRADE IN'!$F340=0,"",(VLOOKUP($C340,REV!$C:$AA,24,0)-'TRADE IN'!$F340))</f>
        <v>3399</v>
      </c>
      <c r="AA340" s="46">
        <f>IF(VLOOKUP($C340,REV!$C:$AA,25,0)-'TRADE IN'!$F340=0,"",(VLOOKUP($C340,REV!$C:$AA,25,0)-'TRADE IN'!$F340))</f>
        <v>3399</v>
      </c>
      <c r="AB340" s="45"/>
      <c r="AC340" s="45"/>
      <c r="AD340" s="45"/>
      <c r="AE340" s="45"/>
      <c r="AF340" s="45"/>
      <c r="AG340" s="45"/>
      <c r="AH340" s="45"/>
      <c r="AI340" s="45"/>
      <c r="AJ340" s="45"/>
      <c r="AK340" s="45"/>
      <c r="AL340" s="45"/>
      <c r="AM340" s="45"/>
      <c r="AN340" s="45"/>
      <c r="AO340" s="45"/>
      <c r="AP340" s="45"/>
      <c r="AQ340" s="45"/>
      <c r="AR340" s="45"/>
      <c r="AS340" s="45"/>
      <c r="AT340" s="45"/>
      <c r="AU340" s="45"/>
      <c r="AV340" s="47"/>
      <c r="AW340" s="48" t="str">
        <f>REV!AW340</f>
        <v>13.08.2026</v>
      </c>
      <c r="AX340" s="149" t="s">
        <v>68</v>
      </c>
    </row>
    <row r="341" spans="1:50" ht="22.5" customHeight="1">
      <c r="A341" s="41" t="s">
        <v>63</v>
      </c>
      <c r="B341" s="42" t="s">
        <v>64</v>
      </c>
      <c r="C341" s="43">
        <v>4015305</v>
      </c>
      <c r="D341" s="56" t="s">
        <v>509</v>
      </c>
      <c r="E341" s="56" t="s">
        <v>516</v>
      </c>
      <c r="F341" s="45">
        <v>100</v>
      </c>
      <c r="G341" s="45"/>
      <c r="H341" s="45"/>
      <c r="I341" s="45"/>
      <c r="J341" s="46">
        <f>IF(VLOOKUP($C341,REV!$C:$AA,8,0)-'TRADE IN'!$F341=0,"",(VLOOKUP($C341,REV!$C:$AA,8,0)-'TRADE IN'!$F341))</f>
        <v>4899</v>
      </c>
      <c r="K341" s="46">
        <f>IF(VLOOKUP($C341,REV!$C:$AA,9,0)-'TRADE IN'!$F341=0,"",(VLOOKUP($C341,REV!$C:$AA,9,0)-'TRADE IN'!$F341))</f>
        <v>4799</v>
      </c>
      <c r="L341" s="46">
        <f>IF(VLOOKUP($C341,REV!$C:$AA,10,0)-'TRADE IN'!$F341=0,"",(VLOOKUP($C341,REV!$C:$AA,10,0)-'TRADE IN'!$F341))</f>
        <v>4799</v>
      </c>
      <c r="M341" s="46">
        <f>IF(VLOOKUP($C341,REV!$C:$AA,11,0)-'TRADE IN'!$F341=0,"",(VLOOKUP($C341,REV!$C:$AA,11,0)-'TRADE IN'!$F341))</f>
        <v>4899</v>
      </c>
      <c r="N341" s="46">
        <f>IF(VLOOKUP($C341,REV!$C:$AA,12,0)-'TRADE IN'!$F341=0,"",(VLOOKUP($C341,REV!$C:$AA,12,0)-'TRADE IN'!$F341))</f>
        <v>4899</v>
      </c>
      <c r="O341" s="46">
        <f>IF(VLOOKUP($C341,REV!$C:$AA,13,0)-'TRADE IN'!$F341=0,"",(VLOOKUP($C341,REV!$C:$AA,13,0)-'TRADE IN'!$F341))</f>
        <v>4699</v>
      </c>
      <c r="P341" s="46">
        <f>IF(VLOOKUP($C341,REV!$C:$AA,14,0)-'TRADE IN'!$F341=0,"",(VLOOKUP($C341,REV!$C:$AA,14,0)-'TRADE IN'!$F341))</f>
        <v>4599</v>
      </c>
      <c r="Q341" s="46">
        <f>IF(VLOOKUP($C341,REV!$C:$AA,15,0)-'TRADE IN'!$F341=0,"",(VLOOKUP($C341,REV!$C:$AA,15,0)-'TRADE IN'!$F341))</f>
        <v>3699</v>
      </c>
      <c r="R341" s="46">
        <f>IF(VLOOKUP($C341,REV!$C:$AA,16,0)-'TRADE IN'!$F341=0,"",(VLOOKUP($C341,REV!$C:$AA,16,0)-'TRADE IN'!$F341))</f>
        <v>4699</v>
      </c>
      <c r="S341" s="46">
        <f>IF(VLOOKUP($C341,REV!$C:$AA,17,0)-'TRADE IN'!$F341=0,"",(VLOOKUP($C341,REV!$C:$AA,17,0)-'TRADE IN'!$F341))</f>
        <v>4599</v>
      </c>
      <c r="T341" s="46">
        <f>IF(VLOOKUP($C341,REV!$C:$AA,18,0)-'TRADE IN'!$F341=0,"",(VLOOKUP($C341,REV!$C:$AA,18,0)-'TRADE IN'!$F341))</f>
        <v>3699</v>
      </c>
      <c r="U341" s="46">
        <f>IF(VLOOKUP($C341,REV!$C:$AA,19,0)-'TRADE IN'!$F341=0,"",(VLOOKUP($C341,REV!$C:$AA,19,0)-'TRADE IN'!$F341))</f>
        <v>3699</v>
      </c>
      <c r="V341" s="46">
        <f>IF(VLOOKUP($C341,REV!$C:$AA,20,0)-'TRADE IN'!$F341=0,"",(VLOOKUP($C341,REV!$C:$AA,20,0)-'TRADE IN'!$F341))</f>
        <v>3699</v>
      </c>
      <c r="W341" s="46">
        <f>IF(VLOOKUP($C341,REV!$C:$AA,21,0)-'TRADE IN'!$F341=0,"",(VLOOKUP($C341,REV!$C:$AA,21,0)-'TRADE IN'!$F341))</f>
        <v>3699</v>
      </c>
      <c r="X341" s="46">
        <f>IF(VLOOKUP($C341,REV!$C:$AA,22,0)-'TRADE IN'!$F341=0,"",(VLOOKUP($C341,REV!$C:$AA,22,0)-'TRADE IN'!$F341))</f>
        <v>3599</v>
      </c>
      <c r="Y341" s="46">
        <f>IF(VLOOKUP($C341,REV!$C:$AA,23,0)-'TRADE IN'!$F341=0,"",(VLOOKUP($C341,REV!$C:$AA,23,0)-'TRADE IN'!$F341))</f>
        <v>3399</v>
      </c>
      <c r="Z341" s="46">
        <f>IF(VLOOKUP($C341,REV!$C:$AA,24,0)-'TRADE IN'!$F341=0,"",(VLOOKUP($C341,REV!$C:$AA,24,0)-'TRADE IN'!$F341))</f>
        <v>3399</v>
      </c>
      <c r="AA341" s="46">
        <f>IF(VLOOKUP($C341,REV!$C:$AA,25,0)-'TRADE IN'!$F341=0,"",(VLOOKUP($C341,REV!$C:$AA,25,0)-'TRADE IN'!$F341))</f>
        <v>3399</v>
      </c>
      <c r="AB341" s="45"/>
      <c r="AC341" s="45"/>
      <c r="AD341" s="45"/>
      <c r="AE341" s="45"/>
      <c r="AF341" s="45"/>
      <c r="AG341" s="45"/>
      <c r="AH341" s="45"/>
      <c r="AI341" s="45"/>
      <c r="AJ341" s="45"/>
      <c r="AK341" s="45"/>
      <c r="AL341" s="45"/>
      <c r="AM341" s="45"/>
      <c r="AN341" s="45"/>
      <c r="AO341" s="45"/>
      <c r="AP341" s="45"/>
      <c r="AQ341" s="45"/>
      <c r="AR341" s="45"/>
      <c r="AS341" s="45"/>
      <c r="AT341" s="45"/>
      <c r="AU341" s="45"/>
      <c r="AV341" s="47"/>
      <c r="AW341" s="48" t="str">
        <f>REV!AW341</f>
        <v>13.08.2026</v>
      </c>
      <c r="AX341" s="149" t="s">
        <v>68</v>
      </c>
    </row>
    <row r="342" spans="1:50" ht="22.5" customHeight="1">
      <c r="A342" s="41" t="s">
        <v>63</v>
      </c>
      <c r="B342" s="42" t="s">
        <v>64</v>
      </c>
      <c r="C342" s="43">
        <v>4015337</v>
      </c>
      <c r="D342" s="56" t="s">
        <v>509</v>
      </c>
      <c r="E342" s="56" t="s">
        <v>517</v>
      </c>
      <c r="F342" s="45">
        <v>100</v>
      </c>
      <c r="G342" s="45"/>
      <c r="H342" s="45"/>
      <c r="I342" s="45"/>
      <c r="J342" s="46">
        <f>IF(VLOOKUP($C342,REV!$C:$AA,8,0)-'TRADE IN'!$F342=0,"",(VLOOKUP($C342,REV!$C:$AA,8,0)-'TRADE IN'!$F342))</f>
        <v>4899</v>
      </c>
      <c r="K342" s="46">
        <f>IF(VLOOKUP($C342,REV!$C:$AA,9,0)-'TRADE IN'!$F342=0,"",(VLOOKUP($C342,REV!$C:$AA,9,0)-'TRADE IN'!$F342))</f>
        <v>4799</v>
      </c>
      <c r="L342" s="46">
        <f>IF(VLOOKUP($C342,REV!$C:$AA,10,0)-'TRADE IN'!$F342=0,"",(VLOOKUP($C342,REV!$C:$AA,10,0)-'TRADE IN'!$F342))</f>
        <v>4799</v>
      </c>
      <c r="M342" s="46">
        <f>IF(VLOOKUP($C342,REV!$C:$AA,11,0)-'TRADE IN'!$F342=0,"",(VLOOKUP($C342,REV!$C:$AA,11,0)-'TRADE IN'!$F342))</f>
        <v>4899</v>
      </c>
      <c r="N342" s="46">
        <f>IF(VLOOKUP($C342,REV!$C:$AA,12,0)-'TRADE IN'!$F342=0,"",(VLOOKUP($C342,REV!$C:$AA,12,0)-'TRADE IN'!$F342))</f>
        <v>4899</v>
      </c>
      <c r="O342" s="46">
        <f>IF(VLOOKUP($C342,REV!$C:$AA,13,0)-'TRADE IN'!$F342=0,"",(VLOOKUP($C342,REV!$C:$AA,13,0)-'TRADE IN'!$F342))</f>
        <v>4699</v>
      </c>
      <c r="P342" s="46">
        <f>IF(VLOOKUP($C342,REV!$C:$AA,14,0)-'TRADE IN'!$F342=0,"",(VLOOKUP($C342,REV!$C:$AA,14,0)-'TRADE IN'!$F342))</f>
        <v>4599</v>
      </c>
      <c r="Q342" s="46">
        <f>IF(VLOOKUP($C342,REV!$C:$AA,15,0)-'TRADE IN'!$F342=0,"",(VLOOKUP($C342,REV!$C:$AA,15,0)-'TRADE IN'!$F342))</f>
        <v>3699</v>
      </c>
      <c r="R342" s="46">
        <f>IF(VLOOKUP($C342,REV!$C:$AA,16,0)-'TRADE IN'!$F342=0,"",(VLOOKUP($C342,REV!$C:$AA,16,0)-'TRADE IN'!$F342))</f>
        <v>4699</v>
      </c>
      <c r="S342" s="46">
        <f>IF(VLOOKUP($C342,REV!$C:$AA,17,0)-'TRADE IN'!$F342=0,"",(VLOOKUP($C342,REV!$C:$AA,17,0)-'TRADE IN'!$F342))</f>
        <v>4599</v>
      </c>
      <c r="T342" s="46">
        <f>IF(VLOOKUP($C342,REV!$C:$AA,18,0)-'TRADE IN'!$F342=0,"",(VLOOKUP($C342,REV!$C:$AA,18,0)-'TRADE IN'!$F342))</f>
        <v>3699</v>
      </c>
      <c r="U342" s="46">
        <f>IF(VLOOKUP($C342,REV!$C:$AA,19,0)-'TRADE IN'!$F342=0,"",(VLOOKUP($C342,REV!$C:$AA,19,0)-'TRADE IN'!$F342))</f>
        <v>3699</v>
      </c>
      <c r="V342" s="46">
        <f>IF(VLOOKUP($C342,REV!$C:$AA,20,0)-'TRADE IN'!$F342=0,"",(VLOOKUP($C342,REV!$C:$AA,20,0)-'TRADE IN'!$F342))</f>
        <v>3699</v>
      </c>
      <c r="W342" s="46">
        <f>IF(VLOOKUP($C342,REV!$C:$AA,21,0)-'TRADE IN'!$F342=0,"",(VLOOKUP($C342,REV!$C:$AA,21,0)-'TRADE IN'!$F342))</f>
        <v>3699</v>
      </c>
      <c r="X342" s="46">
        <f>IF(VLOOKUP($C342,REV!$C:$AA,22,0)-'TRADE IN'!$F342=0,"",(VLOOKUP($C342,REV!$C:$AA,22,0)-'TRADE IN'!$F342))</f>
        <v>3599</v>
      </c>
      <c r="Y342" s="46">
        <f>IF(VLOOKUP($C342,REV!$C:$AA,23,0)-'TRADE IN'!$F342=0,"",(VLOOKUP($C342,REV!$C:$AA,23,0)-'TRADE IN'!$F342))</f>
        <v>3399</v>
      </c>
      <c r="Z342" s="46">
        <f>IF(VLOOKUP($C342,REV!$C:$AA,24,0)-'TRADE IN'!$F342=0,"",(VLOOKUP($C342,REV!$C:$AA,24,0)-'TRADE IN'!$F342))</f>
        <v>3399</v>
      </c>
      <c r="AA342" s="46">
        <f>IF(VLOOKUP($C342,REV!$C:$AA,25,0)-'TRADE IN'!$F342=0,"",(VLOOKUP($C342,REV!$C:$AA,25,0)-'TRADE IN'!$F342))</f>
        <v>3399</v>
      </c>
      <c r="AB342" s="45"/>
      <c r="AC342" s="45"/>
      <c r="AD342" s="45"/>
      <c r="AE342" s="45"/>
      <c r="AF342" s="45"/>
      <c r="AG342" s="45"/>
      <c r="AH342" s="45"/>
      <c r="AI342" s="45"/>
      <c r="AJ342" s="45"/>
      <c r="AK342" s="45"/>
      <c r="AL342" s="45"/>
      <c r="AM342" s="45"/>
      <c r="AN342" s="45"/>
      <c r="AO342" s="45"/>
      <c r="AP342" s="45"/>
      <c r="AQ342" s="45"/>
      <c r="AR342" s="45"/>
      <c r="AS342" s="45"/>
      <c r="AT342" s="45"/>
      <c r="AU342" s="45"/>
      <c r="AV342" s="47"/>
      <c r="AW342" s="48" t="str">
        <f>REV!AW342</f>
        <v>13.08.2026</v>
      </c>
      <c r="AX342" s="149" t="s">
        <v>68</v>
      </c>
    </row>
    <row r="343" spans="1:50" ht="22.5" customHeight="1">
      <c r="A343" s="41" t="s">
        <v>63</v>
      </c>
      <c r="B343" s="42" t="s">
        <v>64</v>
      </c>
      <c r="C343" s="43">
        <v>4015663</v>
      </c>
      <c r="D343" s="56" t="s">
        <v>518</v>
      </c>
      <c r="E343" s="56" t="s">
        <v>519</v>
      </c>
      <c r="F343" s="45">
        <v>100</v>
      </c>
      <c r="G343" s="45"/>
      <c r="H343" s="45"/>
      <c r="I343" s="45"/>
      <c r="J343" s="46">
        <f>IF(VLOOKUP($C343,REV!$C:$AA,8,0)-'TRADE IN'!$F343=0,"",(VLOOKUP($C343,REV!$C:$AA,8,0)-'TRADE IN'!$F343))</f>
        <v>2699</v>
      </c>
      <c r="K343" s="46">
        <f>IF(VLOOKUP($C343,REV!$C:$AA,9,0)-'TRADE IN'!$F343=0,"",(VLOOKUP($C343,REV!$C:$AA,9,0)-'TRADE IN'!$F343))</f>
        <v>2599</v>
      </c>
      <c r="L343" s="46">
        <f>IF(VLOOKUP($C343,REV!$C:$AA,10,0)-'TRADE IN'!$F343=0,"",(VLOOKUP($C343,REV!$C:$AA,10,0)-'TRADE IN'!$F343))</f>
        <v>2599</v>
      </c>
      <c r="M343" s="46">
        <f>IF(VLOOKUP($C343,REV!$C:$AA,11,0)-'TRADE IN'!$F343=0,"",(VLOOKUP($C343,REV!$C:$AA,11,0)-'TRADE IN'!$F343))</f>
        <v>2699</v>
      </c>
      <c r="N343" s="46">
        <f>IF(VLOOKUP($C343,REV!$C:$AA,12,0)-'TRADE IN'!$F343=0,"",(VLOOKUP($C343,REV!$C:$AA,12,0)-'TRADE IN'!$F343))</f>
        <v>2699</v>
      </c>
      <c r="O343" s="46">
        <f>IF(VLOOKUP($C343,REV!$C:$AA,13,0)-'TRADE IN'!$F343=0,"",(VLOOKUP($C343,REV!$C:$AA,13,0)-'TRADE IN'!$F343))</f>
        <v>2399</v>
      </c>
      <c r="P343" s="46">
        <f>IF(VLOOKUP($C343,REV!$C:$AA,14,0)-'TRADE IN'!$F343=0,"",(VLOOKUP($C343,REV!$C:$AA,14,0)-'TRADE IN'!$F343))</f>
        <v>2199</v>
      </c>
      <c r="Q343" s="46">
        <f>IF(VLOOKUP($C343,REV!$C:$AA,15,0)-'TRADE IN'!$F343=0,"",(VLOOKUP($C343,REV!$C:$AA,15,0)-'TRADE IN'!$F343))</f>
        <v>1399</v>
      </c>
      <c r="R343" s="46">
        <f>IF(VLOOKUP($C343,REV!$C:$AA,16,0)-'TRADE IN'!$F343=0,"",(VLOOKUP($C343,REV!$C:$AA,16,0)-'TRADE IN'!$F343))</f>
        <v>2399</v>
      </c>
      <c r="S343" s="46">
        <f>IF(VLOOKUP($C343,REV!$C:$AA,17,0)-'TRADE IN'!$F343=0,"",(VLOOKUP($C343,REV!$C:$AA,17,0)-'TRADE IN'!$F343))</f>
        <v>2199</v>
      </c>
      <c r="T343" s="46">
        <f>IF(VLOOKUP($C343,REV!$C:$AA,18,0)-'TRADE IN'!$F343=0,"",(VLOOKUP($C343,REV!$C:$AA,18,0)-'TRADE IN'!$F343))</f>
        <v>1399</v>
      </c>
      <c r="U343" s="46">
        <f>IF(VLOOKUP($C343,REV!$C:$AA,19,0)-'TRADE IN'!$F343=0,"",(VLOOKUP($C343,REV!$C:$AA,19,0)-'TRADE IN'!$F343))</f>
        <v>1399</v>
      </c>
      <c r="V343" s="46">
        <f>IF(VLOOKUP($C343,REV!$C:$AA,20,0)-'TRADE IN'!$F343=0,"",(VLOOKUP($C343,REV!$C:$AA,20,0)-'TRADE IN'!$F343))</f>
        <v>1399</v>
      </c>
      <c r="W343" s="46">
        <f>IF(VLOOKUP($C343,REV!$C:$AA,21,0)-'TRADE IN'!$F343=0,"",(VLOOKUP($C343,REV!$C:$AA,21,0)-'TRADE IN'!$F343))</f>
        <v>1399</v>
      </c>
      <c r="X343" s="46">
        <f>IF(VLOOKUP($C343,REV!$C:$AA,22,0)-'TRADE IN'!$F343=0,"",(VLOOKUP($C343,REV!$C:$AA,22,0)-'TRADE IN'!$F343))</f>
        <v>1299</v>
      </c>
      <c r="Y343" s="46">
        <f>IF(VLOOKUP($C343,REV!$C:$AA,23,0)-'TRADE IN'!$F343=0,"",(VLOOKUP($C343,REV!$C:$AA,23,0)-'TRADE IN'!$F343))</f>
        <v>1099</v>
      </c>
      <c r="Z343" s="46">
        <f>IF(VLOOKUP($C343,REV!$C:$AA,24,0)-'TRADE IN'!$F343=0,"",(VLOOKUP($C343,REV!$C:$AA,24,0)-'TRADE IN'!$F343))</f>
        <v>1099</v>
      </c>
      <c r="AA343" s="46">
        <f>IF(VLOOKUP($C343,REV!$C:$AA,25,0)-'TRADE IN'!$F343=0,"",(VLOOKUP($C343,REV!$C:$AA,25,0)-'TRADE IN'!$F343))</f>
        <v>1099</v>
      </c>
      <c r="AB343" s="45"/>
      <c r="AC343" s="45"/>
      <c r="AD343" s="45"/>
      <c r="AE343" s="45"/>
      <c r="AF343" s="45"/>
      <c r="AG343" s="45"/>
      <c r="AH343" s="45"/>
      <c r="AI343" s="45"/>
      <c r="AJ343" s="45"/>
      <c r="AK343" s="45"/>
      <c r="AL343" s="45"/>
      <c r="AM343" s="45"/>
      <c r="AN343" s="45"/>
      <c r="AO343" s="45"/>
      <c r="AP343" s="45"/>
      <c r="AQ343" s="45"/>
      <c r="AR343" s="45"/>
      <c r="AS343" s="45"/>
      <c r="AT343" s="45"/>
      <c r="AU343" s="45"/>
      <c r="AV343" s="47"/>
      <c r="AW343" s="48" t="str">
        <f>REV!AW343</f>
        <v>13.08.2026</v>
      </c>
      <c r="AX343" s="149" t="s">
        <v>68</v>
      </c>
    </row>
    <row r="344" spans="1:50" ht="22.5" customHeight="1">
      <c r="A344" s="41" t="s">
        <v>63</v>
      </c>
      <c r="B344" s="42" t="s">
        <v>64</v>
      </c>
      <c r="C344" s="43">
        <v>4015665</v>
      </c>
      <c r="D344" s="56" t="s">
        <v>518</v>
      </c>
      <c r="E344" s="56" t="s">
        <v>520</v>
      </c>
      <c r="F344" s="45">
        <v>100</v>
      </c>
      <c r="G344" s="45"/>
      <c r="H344" s="45"/>
      <c r="I344" s="45"/>
      <c r="J344" s="46">
        <f>IF(VLOOKUP($C344,REV!$C:$AA,8,0)-'TRADE IN'!$F344=0,"",(VLOOKUP($C344,REV!$C:$AA,8,0)-'TRADE IN'!$F344))</f>
        <v>2699</v>
      </c>
      <c r="K344" s="46">
        <f>IF(VLOOKUP($C344,REV!$C:$AA,9,0)-'TRADE IN'!$F344=0,"",(VLOOKUP($C344,REV!$C:$AA,9,0)-'TRADE IN'!$F344))</f>
        <v>2599</v>
      </c>
      <c r="L344" s="46">
        <f>IF(VLOOKUP($C344,REV!$C:$AA,10,0)-'TRADE IN'!$F344=0,"",(VLOOKUP($C344,REV!$C:$AA,10,0)-'TRADE IN'!$F344))</f>
        <v>2599</v>
      </c>
      <c r="M344" s="46">
        <f>IF(VLOOKUP($C344,REV!$C:$AA,11,0)-'TRADE IN'!$F344=0,"",(VLOOKUP($C344,REV!$C:$AA,11,0)-'TRADE IN'!$F344))</f>
        <v>2699</v>
      </c>
      <c r="N344" s="46">
        <f>IF(VLOOKUP($C344,REV!$C:$AA,12,0)-'TRADE IN'!$F344=0,"",(VLOOKUP($C344,REV!$C:$AA,12,0)-'TRADE IN'!$F344))</f>
        <v>2699</v>
      </c>
      <c r="O344" s="46">
        <f>IF(VLOOKUP($C344,REV!$C:$AA,13,0)-'TRADE IN'!$F344=0,"",(VLOOKUP($C344,REV!$C:$AA,13,0)-'TRADE IN'!$F344))</f>
        <v>2399</v>
      </c>
      <c r="P344" s="46">
        <f>IF(VLOOKUP($C344,REV!$C:$AA,14,0)-'TRADE IN'!$F344=0,"",(VLOOKUP($C344,REV!$C:$AA,14,0)-'TRADE IN'!$F344))</f>
        <v>2199</v>
      </c>
      <c r="Q344" s="46">
        <f>IF(VLOOKUP($C344,REV!$C:$AA,15,0)-'TRADE IN'!$F344=0,"",(VLOOKUP($C344,REV!$C:$AA,15,0)-'TRADE IN'!$F344))</f>
        <v>1399</v>
      </c>
      <c r="R344" s="46">
        <f>IF(VLOOKUP($C344,REV!$C:$AA,16,0)-'TRADE IN'!$F344=0,"",(VLOOKUP($C344,REV!$C:$AA,16,0)-'TRADE IN'!$F344))</f>
        <v>2399</v>
      </c>
      <c r="S344" s="46">
        <f>IF(VLOOKUP($C344,REV!$C:$AA,17,0)-'TRADE IN'!$F344=0,"",(VLOOKUP($C344,REV!$C:$AA,17,0)-'TRADE IN'!$F344))</f>
        <v>2199</v>
      </c>
      <c r="T344" s="46">
        <f>IF(VLOOKUP($C344,REV!$C:$AA,18,0)-'TRADE IN'!$F344=0,"",(VLOOKUP($C344,REV!$C:$AA,18,0)-'TRADE IN'!$F344))</f>
        <v>1399</v>
      </c>
      <c r="U344" s="46">
        <f>IF(VLOOKUP($C344,REV!$C:$AA,19,0)-'TRADE IN'!$F344=0,"",(VLOOKUP($C344,REV!$C:$AA,19,0)-'TRADE IN'!$F344))</f>
        <v>1399</v>
      </c>
      <c r="V344" s="46">
        <f>IF(VLOOKUP($C344,REV!$C:$AA,20,0)-'TRADE IN'!$F344=0,"",(VLOOKUP($C344,REV!$C:$AA,20,0)-'TRADE IN'!$F344))</f>
        <v>1399</v>
      </c>
      <c r="W344" s="46">
        <f>IF(VLOOKUP($C344,REV!$C:$AA,21,0)-'TRADE IN'!$F344=0,"",(VLOOKUP($C344,REV!$C:$AA,21,0)-'TRADE IN'!$F344))</f>
        <v>1399</v>
      </c>
      <c r="X344" s="46">
        <f>IF(VLOOKUP($C344,REV!$C:$AA,22,0)-'TRADE IN'!$F344=0,"",(VLOOKUP($C344,REV!$C:$AA,22,0)-'TRADE IN'!$F344))</f>
        <v>1299</v>
      </c>
      <c r="Y344" s="46">
        <f>IF(VLOOKUP($C344,REV!$C:$AA,23,0)-'TRADE IN'!$F344=0,"",(VLOOKUP($C344,REV!$C:$AA,23,0)-'TRADE IN'!$F344))</f>
        <v>1099</v>
      </c>
      <c r="Z344" s="46">
        <f>IF(VLOOKUP($C344,REV!$C:$AA,24,0)-'TRADE IN'!$F344=0,"",(VLOOKUP($C344,REV!$C:$AA,24,0)-'TRADE IN'!$F344))</f>
        <v>1099</v>
      </c>
      <c r="AA344" s="46">
        <f>IF(VLOOKUP($C344,REV!$C:$AA,25,0)-'TRADE IN'!$F344=0,"",(VLOOKUP($C344,REV!$C:$AA,25,0)-'TRADE IN'!$F344))</f>
        <v>1099</v>
      </c>
      <c r="AB344" s="45"/>
      <c r="AC344" s="45"/>
      <c r="AD344" s="45"/>
      <c r="AE344" s="45"/>
      <c r="AF344" s="45"/>
      <c r="AG344" s="45"/>
      <c r="AH344" s="45"/>
      <c r="AI344" s="45"/>
      <c r="AJ344" s="45"/>
      <c r="AK344" s="45"/>
      <c r="AL344" s="45"/>
      <c r="AM344" s="45"/>
      <c r="AN344" s="45"/>
      <c r="AO344" s="45"/>
      <c r="AP344" s="45"/>
      <c r="AQ344" s="45"/>
      <c r="AR344" s="45"/>
      <c r="AS344" s="45"/>
      <c r="AT344" s="45"/>
      <c r="AU344" s="45"/>
      <c r="AV344" s="47"/>
      <c r="AW344" s="48" t="str">
        <f>REV!AW344</f>
        <v>13.08.2026</v>
      </c>
      <c r="AX344" s="149" t="s">
        <v>68</v>
      </c>
    </row>
    <row r="345" spans="1:50" ht="22.5" customHeight="1">
      <c r="A345" s="41" t="s">
        <v>63</v>
      </c>
      <c r="B345" s="42" t="s">
        <v>64</v>
      </c>
      <c r="C345" s="43">
        <v>4015666</v>
      </c>
      <c r="D345" s="56" t="s">
        <v>518</v>
      </c>
      <c r="E345" s="56" t="s">
        <v>521</v>
      </c>
      <c r="F345" s="45">
        <v>100</v>
      </c>
      <c r="G345" s="45"/>
      <c r="H345" s="45"/>
      <c r="I345" s="45"/>
      <c r="J345" s="46">
        <f>IF(VLOOKUP($C345,REV!$C:$AA,8,0)-'TRADE IN'!$F345=0,"",(VLOOKUP($C345,REV!$C:$AA,8,0)-'TRADE IN'!$F345))</f>
        <v>2699</v>
      </c>
      <c r="K345" s="46">
        <f>IF(VLOOKUP($C345,REV!$C:$AA,9,0)-'TRADE IN'!$F345=0,"",(VLOOKUP($C345,REV!$C:$AA,9,0)-'TRADE IN'!$F345))</f>
        <v>2599</v>
      </c>
      <c r="L345" s="46">
        <f>IF(VLOOKUP($C345,REV!$C:$AA,10,0)-'TRADE IN'!$F345=0,"",(VLOOKUP($C345,REV!$C:$AA,10,0)-'TRADE IN'!$F345))</f>
        <v>2599</v>
      </c>
      <c r="M345" s="46">
        <f>IF(VLOOKUP($C345,REV!$C:$AA,11,0)-'TRADE IN'!$F345=0,"",(VLOOKUP($C345,REV!$C:$AA,11,0)-'TRADE IN'!$F345))</f>
        <v>2699</v>
      </c>
      <c r="N345" s="46">
        <f>IF(VLOOKUP($C345,REV!$C:$AA,12,0)-'TRADE IN'!$F345=0,"",(VLOOKUP($C345,REV!$C:$AA,12,0)-'TRADE IN'!$F345))</f>
        <v>2699</v>
      </c>
      <c r="O345" s="46">
        <f>IF(VLOOKUP($C345,REV!$C:$AA,13,0)-'TRADE IN'!$F345=0,"",(VLOOKUP($C345,REV!$C:$AA,13,0)-'TRADE IN'!$F345))</f>
        <v>2399</v>
      </c>
      <c r="P345" s="46">
        <f>IF(VLOOKUP($C345,REV!$C:$AA,14,0)-'TRADE IN'!$F345=0,"",(VLOOKUP($C345,REV!$C:$AA,14,0)-'TRADE IN'!$F345))</f>
        <v>2199</v>
      </c>
      <c r="Q345" s="46">
        <f>IF(VLOOKUP($C345,REV!$C:$AA,15,0)-'TRADE IN'!$F345=0,"",(VLOOKUP($C345,REV!$C:$AA,15,0)-'TRADE IN'!$F345))</f>
        <v>1399</v>
      </c>
      <c r="R345" s="46">
        <f>IF(VLOOKUP($C345,REV!$C:$AA,16,0)-'TRADE IN'!$F345=0,"",(VLOOKUP($C345,REV!$C:$AA,16,0)-'TRADE IN'!$F345))</f>
        <v>2399</v>
      </c>
      <c r="S345" s="46">
        <f>IF(VLOOKUP($C345,REV!$C:$AA,17,0)-'TRADE IN'!$F345=0,"",(VLOOKUP($C345,REV!$C:$AA,17,0)-'TRADE IN'!$F345))</f>
        <v>2199</v>
      </c>
      <c r="T345" s="46">
        <f>IF(VLOOKUP($C345,REV!$C:$AA,18,0)-'TRADE IN'!$F345=0,"",(VLOOKUP($C345,REV!$C:$AA,18,0)-'TRADE IN'!$F345))</f>
        <v>1399</v>
      </c>
      <c r="U345" s="46">
        <f>IF(VLOOKUP($C345,REV!$C:$AA,19,0)-'TRADE IN'!$F345=0,"",(VLOOKUP($C345,REV!$C:$AA,19,0)-'TRADE IN'!$F345))</f>
        <v>1399</v>
      </c>
      <c r="V345" s="46">
        <f>IF(VLOOKUP($C345,REV!$C:$AA,20,0)-'TRADE IN'!$F345=0,"",(VLOOKUP($C345,REV!$C:$AA,20,0)-'TRADE IN'!$F345))</f>
        <v>1399</v>
      </c>
      <c r="W345" s="46">
        <f>IF(VLOOKUP($C345,REV!$C:$AA,21,0)-'TRADE IN'!$F345=0,"",(VLOOKUP($C345,REV!$C:$AA,21,0)-'TRADE IN'!$F345))</f>
        <v>1399</v>
      </c>
      <c r="X345" s="46">
        <f>IF(VLOOKUP($C345,REV!$C:$AA,22,0)-'TRADE IN'!$F345=0,"",(VLOOKUP($C345,REV!$C:$AA,22,0)-'TRADE IN'!$F345))</f>
        <v>1299</v>
      </c>
      <c r="Y345" s="46">
        <f>IF(VLOOKUP($C345,REV!$C:$AA,23,0)-'TRADE IN'!$F345=0,"",(VLOOKUP($C345,REV!$C:$AA,23,0)-'TRADE IN'!$F345))</f>
        <v>1099</v>
      </c>
      <c r="Z345" s="46">
        <f>IF(VLOOKUP($C345,REV!$C:$AA,24,0)-'TRADE IN'!$F345=0,"",(VLOOKUP($C345,REV!$C:$AA,24,0)-'TRADE IN'!$F345))</f>
        <v>1099</v>
      </c>
      <c r="AA345" s="46">
        <f>IF(VLOOKUP($C345,REV!$C:$AA,25,0)-'TRADE IN'!$F345=0,"",(VLOOKUP($C345,REV!$C:$AA,25,0)-'TRADE IN'!$F345))</f>
        <v>1099</v>
      </c>
      <c r="AB345" s="45"/>
      <c r="AC345" s="45"/>
      <c r="AD345" s="45"/>
      <c r="AE345" s="45"/>
      <c r="AF345" s="45"/>
      <c r="AG345" s="45"/>
      <c r="AH345" s="45"/>
      <c r="AI345" s="45"/>
      <c r="AJ345" s="45"/>
      <c r="AK345" s="45"/>
      <c r="AL345" s="45"/>
      <c r="AM345" s="45"/>
      <c r="AN345" s="45"/>
      <c r="AO345" s="45"/>
      <c r="AP345" s="45"/>
      <c r="AQ345" s="45"/>
      <c r="AR345" s="45"/>
      <c r="AS345" s="45"/>
      <c r="AT345" s="45"/>
      <c r="AU345" s="45"/>
      <c r="AV345" s="47"/>
      <c r="AW345" s="48" t="str">
        <f>REV!AW345</f>
        <v>13.08.2026</v>
      </c>
      <c r="AX345" s="149" t="s">
        <v>68</v>
      </c>
    </row>
    <row r="346" spans="1:50" ht="22.5" customHeight="1">
      <c r="A346" s="41" t="s">
        <v>63</v>
      </c>
      <c r="B346" s="42" t="s">
        <v>64</v>
      </c>
      <c r="C346" s="43">
        <v>4016031</v>
      </c>
      <c r="D346" s="56" t="s">
        <v>522</v>
      </c>
      <c r="E346" s="56" t="s">
        <v>523</v>
      </c>
      <c r="F346" s="45">
        <v>500</v>
      </c>
      <c r="G346" s="45"/>
      <c r="H346" s="45"/>
      <c r="I346" s="45"/>
      <c r="J346" s="46">
        <f>IF(VLOOKUP($C346,REV!$C:$AA,8,0)-'TRADE IN'!$F346=0,"",(VLOOKUP($C346,REV!$C:$AA,8,0)-'TRADE IN'!$F346))</f>
        <v>499</v>
      </c>
      <c r="K346" s="46">
        <f>IF(VLOOKUP($C346,REV!$C:$AA,9,0)-'TRADE IN'!$F346=0,"",(VLOOKUP($C346,REV!$C:$AA,9,0)-'TRADE IN'!$F346))</f>
        <v>499</v>
      </c>
      <c r="L346" s="46">
        <f>IF(VLOOKUP($C346,REV!$C:$AA,10,0)-'TRADE IN'!$F346=0,"",(VLOOKUP($C346,REV!$C:$AA,10,0)-'TRADE IN'!$F346))</f>
        <v>499</v>
      </c>
      <c r="M346" s="46">
        <f>IF(VLOOKUP($C346,REV!$C:$AA,11,0)-'TRADE IN'!$F346=0,"",(VLOOKUP($C346,REV!$C:$AA,11,0)-'TRADE IN'!$F346))</f>
        <v>499</v>
      </c>
      <c r="N346" s="46">
        <f>IF(VLOOKUP($C346,REV!$C:$AA,12,0)-'TRADE IN'!$F346=0,"",(VLOOKUP($C346,REV!$C:$AA,12,0)-'TRADE IN'!$F346))</f>
        <v>499</v>
      </c>
      <c r="O346" s="46">
        <f>IF(VLOOKUP($C346,REV!$C:$AA,13,0)-'TRADE IN'!$F346=0,"",(VLOOKUP($C346,REV!$C:$AA,13,0)-'TRADE IN'!$F346))</f>
        <v>499</v>
      </c>
      <c r="P346" s="46">
        <f>IF(VLOOKUP($C346,REV!$C:$AA,14,0)-'TRADE IN'!$F346=0,"",(VLOOKUP($C346,REV!$C:$AA,14,0)-'TRADE IN'!$F346))</f>
        <v>499</v>
      </c>
      <c r="Q346" s="46">
        <f>IF(VLOOKUP($C346,REV!$C:$AA,15,0)-'TRADE IN'!$F346=0,"",(VLOOKUP($C346,REV!$C:$AA,15,0)-'TRADE IN'!$F346))</f>
        <v>499</v>
      </c>
      <c r="R346" s="46">
        <f>IF(VLOOKUP($C346,REV!$C:$AA,16,0)-'TRADE IN'!$F346=0,"",(VLOOKUP($C346,REV!$C:$AA,16,0)-'TRADE IN'!$F346))</f>
        <v>499</v>
      </c>
      <c r="S346" s="46">
        <f>IF(VLOOKUP($C346,REV!$C:$AA,17,0)-'TRADE IN'!$F346=0,"",(VLOOKUP($C346,REV!$C:$AA,17,0)-'TRADE IN'!$F346))</f>
        <v>499</v>
      </c>
      <c r="T346" s="46">
        <f>IF(VLOOKUP($C346,REV!$C:$AA,18,0)-'TRADE IN'!$F346=0,"",(VLOOKUP($C346,REV!$C:$AA,18,0)-'TRADE IN'!$F346))</f>
        <v>499</v>
      </c>
      <c r="U346" s="46">
        <f>IF(VLOOKUP($C346,REV!$C:$AA,19,0)-'TRADE IN'!$F346=0,"",(VLOOKUP($C346,REV!$C:$AA,19,0)-'TRADE IN'!$F346))</f>
        <v>499</v>
      </c>
      <c r="V346" s="46">
        <f>IF(VLOOKUP($C346,REV!$C:$AA,20,0)-'TRADE IN'!$F346=0,"",(VLOOKUP($C346,REV!$C:$AA,20,0)-'TRADE IN'!$F346))</f>
        <v>499</v>
      </c>
      <c r="W346" s="46">
        <f>IF(VLOOKUP($C346,REV!$C:$AA,21,0)-'TRADE IN'!$F346=0,"",(VLOOKUP($C346,REV!$C:$AA,21,0)-'TRADE IN'!$F346))</f>
        <v>499</v>
      </c>
      <c r="X346" s="46">
        <f>IF(VLOOKUP($C346,REV!$C:$AA,22,0)-'TRADE IN'!$F346=0,"",(VLOOKUP($C346,REV!$C:$AA,22,0)-'TRADE IN'!$F346))</f>
        <v>499</v>
      </c>
      <c r="Y346" s="46">
        <f>IF(VLOOKUP($C346,REV!$C:$AA,23,0)-'TRADE IN'!$F346=0,"",(VLOOKUP($C346,REV!$C:$AA,23,0)-'TRADE IN'!$F346))</f>
        <v>499</v>
      </c>
      <c r="Z346" s="46">
        <f>IF(VLOOKUP($C346,REV!$C:$AA,24,0)-'TRADE IN'!$F346=0,"",(VLOOKUP($C346,REV!$C:$AA,24,0)-'TRADE IN'!$F346))</f>
        <v>499</v>
      </c>
      <c r="AA346" s="46">
        <f>IF(VLOOKUP($C346,REV!$C:$AA,25,0)-'TRADE IN'!$F346=0,"",(VLOOKUP($C346,REV!$C:$AA,25,0)-'TRADE IN'!$F346))</f>
        <v>499</v>
      </c>
      <c r="AB346" s="45"/>
      <c r="AC346" s="45"/>
      <c r="AD346" s="45"/>
      <c r="AE346" s="45"/>
      <c r="AF346" s="45"/>
      <c r="AG346" s="45"/>
      <c r="AH346" s="45"/>
      <c r="AI346" s="45"/>
      <c r="AJ346" s="45"/>
      <c r="AK346" s="45"/>
      <c r="AL346" s="45"/>
      <c r="AM346" s="45"/>
      <c r="AN346" s="45"/>
      <c r="AO346" s="45"/>
      <c r="AP346" s="45"/>
      <c r="AQ346" s="45"/>
      <c r="AR346" s="45"/>
      <c r="AS346" s="45"/>
      <c r="AT346" s="45"/>
      <c r="AU346" s="45"/>
      <c r="AV346" s="47"/>
      <c r="AW346" s="48" t="str">
        <f>REV!AW346</f>
        <v>13.08.2026</v>
      </c>
      <c r="AX346" s="149" t="s">
        <v>68</v>
      </c>
    </row>
    <row r="347" spans="1:50" ht="22.5" customHeight="1">
      <c r="A347" s="41" t="s">
        <v>63</v>
      </c>
      <c r="B347" s="42" t="s">
        <v>64</v>
      </c>
      <c r="C347" s="43">
        <v>4016063</v>
      </c>
      <c r="D347" s="56" t="s">
        <v>522</v>
      </c>
      <c r="E347" s="56" t="s">
        <v>524</v>
      </c>
      <c r="F347" s="45">
        <v>500</v>
      </c>
      <c r="G347" s="45"/>
      <c r="H347" s="45"/>
      <c r="I347" s="45"/>
      <c r="J347" s="46">
        <f>IF(VLOOKUP($C347,REV!$C:$AA,8,0)-'TRADE IN'!$F347=0,"",(VLOOKUP($C347,REV!$C:$AA,8,0)-'TRADE IN'!$F347))</f>
        <v>499</v>
      </c>
      <c r="K347" s="46">
        <f>IF(VLOOKUP($C347,REV!$C:$AA,9,0)-'TRADE IN'!$F347=0,"",(VLOOKUP($C347,REV!$C:$AA,9,0)-'TRADE IN'!$F347))</f>
        <v>499</v>
      </c>
      <c r="L347" s="46">
        <f>IF(VLOOKUP($C347,REV!$C:$AA,10,0)-'TRADE IN'!$F347=0,"",(VLOOKUP($C347,REV!$C:$AA,10,0)-'TRADE IN'!$F347))</f>
        <v>499</v>
      </c>
      <c r="M347" s="46">
        <f>IF(VLOOKUP($C347,REV!$C:$AA,11,0)-'TRADE IN'!$F347=0,"",(VLOOKUP($C347,REV!$C:$AA,11,0)-'TRADE IN'!$F347))</f>
        <v>499</v>
      </c>
      <c r="N347" s="46">
        <f>IF(VLOOKUP($C347,REV!$C:$AA,12,0)-'TRADE IN'!$F347=0,"",(VLOOKUP($C347,REV!$C:$AA,12,0)-'TRADE IN'!$F347))</f>
        <v>499</v>
      </c>
      <c r="O347" s="46">
        <f>IF(VLOOKUP($C347,REV!$C:$AA,13,0)-'TRADE IN'!$F347=0,"",(VLOOKUP($C347,REV!$C:$AA,13,0)-'TRADE IN'!$F347))</f>
        <v>499</v>
      </c>
      <c r="P347" s="46">
        <f>IF(VLOOKUP($C347,REV!$C:$AA,14,0)-'TRADE IN'!$F347=0,"",(VLOOKUP($C347,REV!$C:$AA,14,0)-'TRADE IN'!$F347))</f>
        <v>499</v>
      </c>
      <c r="Q347" s="46">
        <f>IF(VLOOKUP($C347,REV!$C:$AA,15,0)-'TRADE IN'!$F347=0,"",(VLOOKUP($C347,REV!$C:$AA,15,0)-'TRADE IN'!$F347))</f>
        <v>499</v>
      </c>
      <c r="R347" s="46">
        <f>IF(VLOOKUP($C347,REV!$C:$AA,16,0)-'TRADE IN'!$F347=0,"",(VLOOKUP($C347,REV!$C:$AA,16,0)-'TRADE IN'!$F347))</f>
        <v>499</v>
      </c>
      <c r="S347" s="46">
        <f>IF(VLOOKUP($C347,REV!$C:$AA,17,0)-'TRADE IN'!$F347=0,"",(VLOOKUP($C347,REV!$C:$AA,17,0)-'TRADE IN'!$F347))</f>
        <v>499</v>
      </c>
      <c r="T347" s="46">
        <f>IF(VLOOKUP($C347,REV!$C:$AA,18,0)-'TRADE IN'!$F347=0,"",(VLOOKUP($C347,REV!$C:$AA,18,0)-'TRADE IN'!$F347))</f>
        <v>499</v>
      </c>
      <c r="U347" s="46">
        <f>IF(VLOOKUP($C347,REV!$C:$AA,19,0)-'TRADE IN'!$F347=0,"",(VLOOKUP($C347,REV!$C:$AA,19,0)-'TRADE IN'!$F347))</f>
        <v>499</v>
      </c>
      <c r="V347" s="46">
        <f>IF(VLOOKUP($C347,REV!$C:$AA,20,0)-'TRADE IN'!$F347=0,"",(VLOOKUP($C347,REV!$C:$AA,20,0)-'TRADE IN'!$F347))</f>
        <v>499</v>
      </c>
      <c r="W347" s="46">
        <f>IF(VLOOKUP($C347,REV!$C:$AA,21,0)-'TRADE IN'!$F347=0,"",(VLOOKUP($C347,REV!$C:$AA,21,0)-'TRADE IN'!$F347))</f>
        <v>499</v>
      </c>
      <c r="X347" s="46">
        <f>IF(VLOOKUP($C347,REV!$C:$AA,22,0)-'TRADE IN'!$F347=0,"",(VLOOKUP($C347,REV!$C:$AA,22,0)-'TRADE IN'!$F347))</f>
        <v>499</v>
      </c>
      <c r="Y347" s="46">
        <f>IF(VLOOKUP($C347,REV!$C:$AA,23,0)-'TRADE IN'!$F347=0,"",(VLOOKUP($C347,REV!$C:$AA,23,0)-'TRADE IN'!$F347))</f>
        <v>499</v>
      </c>
      <c r="Z347" s="46">
        <f>IF(VLOOKUP($C347,REV!$C:$AA,24,0)-'TRADE IN'!$F347=0,"",(VLOOKUP($C347,REV!$C:$AA,24,0)-'TRADE IN'!$F347))</f>
        <v>499</v>
      </c>
      <c r="AA347" s="46">
        <f>IF(VLOOKUP($C347,REV!$C:$AA,25,0)-'TRADE IN'!$F347=0,"",(VLOOKUP($C347,REV!$C:$AA,25,0)-'TRADE IN'!$F347))</f>
        <v>499</v>
      </c>
      <c r="AB347" s="45"/>
      <c r="AC347" s="45"/>
      <c r="AD347" s="45"/>
      <c r="AE347" s="45"/>
      <c r="AF347" s="45"/>
      <c r="AG347" s="45"/>
      <c r="AH347" s="45"/>
      <c r="AI347" s="45"/>
      <c r="AJ347" s="45"/>
      <c r="AK347" s="45"/>
      <c r="AL347" s="45"/>
      <c r="AM347" s="45"/>
      <c r="AN347" s="45"/>
      <c r="AO347" s="45"/>
      <c r="AP347" s="45"/>
      <c r="AQ347" s="45"/>
      <c r="AR347" s="45"/>
      <c r="AS347" s="45"/>
      <c r="AT347" s="45"/>
      <c r="AU347" s="45"/>
      <c r="AV347" s="47"/>
      <c r="AW347" s="48" t="str">
        <f>REV!AW347</f>
        <v>13.08.2026</v>
      </c>
      <c r="AX347" s="149" t="s">
        <v>68</v>
      </c>
    </row>
    <row r="348" spans="1:50" ht="22.5" customHeight="1">
      <c r="A348" s="41" t="s">
        <v>63</v>
      </c>
      <c r="B348" s="42" t="s">
        <v>64</v>
      </c>
      <c r="C348" s="43">
        <v>4015884</v>
      </c>
      <c r="D348" s="56" t="s">
        <v>522</v>
      </c>
      <c r="E348" s="56" t="s">
        <v>525</v>
      </c>
      <c r="F348" s="45">
        <v>500</v>
      </c>
      <c r="G348" s="45"/>
      <c r="H348" s="45"/>
      <c r="I348" s="45"/>
      <c r="J348" s="46">
        <f>IF(VLOOKUP($C348,REV!$C:$AA,8,0)-'TRADE IN'!$F348=0,"",(VLOOKUP($C348,REV!$C:$AA,8,0)-'TRADE IN'!$F348))</f>
        <v>499</v>
      </c>
      <c r="K348" s="46">
        <f>IF(VLOOKUP($C348,REV!$C:$AA,9,0)-'TRADE IN'!$F348=0,"",(VLOOKUP($C348,REV!$C:$AA,9,0)-'TRADE IN'!$F348))</f>
        <v>499</v>
      </c>
      <c r="L348" s="46">
        <f>IF(VLOOKUP($C348,REV!$C:$AA,10,0)-'TRADE IN'!$F348=0,"",(VLOOKUP($C348,REV!$C:$AA,10,0)-'TRADE IN'!$F348))</f>
        <v>499</v>
      </c>
      <c r="M348" s="46">
        <f>IF(VLOOKUP($C348,REV!$C:$AA,11,0)-'TRADE IN'!$F348=0,"",(VLOOKUP($C348,REV!$C:$AA,11,0)-'TRADE IN'!$F348))</f>
        <v>499</v>
      </c>
      <c r="N348" s="46">
        <f>IF(VLOOKUP($C348,REV!$C:$AA,12,0)-'TRADE IN'!$F348=0,"",(VLOOKUP($C348,REV!$C:$AA,12,0)-'TRADE IN'!$F348))</f>
        <v>499</v>
      </c>
      <c r="O348" s="46">
        <f>IF(VLOOKUP($C348,REV!$C:$AA,13,0)-'TRADE IN'!$F348=0,"",(VLOOKUP($C348,REV!$C:$AA,13,0)-'TRADE IN'!$F348))</f>
        <v>499</v>
      </c>
      <c r="P348" s="46">
        <f>IF(VLOOKUP($C348,REV!$C:$AA,14,0)-'TRADE IN'!$F348=0,"",(VLOOKUP($C348,REV!$C:$AA,14,0)-'TRADE IN'!$F348))</f>
        <v>499</v>
      </c>
      <c r="Q348" s="46">
        <f>IF(VLOOKUP($C348,REV!$C:$AA,15,0)-'TRADE IN'!$F348=0,"",(VLOOKUP($C348,REV!$C:$AA,15,0)-'TRADE IN'!$F348))</f>
        <v>499</v>
      </c>
      <c r="R348" s="46">
        <f>IF(VLOOKUP($C348,REV!$C:$AA,16,0)-'TRADE IN'!$F348=0,"",(VLOOKUP($C348,REV!$C:$AA,16,0)-'TRADE IN'!$F348))</f>
        <v>499</v>
      </c>
      <c r="S348" s="46">
        <f>IF(VLOOKUP($C348,REV!$C:$AA,17,0)-'TRADE IN'!$F348=0,"",(VLOOKUP($C348,REV!$C:$AA,17,0)-'TRADE IN'!$F348))</f>
        <v>499</v>
      </c>
      <c r="T348" s="46">
        <f>IF(VLOOKUP($C348,REV!$C:$AA,18,0)-'TRADE IN'!$F348=0,"",(VLOOKUP($C348,REV!$C:$AA,18,0)-'TRADE IN'!$F348))</f>
        <v>499</v>
      </c>
      <c r="U348" s="46">
        <f>IF(VLOOKUP($C348,REV!$C:$AA,19,0)-'TRADE IN'!$F348=0,"",(VLOOKUP($C348,REV!$C:$AA,19,0)-'TRADE IN'!$F348))</f>
        <v>499</v>
      </c>
      <c r="V348" s="46">
        <f>IF(VLOOKUP($C348,REV!$C:$AA,20,0)-'TRADE IN'!$F348=0,"",(VLOOKUP($C348,REV!$C:$AA,20,0)-'TRADE IN'!$F348))</f>
        <v>499</v>
      </c>
      <c r="W348" s="46">
        <f>IF(VLOOKUP($C348,REV!$C:$AA,21,0)-'TRADE IN'!$F348=0,"",(VLOOKUP($C348,REV!$C:$AA,21,0)-'TRADE IN'!$F348))</f>
        <v>499</v>
      </c>
      <c r="X348" s="46">
        <f>IF(VLOOKUP($C348,REV!$C:$AA,22,0)-'TRADE IN'!$F348=0,"",(VLOOKUP($C348,REV!$C:$AA,22,0)-'TRADE IN'!$F348))</f>
        <v>499</v>
      </c>
      <c r="Y348" s="46">
        <f>IF(VLOOKUP($C348,REV!$C:$AA,23,0)-'TRADE IN'!$F348=0,"",(VLOOKUP($C348,REV!$C:$AA,23,0)-'TRADE IN'!$F348))</f>
        <v>499</v>
      </c>
      <c r="Z348" s="46">
        <f>IF(VLOOKUP($C348,REV!$C:$AA,24,0)-'TRADE IN'!$F348=0,"",(VLOOKUP($C348,REV!$C:$AA,24,0)-'TRADE IN'!$F348))</f>
        <v>499</v>
      </c>
      <c r="AA348" s="46">
        <f>IF(VLOOKUP($C348,REV!$C:$AA,25,0)-'TRADE IN'!$F348=0,"",(VLOOKUP($C348,REV!$C:$AA,25,0)-'TRADE IN'!$F348))</f>
        <v>499</v>
      </c>
      <c r="AB348" s="45"/>
      <c r="AC348" s="45"/>
      <c r="AD348" s="45"/>
      <c r="AE348" s="45"/>
      <c r="AF348" s="45"/>
      <c r="AG348" s="45"/>
      <c r="AH348" s="45"/>
      <c r="AI348" s="45"/>
      <c r="AJ348" s="45"/>
      <c r="AK348" s="45"/>
      <c r="AL348" s="45"/>
      <c r="AM348" s="45"/>
      <c r="AN348" s="45"/>
      <c r="AO348" s="45"/>
      <c r="AP348" s="45"/>
      <c r="AQ348" s="45"/>
      <c r="AR348" s="45"/>
      <c r="AS348" s="45"/>
      <c r="AT348" s="45"/>
      <c r="AU348" s="45"/>
      <c r="AV348" s="47"/>
      <c r="AW348" s="48" t="str">
        <f>REV!AW348</f>
        <v>13.08.2026</v>
      </c>
      <c r="AX348" s="149" t="s">
        <v>68</v>
      </c>
    </row>
    <row r="349" spans="1:50" ht="22.5" customHeight="1">
      <c r="A349" s="41" t="s">
        <v>63</v>
      </c>
      <c r="B349" s="42" t="s">
        <v>64</v>
      </c>
      <c r="C349" s="43">
        <v>4016047</v>
      </c>
      <c r="D349" s="56" t="s">
        <v>522</v>
      </c>
      <c r="E349" s="56" t="s">
        <v>526</v>
      </c>
      <c r="F349" s="45">
        <v>500</v>
      </c>
      <c r="G349" s="45"/>
      <c r="H349" s="45"/>
      <c r="I349" s="45"/>
      <c r="J349" s="46">
        <f>IF(VLOOKUP($C349,REV!$C:$AA,8,0)-'TRADE IN'!$F349=0,"",(VLOOKUP($C349,REV!$C:$AA,8,0)-'TRADE IN'!$F349))</f>
        <v>499</v>
      </c>
      <c r="K349" s="46">
        <f>IF(VLOOKUP($C349,REV!$C:$AA,9,0)-'TRADE IN'!$F349=0,"",(VLOOKUP($C349,REV!$C:$AA,9,0)-'TRADE IN'!$F349))</f>
        <v>499</v>
      </c>
      <c r="L349" s="46">
        <f>IF(VLOOKUP($C349,REV!$C:$AA,10,0)-'TRADE IN'!$F349=0,"",(VLOOKUP($C349,REV!$C:$AA,10,0)-'TRADE IN'!$F349))</f>
        <v>499</v>
      </c>
      <c r="M349" s="46">
        <f>IF(VLOOKUP($C349,REV!$C:$AA,11,0)-'TRADE IN'!$F349=0,"",(VLOOKUP($C349,REV!$C:$AA,11,0)-'TRADE IN'!$F349))</f>
        <v>499</v>
      </c>
      <c r="N349" s="46">
        <f>IF(VLOOKUP($C349,REV!$C:$AA,12,0)-'TRADE IN'!$F349=0,"",(VLOOKUP($C349,REV!$C:$AA,12,0)-'TRADE IN'!$F349))</f>
        <v>499</v>
      </c>
      <c r="O349" s="46">
        <f>IF(VLOOKUP($C349,REV!$C:$AA,13,0)-'TRADE IN'!$F349=0,"",(VLOOKUP($C349,REV!$C:$AA,13,0)-'TRADE IN'!$F349))</f>
        <v>499</v>
      </c>
      <c r="P349" s="46">
        <f>IF(VLOOKUP($C349,REV!$C:$AA,14,0)-'TRADE IN'!$F349=0,"",(VLOOKUP($C349,REV!$C:$AA,14,0)-'TRADE IN'!$F349))</f>
        <v>499</v>
      </c>
      <c r="Q349" s="46">
        <f>IF(VLOOKUP($C349,REV!$C:$AA,15,0)-'TRADE IN'!$F349=0,"",(VLOOKUP($C349,REV!$C:$AA,15,0)-'TRADE IN'!$F349))</f>
        <v>499</v>
      </c>
      <c r="R349" s="46">
        <f>IF(VLOOKUP($C349,REV!$C:$AA,16,0)-'TRADE IN'!$F349=0,"",(VLOOKUP($C349,REV!$C:$AA,16,0)-'TRADE IN'!$F349))</f>
        <v>499</v>
      </c>
      <c r="S349" s="46">
        <f>IF(VLOOKUP($C349,REV!$C:$AA,17,0)-'TRADE IN'!$F349=0,"",(VLOOKUP($C349,REV!$C:$AA,17,0)-'TRADE IN'!$F349))</f>
        <v>499</v>
      </c>
      <c r="T349" s="46">
        <f>IF(VLOOKUP($C349,REV!$C:$AA,18,0)-'TRADE IN'!$F349=0,"",(VLOOKUP($C349,REV!$C:$AA,18,0)-'TRADE IN'!$F349))</f>
        <v>499</v>
      </c>
      <c r="U349" s="46">
        <f>IF(VLOOKUP($C349,REV!$C:$AA,19,0)-'TRADE IN'!$F349=0,"",(VLOOKUP($C349,REV!$C:$AA,19,0)-'TRADE IN'!$F349))</f>
        <v>499</v>
      </c>
      <c r="V349" s="46">
        <f>IF(VLOOKUP($C349,REV!$C:$AA,20,0)-'TRADE IN'!$F349=0,"",(VLOOKUP($C349,REV!$C:$AA,20,0)-'TRADE IN'!$F349))</f>
        <v>499</v>
      </c>
      <c r="W349" s="46">
        <f>IF(VLOOKUP($C349,REV!$C:$AA,21,0)-'TRADE IN'!$F349=0,"",(VLOOKUP($C349,REV!$C:$AA,21,0)-'TRADE IN'!$F349))</f>
        <v>499</v>
      </c>
      <c r="X349" s="46">
        <f>IF(VLOOKUP($C349,REV!$C:$AA,22,0)-'TRADE IN'!$F349=0,"",(VLOOKUP($C349,REV!$C:$AA,22,0)-'TRADE IN'!$F349))</f>
        <v>499</v>
      </c>
      <c r="Y349" s="46">
        <f>IF(VLOOKUP($C349,REV!$C:$AA,23,0)-'TRADE IN'!$F349=0,"",(VLOOKUP($C349,REV!$C:$AA,23,0)-'TRADE IN'!$F349))</f>
        <v>499</v>
      </c>
      <c r="Z349" s="46">
        <f>IF(VLOOKUP($C349,REV!$C:$AA,24,0)-'TRADE IN'!$F349=0,"",(VLOOKUP($C349,REV!$C:$AA,24,0)-'TRADE IN'!$F349))</f>
        <v>499</v>
      </c>
      <c r="AA349" s="46">
        <f>IF(VLOOKUP($C349,REV!$C:$AA,25,0)-'TRADE IN'!$F349=0,"",(VLOOKUP($C349,REV!$C:$AA,25,0)-'TRADE IN'!$F349))</f>
        <v>499</v>
      </c>
      <c r="AB349" s="45"/>
      <c r="AC349" s="45"/>
      <c r="AD349" s="45"/>
      <c r="AE349" s="45"/>
      <c r="AF349" s="45"/>
      <c r="AG349" s="45"/>
      <c r="AH349" s="45"/>
      <c r="AI349" s="45"/>
      <c r="AJ349" s="45"/>
      <c r="AK349" s="45"/>
      <c r="AL349" s="45"/>
      <c r="AM349" s="45"/>
      <c r="AN349" s="45"/>
      <c r="AO349" s="45"/>
      <c r="AP349" s="45"/>
      <c r="AQ349" s="45"/>
      <c r="AR349" s="45"/>
      <c r="AS349" s="45"/>
      <c r="AT349" s="45"/>
      <c r="AU349" s="45"/>
      <c r="AV349" s="47"/>
      <c r="AW349" s="48" t="str">
        <f>REV!AW349</f>
        <v>13.08.2026</v>
      </c>
      <c r="AX349" s="149" t="s">
        <v>68</v>
      </c>
    </row>
    <row r="350" spans="1:50" ht="22.5" customHeight="1">
      <c r="A350" s="41" t="s">
        <v>63</v>
      </c>
      <c r="B350" s="42" t="s">
        <v>64</v>
      </c>
      <c r="C350" s="43">
        <v>4016039</v>
      </c>
      <c r="D350" s="56" t="s">
        <v>522</v>
      </c>
      <c r="E350" s="56" t="s">
        <v>527</v>
      </c>
      <c r="F350" s="45">
        <v>500</v>
      </c>
      <c r="G350" s="45"/>
      <c r="H350" s="45"/>
      <c r="I350" s="45"/>
      <c r="J350" s="46">
        <f>IF(VLOOKUP($C350,REV!$C:$AA,8,0)-'TRADE IN'!$F350=0,"",(VLOOKUP($C350,REV!$C:$AA,8,0)-'TRADE IN'!$F350))</f>
        <v>499</v>
      </c>
      <c r="K350" s="46">
        <f>IF(VLOOKUP($C350,REV!$C:$AA,9,0)-'TRADE IN'!$F350=0,"",(VLOOKUP($C350,REV!$C:$AA,9,0)-'TRADE IN'!$F350))</f>
        <v>499</v>
      </c>
      <c r="L350" s="46">
        <f>IF(VLOOKUP($C350,REV!$C:$AA,10,0)-'TRADE IN'!$F350=0,"",(VLOOKUP($C350,REV!$C:$AA,10,0)-'TRADE IN'!$F350))</f>
        <v>499</v>
      </c>
      <c r="M350" s="46">
        <f>IF(VLOOKUP($C350,REV!$C:$AA,11,0)-'TRADE IN'!$F350=0,"",(VLOOKUP($C350,REV!$C:$AA,11,0)-'TRADE IN'!$F350))</f>
        <v>499</v>
      </c>
      <c r="N350" s="46">
        <f>IF(VLOOKUP($C350,REV!$C:$AA,12,0)-'TRADE IN'!$F350=0,"",(VLOOKUP($C350,REV!$C:$AA,12,0)-'TRADE IN'!$F350))</f>
        <v>499</v>
      </c>
      <c r="O350" s="46">
        <f>IF(VLOOKUP($C350,REV!$C:$AA,13,0)-'TRADE IN'!$F350=0,"",(VLOOKUP($C350,REV!$C:$AA,13,0)-'TRADE IN'!$F350))</f>
        <v>499</v>
      </c>
      <c r="P350" s="46">
        <f>IF(VLOOKUP($C350,REV!$C:$AA,14,0)-'TRADE IN'!$F350=0,"",(VLOOKUP($C350,REV!$C:$AA,14,0)-'TRADE IN'!$F350))</f>
        <v>499</v>
      </c>
      <c r="Q350" s="46">
        <f>IF(VLOOKUP($C350,REV!$C:$AA,15,0)-'TRADE IN'!$F350=0,"",(VLOOKUP($C350,REV!$C:$AA,15,0)-'TRADE IN'!$F350))</f>
        <v>499</v>
      </c>
      <c r="R350" s="46">
        <f>IF(VLOOKUP($C350,REV!$C:$AA,16,0)-'TRADE IN'!$F350=0,"",(VLOOKUP($C350,REV!$C:$AA,16,0)-'TRADE IN'!$F350))</f>
        <v>499</v>
      </c>
      <c r="S350" s="46">
        <f>IF(VLOOKUP($C350,REV!$C:$AA,17,0)-'TRADE IN'!$F350=0,"",(VLOOKUP($C350,REV!$C:$AA,17,0)-'TRADE IN'!$F350))</f>
        <v>499</v>
      </c>
      <c r="T350" s="46">
        <f>IF(VLOOKUP($C350,REV!$C:$AA,18,0)-'TRADE IN'!$F350=0,"",(VLOOKUP($C350,REV!$C:$AA,18,0)-'TRADE IN'!$F350))</f>
        <v>499</v>
      </c>
      <c r="U350" s="46">
        <f>IF(VLOOKUP($C350,REV!$C:$AA,19,0)-'TRADE IN'!$F350=0,"",(VLOOKUP($C350,REV!$C:$AA,19,0)-'TRADE IN'!$F350))</f>
        <v>499</v>
      </c>
      <c r="V350" s="46">
        <f>IF(VLOOKUP($C350,REV!$C:$AA,20,0)-'TRADE IN'!$F350=0,"",(VLOOKUP($C350,REV!$C:$AA,20,0)-'TRADE IN'!$F350))</f>
        <v>499</v>
      </c>
      <c r="W350" s="46">
        <f>IF(VLOOKUP($C350,REV!$C:$AA,21,0)-'TRADE IN'!$F350=0,"",(VLOOKUP($C350,REV!$C:$AA,21,0)-'TRADE IN'!$F350))</f>
        <v>499</v>
      </c>
      <c r="X350" s="46">
        <f>IF(VLOOKUP($C350,REV!$C:$AA,22,0)-'TRADE IN'!$F350=0,"",(VLOOKUP($C350,REV!$C:$AA,22,0)-'TRADE IN'!$F350))</f>
        <v>499</v>
      </c>
      <c r="Y350" s="46">
        <f>IF(VLOOKUP($C350,REV!$C:$AA,23,0)-'TRADE IN'!$F350=0,"",(VLOOKUP($C350,REV!$C:$AA,23,0)-'TRADE IN'!$F350))</f>
        <v>499</v>
      </c>
      <c r="Z350" s="46">
        <f>IF(VLOOKUP($C350,REV!$C:$AA,24,0)-'TRADE IN'!$F350=0,"",(VLOOKUP($C350,REV!$C:$AA,24,0)-'TRADE IN'!$F350))</f>
        <v>499</v>
      </c>
      <c r="AA350" s="46">
        <f>IF(VLOOKUP($C350,REV!$C:$AA,25,0)-'TRADE IN'!$F350=0,"",(VLOOKUP($C350,REV!$C:$AA,25,0)-'TRADE IN'!$F350))</f>
        <v>499</v>
      </c>
      <c r="AB350" s="45"/>
      <c r="AC350" s="45"/>
      <c r="AD350" s="45"/>
      <c r="AE350" s="45"/>
      <c r="AF350" s="45"/>
      <c r="AG350" s="45"/>
      <c r="AH350" s="45"/>
      <c r="AI350" s="45"/>
      <c r="AJ350" s="45"/>
      <c r="AK350" s="45"/>
      <c r="AL350" s="45"/>
      <c r="AM350" s="45"/>
      <c r="AN350" s="45"/>
      <c r="AO350" s="45"/>
      <c r="AP350" s="45"/>
      <c r="AQ350" s="45"/>
      <c r="AR350" s="45"/>
      <c r="AS350" s="45"/>
      <c r="AT350" s="45"/>
      <c r="AU350" s="45"/>
      <c r="AV350" s="47"/>
      <c r="AW350" s="48" t="str">
        <f>REV!AW350</f>
        <v>13.08.2026</v>
      </c>
      <c r="AX350" s="149" t="s">
        <v>68</v>
      </c>
    </row>
    <row r="351" spans="1:50" ht="22.5" customHeight="1">
      <c r="A351" s="41" t="s">
        <v>63</v>
      </c>
      <c r="B351" s="42" t="s">
        <v>64</v>
      </c>
      <c r="C351" s="43">
        <v>4016071</v>
      </c>
      <c r="D351" s="56" t="s">
        <v>522</v>
      </c>
      <c r="E351" s="56" t="s">
        <v>528</v>
      </c>
      <c r="F351" s="45">
        <v>500</v>
      </c>
      <c r="G351" s="45"/>
      <c r="H351" s="45"/>
      <c r="I351" s="45"/>
      <c r="J351" s="46">
        <f>IF(VLOOKUP($C351,REV!$C:$AA,8,0)-'TRADE IN'!$F351=0,"",(VLOOKUP($C351,REV!$C:$AA,8,0)-'TRADE IN'!$F351))</f>
        <v>499</v>
      </c>
      <c r="K351" s="46">
        <f>IF(VLOOKUP($C351,REV!$C:$AA,9,0)-'TRADE IN'!$F351=0,"",(VLOOKUP($C351,REV!$C:$AA,9,0)-'TRADE IN'!$F351))</f>
        <v>499</v>
      </c>
      <c r="L351" s="46">
        <f>IF(VLOOKUP($C351,REV!$C:$AA,10,0)-'TRADE IN'!$F351=0,"",(VLOOKUP($C351,REV!$C:$AA,10,0)-'TRADE IN'!$F351))</f>
        <v>499</v>
      </c>
      <c r="M351" s="46">
        <f>IF(VLOOKUP($C351,REV!$C:$AA,11,0)-'TRADE IN'!$F351=0,"",(VLOOKUP($C351,REV!$C:$AA,11,0)-'TRADE IN'!$F351))</f>
        <v>499</v>
      </c>
      <c r="N351" s="46">
        <f>IF(VLOOKUP($C351,REV!$C:$AA,12,0)-'TRADE IN'!$F351=0,"",(VLOOKUP($C351,REV!$C:$AA,12,0)-'TRADE IN'!$F351))</f>
        <v>499</v>
      </c>
      <c r="O351" s="46">
        <f>IF(VLOOKUP($C351,REV!$C:$AA,13,0)-'TRADE IN'!$F351=0,"",(VLOOKUP($C351,REV!$C:$AA,13,0)-'TRADE IN'!$F351))</f>
        <v>499</v>
      </c>
      <c r="P351" s="46">
        <f>IF(VLOOKUP($C351,REV!$C:$AA,14,0)-'TRADE IN'!$F351=0,"",(VLOOKUP($C351,REV!$C:$AA,14,0)-'TRADE IN'!$F351))</f>
        <v>499</v>
      </c>
      <c r="Q351" s="46">
        <f>IF(VLOOKUP($C351,REV!$C:$AA,15,0)-'TRADE IN'!$F351=0,"",(VLOOKUP($C351,REV!$C:$AA,15,0)-'TRADE IN'!$F351))</f>
        <v>499</v>
      </c>
      <c r="R351" s="46">
        <f>IF(VLOOKUP($C351,REV!$C:$AA,16,0)-'TRADE IN'!$F351=0,"",(VLOOKUP($C351,REV!$C:$AA,16,0)-'TRADE IN'!$F351))</f>
        <v>499</v>
      </c>
      <c r="S351" s="46">
        <f>IF(VLOOKUP($C351,REV!$C:$AA,17,0)-'TRADE IN'!$F351=0,"",(VLOOKUP($C351,REV!$C:$AA,17,0)-'TRADE IN'!$F351))</f>
        <v>499</v>
      </c>
      <c r="T351" s="46">
        <f>IF(VLOOKUP($C351,REV!$C:$AA,18,0)-'TRADE IN'!$F351=0,"",(VLOOKUP($C351,REV!$C:$AA,18,0)-'TRADE IN'!$F351))</f>
        <v>499</v>
      </c>
      <c r="U351" s="46">
        <f>IF(VLOOKUP($C351,REV!$C:$AA,19,0)-'TRADE IN'!$F351=0,"",(VLOOKUP($C351,REV!$C:$AA,19,0)-'TRADE IN'!$F351))</f>
        <v>499</v>
      </c>
      <c r="V351" s="46">
        <f>IF(VLOOKUP($C351,REV!$C:$AA,20,0)-'TRADE IN'!$F351=0,"",(VLOOKUP($C351,REV!$C:$AA,20,0)-'TRADE IN'!$F351))</f>
        <v>499</v>
      </c>
      <c r="W351" s="46">
        <f>IF(VLOOKUP($C351,REV!$C:$AA,21,0)-'TRADE IN'!$F351=0,"",(VLOOKUP($C351,REV!$C:$AA,21,0)-'TRADE IN'!$F351))</f>
        <v>499</v>
      </c>
      <c r="X351" s="46">
        <f>IF(VLOOKUP($C351,REV!$C:$AA,22,0)-'TRADE IN'!$F351=0,"",(VLOOKUP($C351,REV!$C:$AA,22,0)-'TRADE IN'!$F351))</f>
        <v>499</v>
      </c>
      <c r="Y351" s="46">
        <f>IF(VLOOKUP($C351,REV!$C:$AA,23,0)-'TRADE IN'!$F351=0,"",(VLOOKUP($C351,REV!$C:$AA,23,0)-'TRADE IN'!$F351))</f>
        <v>499</v>
      </c>
      <c r="Z351" s="46">
        <f>IF(VLOOKUP($C351,REV!$C:$AA,24,0)-'TRADE IN'!$F351=0,"",(VLOOKUP($C351,REV!$C:$AA,24,0)-'TRADE IN'!$F351))</f>
        <v>499</v>
      </c>
      <c r="AA351" s="46">
        <f>IF(VLOOKUP($C351,REV!$C:$AA,25,0)-'TRADE IN'!$F351=0,"",(VLOOKUP($C351,REV!$C:$AA,25,0)-'TRADE IN'!$F351))</f>
        <v>499</v>
      </c>
      <c r="AB351" s="45"/>
      <c r="AC351" s="45"/>
      <c r="AD351" s="45"/>
      <c r="AE351" s="45"/>
      <c r="AF351" s="45"/>
      <c r="AG351" s="45"/>
      <c r="AH351" s="45"/>
      <c r="AI351" s="45"/>
      <c r="AJ351" s="45"/>
      <c r="AK351" s="45"/>
      <c r="AL351" s="45"/>
      <c r="AM351" s="45"/>
      <c r="AN351" s="45"/>
      <c r="AO351" s="45"/>
      <c r="AP351" s="45"/>
      <c r="AQ351" s="45"/>
      <c r="AR351" s="45"/>
      <c r="AS351" s="45"/>
      <c r="AT351" s="45"/>
      <c r="AU351" s="45"/>
      <c r="AV351" s="47"/>
      <c r="AW351" s="48" t="str">
        <f>REV!AW351</f>
        <v>13.08.2026</v>
      </c>
      <c r="AX351" s="149" t="s">
        <v>68</v>
      </c>
    </row>
    <row r="352" spans="1:50" ht="22.5" customHeight="1">
      <c r="A352" s="41" t="s">
        <v>63</v>
      </c>
      <c r="B352" s="42" t="s">
        <v>64</v>
      </c>
      <c r="C352" s="43">
        <v>4016055</v>
      </c>
      <c r="D352" s="56" t="s">
        <v>522</v>
      </c>
      <c r="E352" s="56" t="s">
        <v>529</v>
      </c>
      <c r="F352" s="45">
        <v>500</v>
      </c>
      <c r="G352" s="45"/>
      <c r="H352" s="45"/>
      <c r="I352" s="45"/>
      <c r="J352" s="46">
        <f>IF(VLOOKUP($C352,REV!$C:$AA,8,0)-'TRADE IN'!$F352=0,"",(VLOOKUP($C352,REV!$C:$AA,8,0)-'TRADE IN'!$F352))</f>
        <v>499</v>
      </c>
      <c r="K352" s="46">
        <f>IF(VLOOKUP($C352,REV!$C:$AA,9,0)-'TRADE IN'!$F352=0,"",(VLOOKUP($C352,REV!$C:$AA,9,0)-'TRADE IN'!$F352))</f>
        <v>499</v>
      </c>
      <c r="L352" s="46">
        <f>IF(VLOOKUP($C352,REV!$C:$AA,10,0)-'TRADE IN'!$F352=0,"",(VLOOKUP($C352,REV!$C:$AA,10,0)-'TRADE IN'!$F352))</f>
        <v>499</v>
      </c>
      <c r="M352" s="46">
        <f>IF(VLOOKUP($C352,REV!$C:$AA,11,0)-'TRADE IN'!$F352=0,"",(VLOOKUP($C352,REV!$C:$AA,11,0)-'TRADE IN'!$F352))</f>
        <v>499</v>
      </c>
      <c r="N352" s="46">
        <f>IF(VLOOKUP($C352,REV!$C:$AA,12,0)-'TRADE IN'!$F352=0,"",(VLOOKUP($C352,REV!$C:$AA,12,0)-'TRADE IN'!$F352))</f>
        <v>499</v>
      </c>
      <c r="O352" s="46">
        <f>IF(VLOOKUP($C352,REV!$C:$AA,13,0)-'TRADE IN'!$F352=0,"",(VLOOKUP($C352,REV!$C:$AA,13,0)-'TRADE IN'!$F352))</f>
        <v>499</v>
      </c>
      <c r="P352" s="46">
        <f>IF(VLOOKUP($C352,REV!$C:$AA,14,0)-'TRADE IN'!$F352=0,"",(VLOOKUP($C352,REV!$C:$AA,14,0)-'TRADE IN'!$F352))</f>
        <v>499</v>
      </c>
      <c r="Q352" s="46">
        <f>IF(VLOOKUP($C352,REV!$C:$AA,15,0)-'TRADE IN'!$F352=0,"",(VLOOKUP($C352,REV!$C:$AA,15,0)-'TRADE IN'!$F352))</f>
        <v>499</v>
      </c>
      <c r="R352" s="46">
        <f>IF(VLOOKUP($C352,REV!$C:$AA,16,0)-'TRADE IN'!$F352=0,"",(VLOOKUP($C352,REV!$C:$AA,16,0)-'TRADE IN'!$F352))</f>
        <v>499</v>
      </c>
      <c r="S352" s="46">
        <f>IF(VLOOKUP($C352,REV!$C:$AA,17,0)-'TRADE IN'!$F352=0,"",(VLOOKUP($C352,REV!$C:$AA,17,0)-'TRADE IN'!$F352))</f>
        <v>499</v>
      </c>
      <c r="T352" s="46">
        <f>IF(VLOOKUP($C352,REV!$C:$AA,18,0)-'TRADE IN'!$F352=0,"",(VLOOKUP($C352,REV!$C:$AA,18,0)-'TRADE IN'!$F352))</f>
        <v>499</v>
      </c>
      <c r="U352" s="46">
        <f>IF(VLOOKUP($C352,REV!$C:$AA,19,0)-'TRADE IN'!$F352=0,"",(VLOOKUP($C352,REV!$C:$AA,19,0)-'TRADE IN'!$F352))</f>
        <v>499</v>
      </c>
      <c r="V352" s="46">
        <f>IF(VLOOKUP($C352,REV!$C:$AA,20,0)-'TRADE IN'!$F352=0,"",(VLOOKUP($C352,REV!$C:$AA,20,0)-'TRADE IN'!$F352))</f>
        <v>499</v>
      </c>
      <c r="W352" s="46">
        <f>IF(VLOOKUP($C352,REV!$C:$AA,21,0)-'TRADE IN'!$F352=0,"",(VLOOKUP($C352,REV!$C:$AA,21,0)-'TRADE IN'!$F352))</f>
        <v>499</v>
      </c>
      <c r="X352" s="46">
        <f>IF(VLOOKUP($C352,REV!$C:$AA,22,0)-'TRADE IN'!$F352=0,"",(VLOOKUP($C352,REV!$C:$AA,22,0)-'TRADE IN'!$F352))</f>
        <v>499</v>
      </c>
      <c r="Y352" s="46">
        <f>IF(VLOOKUP($C352,REV!$C:$AA,23,0)-'TRADE IN'!$F352=0,"",(VLOOKUP($C352,REV!$C:$AA,23,0)-'TRADE IN'!$F352))</f>
        <v>499</v>
      </c>
      <c r="Z352" s="46">
        <f>IF(VLOOKUP($C352,REV!$C:$AA,24,0)-'TRADE IN'!$F352=0,"",(VLOOKUP($C352,REV!$C:$AA,24,0)-'TRADE IN'!$F352))</f>
        <v>499</v>
      </c>
      <c r="AA352" s="46">
        <f>IF(VLOOKUP($C352,REV!$C:$AA,25,0)-'TRADE IN'!$F352=0,"",(VLOOKUP($C352,REV!$C:$AA,25,0)-'TRADE IN'!$F352))</f>
        <v>499</v>
      </c>
      <c r="AB352" s="45"/>
      <c r="AC352" s="45"/>
      <c r="AD352" s="45"/>
      <c r="AE352" s="45"/>
      <c r="AF352" s="45"/>
      <c r="AG352" s="45"/>
      <c r="AH352" s="45"/>
      <c r="AI352" s="45"/>
      <c r="AJ352" s="45"/>
      <c r="AK352" s="45"/>
      <c r="AL352" s="45"/>
      <c r="AM352" s="45"/>
      <c r="AN352" s="45"/>
      <c r="AO352" s="45"/>
      <c r="AP352" s="45"/>
      <c r="AQ352" s="45"/>
      <c r="AR352" s="45"/>
      <c r="AS352" s="45"/>
      <c r="AT352" s="45"/>
      <c r="AU352" s="45"/>
      <c r="AV352" s="47"/>
      <c r="AW352" s="48" t="str">
        <f>REV!AW352</f>
        <v>13.08.2026</v>
      </c>
      <c r="AX352" s="149" t="s">
        <v>68</v>
      </c>
    </row>
    <row r="353" spans="1:50" ht="22.5" customHeight="1">
      <c r="A353" s="41" t="s">
        <v>63</v>
      </c>
      <c r="B353" s="42" t="s">
        <v>64</v>
      </c>
      <c r="C353" s="43">
        <v>4016034</v>
      </c>
      <c r="D353" s="56" t="s">
        <v>530</v>
      </c>
      <c r="E353" s="56" t="s">
        <v>531</v>
      </c>
      <c r="F353" s="45">
        <v>100</v>
      </c>
      <c r="G353" s="45"/>
      <c r="H353" s="45"/>
      <c r="I353" s="45"/>
      <c r="J353" s="46">
        <f>IF(VLOOKUP($C353,REV!$C:$AA,8,0)-'TRADE IN'!$F353=0,"",(VLOOKUP($C353,REV!$C:$AA,8,0)-'TRADE IN'!$F353))</f>
        <v>899</v>
      </c>
      <c r="K353" s="46">
        <f>IF(VLOOKUP($C353,REV!$C:$AA,9,0)-'TRADE IN'!$F353=0,"",(VLOOKUP($C353,REV!$C:$AA,9,0)-'TRADE IN'!$F353))</f>
        <v>899</v>
      </c>
      <c r="L353" s="46">
        <f>IF(VLOOKUP($C353,REV!$C:$AA,10,0)-'TRADE IN'!$F353=0,"",(VLOOKUP($C353,REV!$C:$AA,10,0)-'TRADE IN'!$F353))</f>
        <v>899</v>
      </c>
      <c r="M353" s="46">
        <f>IF(VLOOKUP($C353,REV!$C:$AA,11,0)-'TRADE IN'!$F353=0,"",(VLOOKUP($C353,REV!$C:$AA,11,0)-'TRADE IN'!$F353))</f>
        <v>899</v>
      </c>
      <c r="N353" s="46">
        <f>IF(VLOOKUP($C353,REV!$C:$AA,12,0)-'TRADE IN'!$F353=0,"",(VLOOKUP($C353,REV!$C:$AA,12,0)-'TRADE IN'!$F353))</f>
        <v>899</v>
      </c>
      <c r="O353" s="46">
        <f>IF(VLOOKUP($C353,REV!$C:$AA,13,0)-'TRADE IN'!$F353=0,"",(VLOOKUP($C353,REV!$C:$AA,13,0)-'TRADE IN'!$F353))</f>
        <v>899</v>
      </c>
      <c r="P353" s="46">
        <f>IF(VLOOKUP($C353,REV!$C:$AA,14,0)-'TRADE IN'!$F353=0,"",(VLOOKUP($C353,REV!$C:$AA,14,0)-'TRADE IN'!$F353))</f>
        <v>899</v>
      </c>
      <c r="Q353" s="46">
        <f>IF(VLOOKUP($C353,REV!$C:$AA,15,0)-'TRADE IN'!$F353=0,"",(VLOOKUP($C353,REV!$C:$AA,15,0)-'TRADE IN'!$F353))</f>
        <v>899</v>
      </c>
      <c r="R353" s="46">
        <f>IF(VLOOKUP($C353,REV!$C:$AA,16,0)-'TRADE IN'!$F353=0,"",(VLOOKUP($C353,REV!$C:$AA,16,0)-'TRADE IN'!$F353))</f>
        <v>899</v>
      </c>
      <c r="S353" s="46">
        <f>IF(VLOOKUP($C353,REV!$C:$AA,17,0)-'TRADE IN'!$F353=0,"",(VLOOKUP($C353,REV!$C:$AA,17,0)-'TRADE IN'!$F353))</f>
        <v>899</v>
      </c>
      <c r="T353" s="46">
        <f>IF(VLOOKUP($C353,REV!$C:$AA,18,0)-'TRADE IN'!$F353=0,"",(VLOOKUP($C353,REV!$C:$AA,18,0)-'TRADE IN'!$F353))</f>
        <v>899</v>
      </c>
      <c r="U353" s="46">
        <f>IF(VLOOKUP($C353,REV!$C:$AA,19,0)-'TRADE IN'!$F353=0,"",(VLOOKUP($C353,REV!$C:$AA,19,0)-'TRADE IN'!$F353))</f>
        <v>899</v>
      </c>
      <c r="V353" s="46">
        <f>IF(VLOOKUP($C353,REV!$C:$AA,20,0)-'TRADE IN'!$F353=0,"",(VLOOKUP($C353,REV!$C:$AA,20,0)-'TRADE IN'!$F353))</f>
        <v>899</v>
      </c>
      <c r="W353" s="46">
        <f>IF(VLOOKUP($C353,REV!$C:$AA,21,0)-'TRADE IN'!$F353=0,"",(VLOOKUP($C353,REV!$C:$AA,21,0)-'TRADE IN'!$F353))</f>
        <v>899</v>
      </c>
      <c r="X353" s="46">
        <f>IF(VLOOKUP($C353,REV!$C:$AA,22,0)-'TRADE IN'!$F353=0,"",(VLOOKUP($C353,REV!$C:$AA,22,0)-'TRADE IN'!$F353))</f>
        <v>899</v>
      </c>
      <c r="Y353" s="46">
        <f>IF(VLOOKUP($C353,REV!$C:$AA,23,0)-'TRADE IN'!$F353=0,"",(VLOOKUP($C353,REV!$C:$AA,23,0)-'TRADE IN'!$F353))</f>
        <v>899</v>
      </c>
      <c r="Z353" s="46">
        <f>IF(VLOOKUP($C353,REV!$C:$AA,24,0)-'TRADE IN'!$F353=0,"",(VLOOKUP($C353,REV!$C:$AA,24,0)-'TRADE IN'!$F353))</f>
        <v>899</v>
      </c>
      <c r="AA353" s="46">
        <f>IF(VLOOKUP($C353,REV!$C:$AA,25,0)-'TRADE IN'!$F353=0,"",(VLOOKUP($C353,REV!$C:$AA,25,0)-'TRADE IN'!$F353))</f>
        <v>899</v>
      </c>
      <c r="AB353" s="45"/>
      <c r="AC353" s="45"/>
      <c r="AD353" s="45"/>
      <c r="AE353" s="45"/>
      <c r="AF353" s="45"/>
      <c r="AG353" s="45"/>
      <c r="AH353" s="45"/>
      <c r="AI353" s="45"/>
      <c r="AJ353" s="45"/>
      <c r="AK353" s="45"/>
      <c r="AL353" s="45"/>
      <c r="AM353" s="45"/>
      <c r="AN353" s="45"/>
      <c r="AO353" s="45"/>
      <c r="AP353" s="45"/>
      <c r="AQ353" s="45"/>
      <c r="AR353" s="45"/>
      <c r="AS353" s="45"/>
      <c r="AT353" s="45"/>
      <c r="AU353" s="45"/>
      <c r="AV353" s="47"/>
      <c r="AW353" s="48" t="str">
        <f>REV!AW353</f>
        <v>13.08.2026</v>
      </c>
      <c r="AX353" s="149" t="s">
        <v>68</v>
      </c>
    </row>
    <row r="354" spans="1:50" ht="22.5" customHeight="1">
      <c r="A354" s="41" t="s">
        <v>63</v>
      </c>
      <c r="B354" s="42" t="s">
        <v>64</v>
      </c>
      <c r="C354" s="43">
        <v>4016066</v>
      </c>
      <c r="D354" s="56" t="s">
        <v>530</v>
      </c>
      <c r="E354" s="56" t="s">
        <v>532</v>
      </c>
      <c r="F354" s="45">
        <v>100</v>
      </c>
      <c r="G354" s="45"/>
      <c r="H354" s="45"/>
      <c r="I354" s="45"/>
      <c r="J354" s="46">
        <f>IF(VLOOKUP($C354,REV!$C:$AA,8,0)-'TRADE IN'!$F354=0,"",(VLOOKUP($C354,REV!$C:$AA,8,0)-'TRADE IN'!$F354))</f>
        <v>899</v>
      </c>
      <c r="K354" s="46">
        <f>IF(VLOOKUP($C354,REV!$C:$AA,9,0)-'TRADE IN'!$F354=0,"",(VLOOKUP($C354,REV!$C:$AA,9,0)-'TRADE IN'!$F354))</f>
        <v>899</v>
      </c>
      <c r="L354" s="46">
        <f>IF(VLOOKUP($C354,REV!$C:$AA,10,0)-'TRADE IN'!$F354=0,"",(VLOOKUP($C354,REV!$C:$AA,10,0)-'TRADE IN'!$F354))</f>
        <v>899</v>
      </c>
      <c r="M354" s="46">
        <f>IF(VLOOKUP($C354,REV!$C:$AA,11,0)-'TRADE IN'!$F354=0,"",(VLOOKUP($C354,REV!$C:$AA,11,0)-'TRADE IN'!$F354))</f>
        <v>899</v>
      </c>
      <c r="N354" s="46">
        <f>IF(VLOOKUP($C354,REV!$C:$AA,12,0)-'TRADE IN'!$F354=0,"",(VLOOKUP($C354,REV!$C:$AA,12,0)-'TRADE IN'!$F354))</f>
        <v>899</v>
      </c>
      <c r="O354" s="46">
        <f>IF(VLOOKUP($C354,REV!$C:$AA,13,0)-'TRADE IN'!$F354=0,"",(VLOOKUP($C354,REV!$C:$AA,13,0)-'TRADE IN'!$F354))</f>
        <v>899</v>
      </c>
      <c r="P354" s="46">
        <f>IF(VLOOKUP($C354,REV!$C:$AA,14,0)-'TRADE IN'!$F354=0,"",(VLOOKUP($C354,REV!$C:$AA,14,0)-'TRADE IN'!$F354))</f>
        <v>899</v>
      </c>
      <c r="Q354" s="46">
        <f>IF(VLOOKUP($C354,REV!$C:$AA,15,0)-'TRADE IN'!$F354=0,"",(VLOOKUP($C354,REV!$C:$AA,15,0)-'TRADE IN'!$F354))</f>
        <v>899</v>
      </c>
      <c r="R354" s="46">
        <f>IF(VLOOKUP($C354,REV!$C:$AA,16,0)-'TRADE IN'!$F354=0,"",(VLOOKUP($C354,REV!$C:$AA,16,0)-'TRADE IN'!$F354))</f>
        <v>899</v>
      </c>
      <c r="S354" s="46">
        <f>IF(VLOOKUP($C354,REV!$C:$AA,17,0)-'TRADE IN'!$F354=0,"",(VLOOKUP($C354,REV!$C:$AA,17,0)-'TRADE IN'!$F354))</f>
        <v>899</v>
      </c>
      <c r="T354" s="46">
        <f>IF(VLOOKUP($C354,REV!$C:$AA,18,0)-'TRADE IN'!$F354=0,"",(VLOOKUP($C354,REV!$C:$AA,18,0)-'TRADE IN'!$F354))</f>
        <v>899</v>
      </c>
      <c r="U354" s="46">
        <f>IF(VLOOKUP($C354,REV!$C:$AA,19,0)-'TRADE IN'!$F354=0,"",(VLOOKUP($C354,REV!$C:$AA,19,0)-'TRADE IN'!$F354))</f>
        <v>899</v>
      </c>
      <c r="V354" s="46">
        <f>IF(VLOOKUP($C354,REV!$C:$AA,20,0)-'TRADE IN'!$F354=0,"",(VLOOKUP($C354,REV!$C:$AA,20,0)-'TRADE IN'!$F354))</f>
        <v>899</v>
      </c>
      <c r="W354" s="46">
        <f>IF(VLOOKUP($C354,REV!$C:$AA,21,0)-'TRADE IN'!$F354=0,"",(VLOOKUP($C354,REV!$C:$AA,21,0)-'TRADE IN'!$F354))</f>
        <v>899</v>
      </c>
      <c r="X354" s="46">
        <f>IF(VLOOKUP($C354,REV!$C:$AA,22,0)-'TRADE IN'!$F354=0,"",(VLOOKUP($C354,REV!$C:$AA,22,0)-'TRADE IN'!$F354))</f>
        <v>899</v>
      </c>
      <c r="Y354" s="46">
        <f>IF(VLOOKUP($C354,REV!$C:$AA,23,0)-'TRADE IN'!$F354=0,"",(VLOOKUP($C354,REV!$C:$AA,23,0)-'TRADE IN'!$F354))</f>
        <v>899</v>
      </c>
      <c r="Z354" s="46">
        <f>IF(VLOOKUP($C354,REV!$C:$AA,24,0)-'TRADE IN'!$F354=0,"",(VLOOKUP($C354,REV!$C:$AA,24,0)-'TRADE IN'!$F354))</f>
        <v>899</v>
      </c>
      <c r="AA354" s="46">
        <f>IF(VLOOKUP($C354,REV!$C:$AA,25,0)-'TRADE IN'!$F354=0,"",(VLOOKUP($C354,REV!$C:$AA,25,0)-'TRADE IN'!$F354))</f>
        <v>899</v>
      </c>
      <c r="AB354" s="45"/>
      <c r="AC354" s="45"/>
      <c r="AD354" s="45"/>
      <c r="AE354" s="45"/>
      <c r="AF354" s="45"/>
      <c r="AG354" s="45"/>
      <c r="AH354" s="45"/>
      <c r="AI354" s="45"/>
      <c r="AJ354" s="45"/>
      <c r="AK354" s="45"/>
      <c r="AL354" s="45"/>
      <c r="AM354" s="45"/>
      <c r="AN354" s="45"/>
      <c r="AO354" s="45"/>
      <c r="AP354" s="45"/>
      <c r="AQ354" s="45"/>
      <c r="AR354" s="45"/>
      <c r="AS354" s="45"/>
      <c r="AT354" s="45"/>
      <c r="AU354" s="45"/>
      <c r="AV354" s="47"/>
      <c r="AW354" s="48" t="str">
        <f>REV!AW354</f>
        <v>13.08.2026</v>
      </c>
      <c r="AX354" s="149" t="s">
        <v>68</v>
      </c>
    </row>
    <row r="355" spans="1:50" ht="22.5" customHeight="1">
      <c r="A355" s="41" t="s">
        <v>63</v>
      </c>
      <c r="B355" s="42" t="s">
        <v>64</v>
      </c>
      <c r="C355" s="43">
        <v>4016020</v>
      </c>
      <c r="D355" s="56" t="s">
        <v>530</v>
      </c>
      <c r="E355" s="56" t="s">
        <v>533</v>
      </c>
      <c r="F355" s="45">
        <v>100</v>
      </c>
      <c r="G355" s="45"/>
      <c r="H355" s="45"/>
      <c r="I355" s="45"/>
      <c r="J355" s="46">
        <f>IF(VLOOKUP($C355,REV!$C:$AA,8,0)-'TRADE IN'!$F355=0,"",(VLOOKUP($C355,REV!$C:$AA,8,0)-'TRADE IN'!$F355))</f>
        <v>899</v>
      </c>
      <c r="K355" s="46">
        <f>IF(VLOOKUP($C355,REV!$C:$AA,9,0)-'TRADE IN'!$F355=0,"",(VLOOKUP($C355,REV!$C:$AA,9,0)-'TRADE IN'!$F355))</f>
        <v>899</v>
      </c>
      <c r="L355" s="46">
        <f>IF(VLOOKUP($C355,REV!$C:$AA,10,0)-'TRADE IN'!$F355=0,"",(VLOOKUP($C355,REV!$C:$AA,10,0)-'TRADE IN'!$F355))</f>
        <v>899</v>
      </c>
      <c r="M355" s="46">
        <f>IF(VLOOKUP($C355,REV!$C:$AA,11,0)-'TRADE IN'!$F355=0,"",(VLOOKUP($C355,REV!$C:$AA,11,0)-'TRADE IN'!$F355))</f>
        <v>899</v>
      </c>
      <c r="N355" s="46">
        <f>IF(VLOOKUP($C355,REV!$C:$AA,12,0)-'TRADE IN'!$F355=0,"",(VLOOKUP($C355,REV!$C:$AA,12,0)-'TRADE IN'!$F355))</f>
        <v>899</v>
      </c>
      <c r="O355" s="46">
        <f>IF(VLOOKUP($C355,REV!$C:$AA,13,0)-'TRADE IN'!$F355=0,"",(VLOOKUP($C355,REV!$C:$AA,13,0)-'TRADE IN'!$F355))</f>
        <v>899</v>
      </c>
      <c r="P355" s="46">
        <f>IF(VLOOKUP($C355,REV!$C:$AA,14,0)-'TRADE IN'!$F355=0,"",(VLOOKUP($C355,REV!$C:$AA,14,0)-'TRADE IN'!$F355))</f>
        <v>899</v>
      </c>
      <c r="Q355" s="46">
        <f>IF(VLOOKUP($C355,REV!$C:$AA,15,0)-'TRADE IN'!$F355=0,"",(VLOOKUP($C355,REV!$C:$AA,15,0)-'TRADE IN'!$F355))</f>
        <v>899</v>
      </c>
      <c r="R355" s="46">
        <f>IF(VLOOKUP($C355,REV!$C:$AA,16,0)-'TRADE IN'!$F355=0,"",(VLOOKUP($C355,REV!$C:$AA,16,0)-'TRADE IN'!$F355))</f>
        <v>899</v>
      </c>
      <c r="S355" s="46">
        <f>IF(VLOOKUP($C355,REV!$C:$AA,17,0)-'TRADE IN'!$F355=0,"",(VLOOKUP($C355,REV!$C:$AA,17,0)-'TRADE IN'!$F355))</f>
        <v>899</v>
      </c>
      <c r="T355" s="46">
        <f>IF(VLOOKUP($C355,REV!$C:$AA,18,0)-'TRADE IN'!$F355=0,"",(VLOOKUP($C355,REV!$C:$AA,18,0)-'TRADE IN'!$F355))</f>
        <v>899</v>
      </c>
      <c r="U355" s="46">
        <f>IF(VLOOKUP($C355,REV!$C:$AA,19,0)-'TRADE IN'!$F355=0,"",(VLOOKUP($C355,REV!$C:$AA,19,0)-'TRADE IN'!$F355))</f>
        <v>899</v>
      </c>
      <c r="V355" s="46">
        <f>IF(VLOOKUP($C355,REV!$C:$AA,20,0)-'TRADE IN'!$F355=0,"",(VLOOKUP($C355,REV!$C:$AA,20,0)-'TRADE IN'!$F355))</f>
        <v>899</v>
      </c>
      <c r="W355" s="46">
        <f>IF(VLOOKUP($C355,REV!$C:$AA,21,0)-'TRADE IN'!$F355=0,"",(VLOOKUP($C355,REV!$C:$AA,21,0)-'TRADE IN'!$F355))</f>
        <v>899</v>
      </c>
      <c r="X355" s="46">
        <f>IF(VLOOKUP($C355,REV!$C:$AA,22,0)-'TRADE IN'!$F355=0,"",(VLOOKUP($C355,REV!$C:$AA,22,0)-'TRADE IN'!$F355))</f>
        <v>899</v>
      </c>
      <c r="Y355" s="46">
        <f>IF(VLOOKUP($C355,REV!$C:$AA,23,0)-'TRADE IN'!$F355=0,"",(VLOOKUP($C355,REV!$C:$AA,23,0)-'TRADE IN'!$F355))</f>
        <v>899</v>
      </c>
      <c r="Z355" s="46">
        <f>IF(VLOOKUP($C355,REV!$C:$AA,24,0)-'TRADE IN'!$F355=0,"",(VLOOKUP($C355,REV!$C:$AA,24,0)-'TRADE IN'!$F355))</f>
        <v>899</v>
      </c>
      <c r="AA355" s="46">
        <f>IF(VLOOKUP($C355,REV!$C:$AA,25,0)-'TRADE IN'!$F355=0,"",(VLOOKUP($C355,REV!$C:$AA,25,0)-'TRADE IN'!$F355))</f>
        <v>899</v>
      </c>
      <c r="AB355" s="45"/>
      <c r="AC355" s="45"/>
      <c r="AD355" s="45"/>
      <c r="AE355" s="45"/>
      <c r="AF355" s="45"/>
      <c r="AG355" s="45"/>
      <c r="AH355" s="45"/>
      <c r="AI355" s="45"/>
      <c r="AJ355" s="45"/>
      <c r="AK355" s="45"/>
      <c r="AL355" s="45"/>
      <c r="AM355" s="45"/>
      <c r="AN355" s="45"/>
      <c r="AO355" s="45"/>
      <c r="AP355" s="45"/>
      <c r="AQ355" s="45"/>
      <c r="AR355" s="45"/>
      <c r="AS355" s="45"/>
      <c r="AT355" s="45"/>
      <c r="AU355" s="45"/>
      <c r="AV355" s="47"/>
      <c r="AW355" s="48" t="str">
        <f>REV!AW355</f>
        <v>13.08.2026</v>
      </c>
      <c r="AX355" s="149" t="s">
        <v>68</v>
      </c>
    </row>
    <row r="356" spans="1:50" ht="22.5" customHeight="1">
      <c r="A356" s="41" t="s">
        <v>63</v>
      </c>
      <c r="B356" s="42" t="s">
        <v>64</v>
      </c>
      <c r="C356" s="43">
        <v>4016048</v>
      </c>
      <c r="D356" s="56" t="s">
        <v>530</v>
      </c>
      <c r="E356" s="56" t="s">
        <v>534</v>
      </c>
      <c r="F356" s="45">
        <v>100</v>
      </c>
      <c r="G356" s="45"/>
      <c r="H356" s="45"/>
      <c r="I356" s="45"/>
      <c r="J356" s="46">
        <f>IF(VLOOKUP($C356,REV!$C:$AA,8,0)-'TRADE IN'!$F356=0,"",(VLOOKUP($C356,REV!$C:$AA,8,0)-'TRADE IN'!$F356))</f>
        <v>899</v>
      </c>
      <c r="K356" s="46">
        <f>IF(VLOOKUP($C356,REV!$C:$AA,9,0)-'TRADE IN'!$F356=0,"",(VLOOKUP($C356,REV!$C:$AA,9,0)-'TRADE IN'!$F356))</f>
        <v>899</v>
      </c>
      <c r="L356" s="46">
        <f>IF(VLOOKUP($C356,REV!$C:$AA,10,0)-'TRADE IN'!$F356=0,"",(VLOOKUP($C356,REV!$C:$AA,10,0)-'TRADE IN'!$F356))</f>
        <v>899</v>
      </c>
      <c r="M356" s="46">
        <f>IF(VLOOKUP($C356,REV!$C:$AA,11,0)-'TRADE IN'!$F356=0,"",(VLOOKUP($C356,REV!$C:$AA,11,0)-'TRADE IN'!$F356))</f>
        <v>899</v>
      </c>
      <c r="N356" s="46">
        <f>IF(VLOOKUP($C356,REV!$C:$AA,12,0)-'TRADE IN'!$F356=0,"",(VLOOKUP($C356,REV!$C:$AA,12,0)-'TRADE IN'!$F356))</f>
        <v>899</v>
      </c>
      <c r="O356" s="46">
        <f>IF(VLOOKUP($C356,REV!$C:$AA,13,0)-'TRADE IN'!$F356=0,"",(VLOOKUP($C356,REV!$C:$AA,13,0)-'TRADE IN'!$F356))</f>
        <v>899</v>
      </c>
      <c r="P356" s="46">
        <f>IF(VLOOKUP($C356,REV!$C:$AA,14,0)-'TRADE IN'!$F356=0,"",(VLOOKUP($C356,REV!$C:$AA,14,0)-'TRADE IN'!$F356))</f>
        <v>899</v>
      </c>
      <c r="Q356" s="46">
        <f>IF(VLOOKUP($C356,REV!$C:$AA,15,0)-'TRADE IN'!$F356=0,"",(VLOOKUP($C356,REV!$C:$AA,15,0)-'TRADE IN'!$F356))</f>
        <v>899</v>
      </c>
      <c r="R356" s="46">
        <f>IF(VLOOKUP($C356,REV!$C:$AA,16,0)-'TRADE IN'!$F356=0,"",(VLOOKUP($C356,REV!$C:$AA,16,0)-'TRADE IN'!$F356))</f>
        <v>899</v>
      </c>
      <c r="S356" s="46">
        <f>IF(VLOOKUP($C356,REV!$C:$AA,17,0)-'TRADE IN'!$F356=0,"",(VLOOKUP($C356,REV!$C:$AA,17,0)-'TRADE IN'!$F356))</f>
        <v>899</v>
      </c>
      <c r="T356" s="46">
        <f>IF(VLOOKUP($C356,REV!$C:$AA,18,0)-'TRADE IN'!$F356=0,"",(VLOOKUP($C356,REV!$C:$AA,18,0)-'TRADE IN'!$F356))</f>
        <v>899</v>
      </c>
      <c r="U356" s="46">
        <f>IF(VLOOKUP($C356,REV!$C:$AA,19,0)-'TRADE IN'!$F356=0,"",(VLOOKUP($C356,REV!$C:$AA,19,0)-'TRADE IN'!$F356))</f>
        <v>899</v>
      </c>
      <c r="V356" s="46">
        <f>IF(VLOOKUP($C356,REV!$C:$AA,20,0)-'TRADE IN'!$F356=0,"",(VLOOKUP($C356,REV!$C:$AA,20,0)-'TRADE IN'!$F356))</f>
        <v>899</v>
      </c>
      <c r="W356" s="46">
        <f>IF(VLOOKUP($C356,REV!$C:$AA,21,0)-'TRADE IN'!$F356=0,"",(VLOOKUP($C356,REV!$C:$AA,21,0)-'TRADE IN'!$F356))</f>
        <v>899</v>
      </c>
      <c r="X356" s="46">
        <f>IF(VLOOKUP($C356,REV!$C:$AA,22,0)-'TRADE IN'!$F356=0,"",(VLOOKUP($C356,REV!$C:$AA,22,0)-'TRADE IN'!$F356))</f>
        <v>899</v>
      </c>
      <c r="Y356" s="46">
        <f>IF(VLOOKUP($C356,REV!$C:$AA,23,0)-'TRADE IN'!$F356=0,"",(VLOOKUP($C356,REV!$C:$AA,23,0)-'TRADE IN'!$F356))</f>
        <v>899</v>
      </c>
      <c r="Z356" s="46">
        <f>IF(VLOOKUP($C356,REV!$C:$AA,24,0)-'TRADE IN'!$F356=0,"",(VLOOKUP($C356,REV!$C:$AA,24,0)-'TRADE IN'!$F356))</f>
        <v>899</v>
      </c>
      <c r="AA356" s="46">
        <f>IF(VLOOKUP($C356,REV!$C:$AA,25,0)-'TRADE IN'!$F356=0,"",(VLOOKUP($C356,REV!$C:$AA,25,0)-'TRADE IN'!$F356))</f>
        <v>899</v>
      </c>
      <c r="AB356" s="45"/>
      <c r="AC356" s="45"/>
      <c r="AD356" s="45"/>
      <c r="AE356" s="45"/>
      <c r="AF356" s="45"/>
      <c r="AG356" s="45"/>
      <c r="AH356" s="45"/>
      <c r="AI356" s="45"/>
      <c r="AJ356" s="45"/>
      <c r="AK356" s="45"/>
      <c r="AL356" s="45"/>
      <c r="AM356" s="45"/>
      <c r="AN356" s="45"/>
      <c r="AO356" s="45"/>
      <c r="AP356" s="45"/>
      <c r="AQ356" s="45"/>
      <c r="AR356" s="45"/>
      <c r="AS356" s="45"/>
      <c r="AT356" s="45"/>
      <c r="AU356" s="45"/>
      <c r="AV356" s="47"/>
      <c r="AW356" s="48" t="str">
        <f>REV!AW356</f>
        <v>13.08.2026</v>
      </c>
      <c r="AX356" s="149" t="s">
        <v>68</v>
      </c>
    </row>
    <row r="357" spans="1:50" ht="22.5" customHeight="1">
      <c r="A357" s="41" t="s">
        <v>63</v>
      </c>
      <c r="B357" s="42" t="s">
        <v>64</v>
      </c>
      <c r="C357" s="43">
        <v>4016042</v>
      </c>
      <c r="D357" s="56" t="s">
        <v>530</v>
      </c>
      <c r="E357" s="56" t="s">
        <v>535</v>
      </c>
      <c r="F357" s="45">
        <v>100</v>
      </c>
      <c r="G357" s="45"/>
      <c r="H357" s="45"/>
      <c r="I357" s="45"/>
      <c r="J357" s="46">
        <f>IF(VLOOKUP($C357,REV!$C:$AA,8,0)-'TRADE IN'!$F357=0,"",(VLOOKUP($C357,REV!$C:$AA,8,0)-'TRADE IN'!$F357))</f>
        <v>899</v>
      </c>
      <c r="K357" s="46">
        <f>IF(VLOOKUP($C357,REV!$C:$AA,9,0)-'TRADE IN'!$F357=0,"",(VLOOKUP($C357,REV!$C:$AA,9,0)-'TRADE IN'!$F357))</f>
        <v>899</v>
      </c>
      <c r="L357" s="46">
        <f>IF(VLOOKUP($C357,REV!$C:$AA,10,0)-'TRADE IN'!$F357=0,"",(VLOOKUP($C357,REV!$C:$AA,10,0)-'TRADE IN'!$F357))</f>
        <v>899</v>
      </c>
      <c r="M357" s="46">
        <f>IF(VLOOKUP($C357,REV!$C:$AA,11,0)-'TRADE IN'!$F357=0,"",(VLOOKUP($C357,REV!$C:$AA,11,0)-'TRADE IN'!$F357))</f>
        <v>899</v>
      </c>
      <c r="N357" s="46">
        <f>IF(VLOOKUP($C357,REV!$C:$AA,12,0)-'TRADE IN'!$F357=0,"",(VLOOKUP($C357,REV!$C:$AA,12,0)-'TRADE IN'!$F357))</f>
        <v>899</v>
      </c>
      <c r="O357" s="46">
        <f>IF(VLOOKUP($C357,REV!$C:$AA,13,0)-'TRADE IN'!$F357=0,"",(VLOOKUP($C357,REV!$C:$AA,13,0)-'TRADE IN'!$F357))</f>
        <v>899</v>
      </c>
      <c r="P357" s="46">
        <f>IF(VLOOKUP($C357,REV!$C:$AA,14,0)-'TRADE IN'!$F357=0,"",(VLOOKUP($C357,REV!$C:$AA,14,0)-'TRADE IN'!$F357))</f>
        <v>899</v>
      </c>
      <c r="Q357" s="46">
        <f>IF(VLOOKUP($C357,REV!$C:$AA,15,0)-'TRADE IN'!$F357=0,"",(VLOOKUP($C357,REV!$C:$AA,15,0)-'TRADE IN'!$F357))</f>
        <v>899</v>
      </c>
      <c r="R357" s="46">
        <f>IF(VLOOKUP($C357,REV!$C:$AA,16,0)-'TRADE IN'!$F357=0,"",(VLOOKUP($C357,REV!$C:$AA,16,0)-'TRADE IN'!$F357))</f>
        <v>899</v>
      </c>
      <c r="S357" s="46">
        <f>IF(VLOOKUP($C357,REV!$C:$AA,17,0)-'TRADE IN'!$F357=0,"",(VLOOKUP($C357,REV!$C:$AA,17,0)-'TRADE IN'!$F357))</f>
        <v>899</v>
      </c>
      <c r="T357" s="46">
        <f>IF(VLOOKUP($C357,REV!$C:$AA,18,0)-'TRADE IN'!$F357=0,"",(VLOOKUP($C357,REV!$C:$AA,18,0)-'TRADE IN'!$F357))</f>
        <v>899</v>
      </c>
      <c r="U357" s="46">
        <f>IF(VLOOKUP($C357,REV!$C:$AA,19,0)-'TRADE IN'!$F357=0,"",(VLOOKUP($C357,REV!$C:$AA,19,0)-'TRADE IN'!$F357))</f>
        <v>899</v>
      </c>
      <c r="V357" s="46">
        <f>IF(VLOOKUP($C357,REV!$C:$AA,20,0)-'TRADE IN'!$F357=0,"",(VLOOKUP($C357,REV!$C:$AA,20,0)-'TRADE IN'!$F357))</f>
        <v>899</v>
      </c>
      <c r="W357" s="46">
        <f>IF(VLOOKUP($C357,REV!$C:$AA,21,0)-'TRADE IN'!$F357=0,"",(VLOOKUP($C357,REV!$C:$AA,21,0)-'TRADE IN'!$F357))</f>
        <v>899</v>
      </c>
      <c r="X357" s="46">
        <f>IF(VLOOKUP($C357,REV!$C:$AA,22,0)-'TRADE IN'!$F357=0,"",(VLOOKUP($C357,REV!$C:$AA,22,0)-'TRADE IN'!$F357))</f>
        <v>899</v>
      </c>
      <c r="Y357" s="46">
        <f>IF(VLOOKUP($C357,REV!$C:$AA,23,0)-'TRADE IN'!$F357=0,"",(VLOOKUP($C357,REV!$C:$AA,23,0)-'TRADE IN'!$F357))</f>
        <v>899</v>
      </c>
      <c r="Z357" s="46">
        <f>IF(VLOOKUP($C357,REV!$C:$AA,24,0)-'TRADE IN'!$F357=0,"",(VLOOKUP($C357,REV!$C:$AA,24,0)-'TRADE IN'!$F357))</f>
        <v>899</v>
      </c>
      <c r="AA357" s="46">
        <f>IF(VLOOKUP($C357,REV!$C:$AA,25,0)-'TRADE IN'!$F357=0,"",(VLOOKUP($C357,REV!$C:$AA,25,0)-'TRADE IN'!$F357))</f>
        <v>899</v>
      </c>
      <c r="AB357" s="45"/>
      <c r="AC357" s="45"/>
      <c r="AD357" s="45"/>
      <c r="AE357" s="45"/>
      <c r="AF357" s="45"/>
      <c r="AG357" s="45"/>
      <c r="AH357" s="45"/>
      <c r="AI357" s="45"/>
      <c r="AJ357" s="45"/>
      <c r="AK357" s="45"/>
      <c r="AL357" s="45"/>
      <c r="AM357" s="45"/>
      <c r="AN357" s="45"/>
      <c r="AO357" s="45"/>
      <c r="AP357" s="45"/>
      <c r="AQ357" s="45"/>
      <c r="AR357" s="45"/>
      <c r="AS357" s="45"/>
      <c r="AT357" s="45"/>
      <c r="AU357" s="45"/>
      <c r="AV357" s="47"/>
      <c r="AW357" s="48" t="str">
        <f>REV!AW357</f>
        <v>13.08.2026</v>
      </c>
      <c r="AX357" s="149" t="s">
        <v>68</v>
      </c>
    </row>
    <row r="358" spans="1:50" ht="22.5" customHeight="1">
      <c r="A358" s="41" t="s">
        <v>63</v>
      </c>
      <c r="B358" s="42" t="s">
        <v>64</v>
      </c>
      <c r="C358" s="43">
        <v>4016076</v>
      </c>
      <c r="D358" s="56" t="s">
        <v>530</v>
      </c>
      <c r="E358" s="56" t="s">
        <v>536</v>
      </c>
      <c r="F358" s="45">
        <v>100</v>
      </c>
      <c r="G358" s="45"/>
      <c r="H358" s="45"/>
      <c r="I358" s="45"/>
      <c r="J358" s="46">
        <f>IF(VLOOKUP($C358,REV!$C:$AA,8,0)-'TRADE IN'!$F358=0,"",(VLOOKUP($C358,REV!$C:$AA,8,0)-'TRADE IN'!$F358))</f>
        <v>899</v>
      </c>
      <c r="K358" s="46">
        <f>IF(VLOOKUP($C358,REV!$C:$AA,9,0)-'TRADE IN'!$F358=0,"",(VLOOKUP($C358,REV!$C:$AA,9,0)-'TRADE IN'!$F358))</f>
        <v>899</v>
      </c>
      <c r="L358" s="46">
        <f>IF(VLOOKUP($C358,REV!$C:$AA,10,0)-'TRADE IN'!$F358=0,"",(VLOOKUP($C358,REV!$C:$AA,10,0)-'TRADE IN'!$F358))</f>
        <v>899</v>
      </c>
      <c r="M358" s="46">
        <f>IF(VLOOKUP($C358,REV!$C:$AA,11,0)-'TRADE IN'!$F358=0,"",(VLOOKUP($C358,REV!$C:$AA,11,0)-'TRADE IN'!$F358))</f>
        <v>899</v>
      </c>
      <c r="N358" s="46">
        <f>IF(VLOOKUP($C358,REV!$C:$AA,12,0)-'TRADE IN'!$F358=0,"",(VLOOKUP($C358,REV!$C:$AA,12,0)-'TRADE IN'!$F358))</f>
        <v>899</v>
      </c>
      <c r="O358" s="46">
        <f>IF(VLOOKUP($C358,REV!$C:$AA,13,0)-'TRADE IN'!$F358=0,"",(VLOOKUP($C358,REV!$C:$AA,13,0)-'TRADE IN'!$F358))</f>
        <v>899</v>
      </c>
      <c r="P358" s="46">
        <f>IF(VLOOKUP($C358,REV!$C:$AA,14,0)-'TRADE IN'!$F358=0,"",(VLOOKUP($C358,REV!$C:$AA,14,0)-'TRADE IN'!$F358))</f>
        <v>899</v>
      </c>
      <c r="Q358" s="46">
        <f>IF(VLOOKUP($C358,REV!$C:$AA,15,0)-'TRADE IN'!$F358=0,"",(VLOOKUP($C358,REV!$C:$AA,15,0)-'TRADE IN'!$F358))</f>
        <v>899</v>
      </c>
      <c r="R358" s="46">
        <f>IF(VLOOKUP($C358,REV!$C:$AA,16,0)-'TRADE IN'!$F358=0,"",(VLOOKUP($C358,REV!$C:$AA,16,0)-'TRADE IN'!$F358))</f>
        <v>899</v>
      </c>
      <c r="S358" s="46">
        <f>IF(VLOOKUP($C358,REV!$C:$AA,17,0)-'TRADE IN'!$F358=0,"",(VLOOKUP($C358,REV!$C:$AA,17,0)-'TRADE IN'!$F358))</f>
        <v>899</v>
      </c>
      <c r="T358" s="46">
        <f>IF(VLOOKUP($C358,REV!$C:$AA,18,0)-'TRADE IN'!$F358=0,"",(VLOOKUP($C358,REV!$C:$AA,18,0)-'TRADE IN'!$F358))</f>
        <v>899</v>
      </c>
      <c r="U358" s="46">
        <f>IF(VLOOKUP($C358,REV!$C:$AA,19,0)-'TRADE IN'!$F358=0,"",(VLOOKUP($C358,REV!$C:$AA,19,0)-'TRADE IN'!$F358))</f>
        <v>899</v>
      </c>
      <c r="V358" s="46">
        <f>IF(VLOOKUP($C358,REV!$C:$AA,20,0)-'TRADE IN'!$F358=0,"",(VLOOKUP($C358,REV!$C:$AA,20,0)-'TRADE IN'!$F358))</f>
        <v>899</v>
      </c>
      <c r="W358" s="46">
        <f>IF(VLOOKUP($C358,REV!$C:$AA,21,0)-'TRADE IN'!$F358=0,"",(VLOOKUP($C358,REV!$C:$AA,21,0)-'TRADE IN'!$F358))</f>
        <v>899</v>
      </c>
      <c r="X358" s="46">
        <f>IF(VLOOKUP($C358,REV!$C:$AA,22,0)-'TRADE IN'!$F358=0,"",(VLOOKUP($C358,REV!$C:$AA,22,0)-'TRADE IN'!$F358))</f>
        <v>899</v>
      </c>
      <c r="Y358" s="46">
        <f>IF(VLOOKUP($C358,REV!$C:$AA,23,0)-'TRADE IN'!$F358=0,"",(VLOOKUP($C358,REV!$C:$AA,23,0)-'TRADE IN'!$F358))</f>
        <v>899</v>
      </c>
      <c r="Z358" s="46">
        <f>IF(VLOOKUP($C358,REV!$C:$AA,24,0)-'TRADE IN'!$F358=0,"",(VLOOKUP($C358,REV!$C:$AA,24,0)-'TRADE IN'!$F358))</f>
        <v>899</v>
      </c>
      <c r="AA358" s="46">
        <f>IF(VLOOKUP($C358,REV!$C:$AA,25,0)-'TRADE IN'!$F358=0,"",(VLOOKUP($C358,REV!$C:$AA,25,0)-'TRADE IN'!$F358))</f>
        <v>899</v>
      </c>
      <c r="AB358" s="45"/>
      <c r="AC358" s="45"/>
      <c r="AD358" s="45"/>
      <c r="AE358" s="45"/>
      <c r="AF358" s="45"/>
      <c r="AG358" s="45"/>
      <c r="AH358" s="45"/>
      <c r="AI358" s="45"/>
      <c r="AJ358" s="45"/>
      <c r="AK358" s="45"/>
      <c r="AL358" s="45"/>
      <c r="AM358" s="45"/>
      <c r="AN358" s="45"/>
      <c r="AO358" s="45"/>
      <c r="AP358" s="45"/>
      <c r="AQ358" s="45"/>
      <c r="AR358" s="45"/>
      <c r="AS358" s="45"/>
      <c r="AT358" s="45"/>
      <c r="AU358" s="45"/>
      <c r="AV358" s="47"/>
      <c r="AW358" s="48" t="str">
        <f>REV!AW358</f>
        <v>13.08.2026</v>
      </c>
      <c r="AX358" s="149" t="s">
        <v>68</v>
      </c>
    </row>
    <row r="359" spans="1:50" ht="22.5" customHeight="1">
      <c r="A359" s="41" t="s">
        <v>63</v>
      </c>
      <c r="B359" s="42" t="s">
        <v>64</v>
      </c>
      <c r="C359" s="43">
        <v>4016040</v>
      </c>
      <c r="D359" s="56" t="s">
        <v>537</v>
      </c>
      <c r="E359" s="56" t="s">
        <v>538</v>
      </c>
      <c r="F359" s="45">
        <v>100</v>
      </c>
      <c r="G359" s="45"/>
      <c r="H359" s="45"/>
      <c r="I359" s="45"/>
      <c r="J359" s="46">
        <f>IF(VLOOKUP($C359,REV!$C:$AA,8,0)-'TRADE IN'!$F359=0,"",(VLOOKUP($C359,REV!$C:$AA,8,0)-'TRADE IN'!$F359))</f>
        <v>1399</v>
      </c>
      <c r="K359" s="46">
        <f>IF(VLOOKUP($C359,REV!$C:$AA,9,0)-'TRADE IN'!$F359=0,"",(VLOOKUP($C359,REV!$C:$AA,9,0)-'TRADE IN'!$F359))</f>
        <v>1399</v>
      </c>
      <c r="L359" s="46">
        <f>IF(VLOOKUP($C359,REV!$C:$AA,10,0)-'TRADE IN'!$F359=0,"",(VLOOKUP($C359,REV!$C:$AA,10,0)-'TRADE IN'!$F359))</f>
        <v>1399</v>
      </c>
      <c r="M359" s="46">
        <f>IF(VLOOKUP($C359,REV!$C:$AA,11,0)-'TRADE IN'!$F359=0,"",(VLOOKUP($C359,REV!$C:$AA,11,0)-'TRADE IN'!$F359))</f>
        <v>1399</v>
      </c>
      <c r="N359" s="46">
        <f>IF(VLOOKUP($C359,REV!$C:$AA,12,0)-'TRADE IN'!$F359=0,"",(VLOOKUP($C359,REV!$C:$AA,12,0)-'TRADE IN'!$F359))</f>
        <v>1399</v>
      </c>
      <c r="O359" s="46">
        <f>IF(VLOOKUP($C359,REV!$C:$AA,13,0)-'TRADE IN'!$F359=0,"",(VLOOKUP($C359,REV!$C:$AA,13,0)-'TRADE IN'!$F359))</f>
        <v>1399</v>
      </c>
      <c r="P359" s="46">
        <f>IF(VLOOKUP($C359,REV!$C:$AA,14,0)-'TRADE IN'!$F359=0,"",(VLOOKUP($C359,REV!$C:$AA,14,0)-'TRADE IN'!$F359))</f>
        <v>1399</v>
      </c>
      <c r="Q359" s="46">
        <f>IF(VLOOKUP($C359,REV!$C:$AA,15,0)-'TRADE IN'!$F359=0,"",(VLOOKUP($C359,REV!$C:$AA,15,0)-'TRADE IN'!$F359))</f>
        <v>1399</v>
      </c>
      <c r="R359" s="46">
        <f>IF(VLOOKUP($C359,REV!$C:$AA,16,0)-'TRADE IN'!$F359=0,"",(VLOOKUP($C359,REV!$C:$AA,16,0)-'TRADE IN'!$F359))</f>
        <v>1399</v>
      </c>
      <c r="S359" s="46">
        <f>IF(VLOOKUP($C359,REV!$C:$AA,17,0)-'TRADE IN'!$F359=0,"",(VLOOKUP($C359,REV!$C:$AA,17,0)-'TRADE IN'!$F359))</f>
        <v>1399</v>
      </c>
      <c r="T359" s="46">
        <f>IF(VLOOKUP($C359,REV!$C:$AA,18,0)-'TRADE IN'!$F359=0,"",(VLOOKUP($C359,REV!$C:$AA,18,0)-'TRADE IN'!$F359))</f>
        <v>1399</v>
      </c>
      <c r="U359" s="46">
        <f>IF(VLOOKUP($C359,REV!$C:$AA,19,0)-'TRADE IN'!$F359=0,"",(VLOOKUP($C359,REV!$C:$AA,19,0)-'TRADE IN'!$F359))</f>
        <v>1399</v>
      </c>
      <c r="V359" s="46">
        <f>IF(VLOOKUP($C359,REV!$C:$AA,20,0)-'TRADE IN'!$F359=0,"",(VLOOKUP($C359,REV!$C:$AA,20,0)-'TRADE IN'!$F359))</f>
        <v>1399</v>
      </c>
      <c r="W359" s="46">
        <f>IF(VLOOKUP($C359,REV!$C:$AA,21,0)-'TRADE IN'!$F359=0,"",(VLOOKUP($C359,REV!$C:$AA,21,0)-'TRADE IN'!$F359))</f>
        <v>1399</v>
      </c>
      <c r="X359" s="46">
        <f>IF(VLOOKUP($C359,REV!$C:$AA,22,0)-'TRADE IN'!$F359=0,"",(VLOOKUP($C359,REV!$C:$AA,22,0)-'TRADE IN'!$F359))</f>
        <v>1399</v>
      </c>
      <c r="Y359" s="46">
        <f>IF(VLOOKUP($C359,REV!$C:$AA,23,0)-'TRADE IN'!$F359=0,"",(VLOOKUP($C359,REV!$C:$AA,23,0)-'TRADE IN'!$F359))</f>
        <v>1399</v>
      </c>
      <c r="Z359" s="46">
        <f>IF(VLOOKUP($C359,REV!$C:$AA,24,0)-'TRADE IN'!$F359=0,"",(VLOOKUP($C359,REV!$C:$AA,24,0)-'TRADE IN'!$F359))</f>
        <v>1399</v>
      </c>
      <c r="AA359" s="46">
        <f>IF(VLOOKUP($C359,REV!$C:$AA,25,0)-'TRADE IN'!$F359=0,"",(VLOOKUP($C359,REV!$C:$AA,25,0)-'TRADE IN'!$F359))</f>
        <v>1399</v>
      </c>
      <c r="AB359" s="45"/>
      <c r="AC359" s="45"/>
      <c r="AD359" s="45"/>
      <c r="AE359" s="45"/>
      <c r="AF359" s="45"/>
      <c r="AG359" s="45"/>
      <c r="AH359" s="45"/>
      <c r="AI359" s="45"/>
      <c r="AJ359" s="45"/>
      <c r="AK359" s="45"/>
      <c r="AL359" s="45"/>
      <c r="AM359" s="45"/>
      <c r="AN359" s="45"/>
      <c r="AO359" s="45"/>
      <c r="AP359" s="45"/>
      <c r="AQ359" s="45"/>
      <c r="AR359" s="45"/>
      <c r="AS359" s="45"/>
      <c r="AT359" s="45"/>
      <c r="AU359" s="45"/>
      <c r="AV359" s="47"/>
      <c r="AW359" s="48" t="str">
        <f>REV!AW359</f>
        <v>13.08.2026</v>
      </c>
      <c r="AX359" s="149" t="s">
        <v>68</v>
      </c>
    </row>
    <row r="360" spans="1:50" ht="22.5" customHeight="1">
      <c r="A360" s="41" t="s">
        <v>63</v>
      </c>
      <c r="B360" s="42" t="s">
        <v>64</v>
      </c>
      <c r="C360" s="43">
        <v>4015889</v>
      </c>
      <c r="D360" s="56" t="s">
        <v>537</v>
      </c>
      <c r="E360" s="56" t="s">
        <v>539</v>
      </c>
      <c r="F360" s="45">
        <v>100</v>
      </c>
      <c r="G360" s="45"/>
      <c r="H360" s="45"/>
      <c r="I360" s="45"/>
      <c r="J360" s="46">
        <f>IF(VLOOKUP($C360,REV!$C:$AA,8,0)-'TRADE IN'!$F360=0,"",(VLOOKUP($C360,REV!$C:$AA,8,0)-'TRADE IN'!$F360))</f>
        <v>1399</v>
      </c>
      <c r="K360" s="46">
        <f>IF(VLOOKUP($C360,REV!$C:$AA,9,0)-'TRADE IN'!$F360=0,"",(VLOOKUP($C360,REV!$C:$AA,9,0)-'TRADE IN'!$F360))</f>
        <v>1399</v>
      </c>
      <c r="L360" s="46">
        <f>IF(VLOOKUP($C360,REV!$C:$AA,10,0)-'TRADE IN'!$F360=0,"",(VLOOKUP($C360,REV!$C:$AA,10,0)-'TRADE IN'!$F360))</f>
        <v>1399</v>
      </c>
      <c r="M360" s="46">
        <f>IF(VLOOKUP($C360,REV!$C:$AA,11,0)-'TRADE IN'!$F360=0,"",(VLOOKUP($C360,REV!$C:$AA,11,0)-'TRADE IN'!$F360))</f>
        <v>1399</v>
      </c>
      <c r="N360" s="46">
        <f>IF(VLOOKUP($C360,REV!$C:$AA,12,0)-'TRADE IN'!$F360=0,"",(VLOOKUP($C360,REV!$C:$AA,12,0)-'TRADE IN'!$F360))</f>
        <v>1399</v>
      </c>
      <c r="O360" s="46">
        <f>IF(VLOOKUP($C360,REV!$C:$AA,13,0)-'TRADE IN'!$F360=0,"",(VLOOKUP($C360,REV!$C:$AA,13,0)-'TRADE IN'!$F360))</f>
        <v>1399</v>
      </c>
      <c r="P360" s="46">
        <f>IF(VLOOKUP($C360,REV!$C:$AA,14,0)-'TRADE IN'!$F360=0,"",(VLOOKUP($C360,REV!$C:$AA,14,0)-'TRADE IN'!$F360))</f>
        <v>1399</v>
      </c>
      <c r="Q360" s="46">
        <f>IF(VLOOKUP($C360,REV!$C:$AA,15,0)-'TRADE IN'!$F360=0,"",(VLOOKUP($C360,REV!$C:$AA,15,0)-'TRADE IN'!$F360))</f>
        <v>1399</v>
      </c>
      <c r="R360" s="46">
        <f>IF(VLOOKUP($C360,REV!$C:$AA,16,0)-'TRADE IN'!$F360=0,"",(VLOOKUP($C360,REV!$C:$AA,16,0)-'TRADE IN'!$F360))</f>
        <v>1399</v>
      </c>
      <c r="S360" s="46">
        <f>IF(VLOOKUP($C360,REV!$C:$AA,17,0)-'TRADE IN'!$F360=0,"",(VLOOKUP($C360,REV!$C:$AA,17,0)-'TRADE IN'!$F360))</f>
        <v>1399</v>
      </c>
      <c r="T360" s="46">
        <f>IF(VLOOKUP($C360,REV!$C:$AA,18,0)-'TRADE IN'!$F360=0,"",(VLOOKUP($C360,REV!$C:$AA,18,0)-'TRADE IN'!$F360))</f>
        <v>1399</v>
      </c>
      <c r="U360" s="46">
        <f>IF(VLOOKUP($C360,REV!$C:$AA,19,0)-'TRADE IN'!$F360=0,"",(VLOOKUP($C360,REV!$C:$AA,19,0)-'TRADE IN'!$F360))</f>
        <v>1399</v>
      </c>
      <c r="V360" s="46">
        <f>IF(VLOOKUP($C360,REV!$C:$AA,20,0)-'TRADE IN'!$F360=0,"",(VLOOKUP($C360,REV!$C:$AA,20,0)-'TRADE IN'!$F360))</f>
        <v>1399</v>
      </c>
      <c r="W360" s="46">
        <f>IF(VLOOKUP($C360,REV!$C:$AA,21,0)-'TRADE IN'!$F360=0,"",(VLOOKUP($C360,REV!$C:$AA,21,0)-'TRADE IN'!$F360))</f>
        <v>1399</v>
      </c>
      <c r="X360" s="46">
        <f>IF(VLOOKUP($C360,REV!$C:$AA,22,0)-'TRADE IN'!$F360=0,"",(VLOOKUP($C360,REV!$C:$AA,22,0)-'TRADE IN'!$F360))</f>
        <v>1399</v>
      </c>
      <c r="Y360" s="46">
        <f>IF(VLOOKUP($C360,REV!$C:$AA,23,0)-'TRADE IN'!$F360=0,"",(VLOOKUP($C360,REV!$C:$AA,23,0)-'TRADE IN'!$F360))</f>
        <v>1399</v>
      </c>
      <c r="Z360" s="46">
        <f>IF(VLOOKUP($C360,REV!$C:$AA,24,0)-'TRADE IN'!$F360=0,"",(VLOOKUP($C360,REV!$C:$AA,24,0)-'TRADE IN'!$F360))</f>
        <v>1399</v>
      </c>
      <c r="AA360" s="46">
        <f>IF(VLOOKUP($C360,REV!$C:$AA,25,0)-'TRADE IN'!$F360=0,"",(VLOOKUP($C360,REV!$C:$AA,25,0)-'TRADE IN'!$F360))</f>
        <v>1399</v>
      </c>
      <c r="AB360" s="45"/>
      <c r="AC360" s="45"/>
      <c r="AD360" s="45"/>
      <c r="AE360" s="45"/>
      <c r="AF360" s="45"/>
      <c r="AG360" s="45"/>
      <c r="AH360" s="45"/>
      <c r="AI360" s="45"/>
      <c r="AJ360" s="45"/>
      <c r="AK360" s="45"/>
      <c r="AL360" s="45"/>
      <c r="AM360" s="45"/>
      <c r="AN360" s="45"/>
      <c r="AO360" s="45"/>
      <c r="AP360" s="45"/>
      <c r="AQ360" s="45"/>
      <c r="AR360" s="45"/>
      <c r="AS360" s="45"/>
      <c r="AT360" s="45"/>
      <c r="AU360" s="45"/>
      <c r="AV360" s="47"/>
      <c r="AW360" s="48" t="str">
        <f>REV!AW360</f>
        <v>13.08.2026</v>
      </c>
      <c r="AX360" s="149" t="s">
        <v>68</v>
      </c>
    </row>
    <row r="361" spans="1:50" ht="22.5" customHeight="1">
      <c r="A361" s="41" t="s">
        <v>63</v>
      </c>
      <c r="B361" s="42" t="s">
        <v>64</v>
      </c>
      <c r="C361" s="43">
        <v>4016049</v>
      </c>
      <c r="D361" s="56" t="s">
        <v>537</v>
      </c>
      <c r="E361" s="56" t="s">
        <v>540</v>
      </c>
      <c r="F361" s="45">
        <v>100</v>
      </c>
      <c r="G361" s="45"/>
      <c r="H361" s="45"/>
      <c r="I361" s="45"/>
      <c r="J361" s="46">
        <f>IF(VLOOKUP($C361,REV!$C:$AA,8,0)-'TRADE IN'!$F361=0,"",(VLOOKUP($C361,REV!$C:$AA,8,0)-'TRADE IN'!$F361))</f>
        <v>1399</v>
      </c>
      <c r="K361" s="46">
        <f>IF(VLOOKUP($C361,REV!$C:$AA,9,0)-'TRADE IN'!$F361=0,"",(VLOOKUP($C361,REV!$C:$AA,9,0)-'TRADE IN'!$F361))</f>
        <v>1399</v>
      </c>
      <c r="L361" s="46">
        <f>IF(VLOOKUP($C361,REV!$C:$AA,10,0)-'TRADE IN'!$F361=0,"",(VLOOKUP($C361,REV!$C:$AA,10,0)-'TRADE IN'!$F361))</f>
        <v>1399</v>
      </c>
      <c r="M361" s="46">
        <f>IF(VLOOKUP($C361,REV!$C:$AA,11,0)-'TRADE IN'!$F361=0,"",(VLOOKUP($C361,REV!$C:$AA,11,0)-'TRADE IN'!$F361))</f>
        <v>1399</v>
      </c>
      <c r="N361" s="46">
        <f>IF(VLOOKUP($C361,REV!$C:$AA,12,0)-'TRADE IN'!$F361=0,"",(VLOOKUP($C361,REV!$C:$AA,12,0)-'TRADE IN'!$F361))</f>
        <v>1399</v>
      </c>
      <c r="O361" s="46">
        <f>IF(VLOOKUP($C361,REV!$C:$AA,13,0)-'TRADE IN'!$F361=0,"",(VLOOKUP($C361,REV!$C:$AA,13,0)-'TRADE IN'!$F361))</f>
        <v>1399</v>
      </c>
      <c r="P361" s="46">
        <f>IF(VLOOKUP($C361,REV!$C:$AA,14,0)-'TRADE IN'!$F361=0,"",(VLOOKUP($C361,REV!$C:$AA,14,0)-'TRADE IN'!$F361))</f>
        <v>1399</v>
      </c>
      <c r="Q361" s="46">
        <f>IF(VLOOKUP($C361,REV!$C:$AA,15,0)-'TRADE IN'!$F361=0,"",(VLOOKUP($C361,REV!$C:$AA,15,0)-'TRADE IN'!$F361))</f>
        <v>1399</v>
      </c>
      <c r="R361" s="46">
        <f>IF(VLOOKUP($C361,REV!$C:$AA,16,0)-'TRADE IN'!$F361=0,"",(VLOOKUP($C361,REV!$C:$AA,16,0)-'TRADE IN'!$F361))</f>
        <v>1399</v>
      </c>
      <c r="S361" s="46">
        <f>IF(VLOOKUP($C361,REV!$C:$AA,17,0)-'TRADE IN'!$F361=0,"",(VLOOKUP($C361,REV!$C:$AA,17,0)-'TRADE IN'!$F361))</f>
        <v>1399</v>
      </c>
      <c r="T361" s="46">
        <f>IF(VLOOKUP($C361,REV!$C:$AA,18,0)-'TRADE IN'!$F361=0,"",(VLOOKUP($C361,REV!$C:$AA,18,0)-'TRADE IN'!$F361))</f>
        <v>1399</v>
      </c>
      <c r="U361" s="46">
        <f>IF(VLOOKUP($C361,REV!$C:$AA,19,0)-'TRADE IN'!$F361=0,"",(VLOOKUP($C361,REV!$C:$AA,19,0)-'TRADE IN'!$F361))</f>
        <v>1399</v>
      </c>
      <c r="V361" s="46">
        <f>IF(VLOOKUP($C361,REV!$C:$AA,20,0)-'TRADE IN'!$F361=0,"",(VLOOKUP($C361,REV!$C:$AA,20,0)-'TRADE IN'!$F361))</f>
        <v>1399</v>
      </c>
      <c r="W361" s="46">
        <f>IF(VLOOKUP($C361,REV!$C:$AA,21,0)-'TRADE IN'!$F361=0,"",(VLOOKUP($C361,REV!$C:$AA,21,0)-'TRADE IN'!$F361))</f>
        <v>1399</v>
      </c>
      <c r="X361" s="46">
        <f>IF(VLOOKUP($C361,REV!$C:$AA,22,0)-'TRADE IN'!$F361=0,"",(VLOOKUP($C361,REV!$C:$AA,22,0)-'TRADE IN'!$F361))</f>
        <v>1399</v>
      </c>
      <c r="Y361" s="46">
        <f>IF(VLOOKUP($C361,REV!$C:$AA,23,0)-'TRADE IN'!$F361=0,"",(VLOOKUP($C361,REV!$C:$AA,23,0)-'TRADE IN'!$F361))</f>
        <v>1399</v>
      </c>
      <c r="Z361" s="46">
        <f>IF(VLOOKUP($C361,REV!$C:$AA,24,0)-'TRADE IN'!$F361=0,"",(VLOOKUP($C361,REV!$C:$AA,24,0)-'TRADE IN'!$F361))</f>
        <v>1399</v>
      </c>
      <c r="AA361" s="46">
        <f>IF(VLOOKUP($C361,REV!$C:$AA,25,0)-'TRADE IN'!$F361=0,"",(VLOOKUP($C361,REV!$C:$AA,25,0)-'TRADE IN'!$F361))</f>
        <v>1399</v>
      </c>
      <c r="AB361" s="45"/>
      <c r="AC361" s="45"/>
      <c r="AD361" s="45"/>
      <c r="AE361" s="45"/>
      <c r="AF361" s="45"/>
      <c r="AG361" s="45"/>
      <c r="AH361" s="45"/>
      <c r="AI361" s="45"/>
      <c r="AJ361" s="45"/>
      <c r="AK361" s="45"/>
      <c r="AL361" s="45"/>
      <c r="AM361" s="45"/>
      <c r="AN361" s="45"/>
      <c r="AO361" s="45"/>
      <c r="AP361" s="45"/>
      <c r="AQ361" s="45"/>
      <c r="AR361" s="45"/>
      <c r="AS361" s="45"/>
      <c r="AT361" s="45"/>
      <c r="AU361" s="45"/>
      <c r="AV361" s="47"/>
      <c r="AW361" s="48" t="str">
        <f>REV!AW361</f>
        <v>13.08.2026</v>
      </c>
      <c r="AX361" s="149" t="s">
        <v>68</v>
      </c>
    </row>
    <row r="362" spans="1:50" ht="22.5" customHeight="1">
      <c r="A362" s="41" t="s">
        <v>63</v>
      </c>
      <c r="B362" s="42" t="s">
        <v>64</v>
      </c>
      <c r="C362" s="43">
        <v>4016072</v>
      </c>
      <c r="D362" s="56" t="s">
        <v>537</v>
      </c>
      <c r="E362" s="56" t="s">
        <v>541</v>
      </c>
      <c r="F362" s="45">
        <v>100</v>
      </c>
      <c r="G362" s="45"/>
      <c r="H362" s="45"/>
      <c r="I362" s="45"/>
      <c r="J362" s="46">
        <f>IF(VLOOKUP($C362,REV!$C:$AA,8,0)-'TRADE IN'!$F362=0,"",(VLOOKUP($C362,REV!$C:$AA,8,0)-'TRADE IN'!$F362))</f>
        <v>1399</v>
      </c>
      <c r="K362" s="46">
        <f>IF(VLOOKUP($C362,REV!$C:$AA,9,0)-'TRADE IN'!$F362=0,"",(VLOOKUP($C362,REV!$C:$AA,9,0)-'TRADE IN'!$F362))</f>
        <v>1399</v>
      </c>
      <c r="L362" s="46">
        <f>IF(VLOOKUP($C362,REV!$C:$AA,10,0)-'TRADE IN'!$F362=0,"",(VLOOKUP($C362,REV!$C:$AA,10,0)-'TRADE IN'!$F362))</f>
        <v>1399</v>
      </c>
      <c r="M362" s="46">
        <f>IF(VLOOKUP($C362,REV!$C:$AA,11,0)-'TRADE IN'!$F362=0,"",(VLOOKUP($C362,REV!$C:$AA,11,0)-'TRADE IN'!$F362))</f>
        <v>1399</v>
      </c>
      <c r="N362" s="46">
        <f>IF(VLOOKUP($C362,REV!$C:$AA,12,0)-'TRADE IN'!$F362=0,"",(VLOOKUP($C362,REV!$C:$AA,12,0)-'TRADE IN'!$F362))</f>
        <v>1399</v>
      </c>
      <c r="O362" s="46">
        <f>IF(VLOOKUP($C362,REV!$C:$AA,13,0)-'TRADE IN'!$F362=0,"",(VLOOKUP($C362,REV!$C:$AA,13,0)-'TRADE IN'!$F362))</f>
        <v>1399</v>
      </c>
      <c r="P362" s="46">
        <f>IF(VLOOKUP($C362,REV!$C:$AA,14,0)-'TRADE IN'!$F362=0,"",(VLOOKUP($C362,REV!$C:$AA,14,0)-'TRADE IN'!$F362))</f>
        <v>1399</v>
      </c>
      <c r="Q362" s="46">
        <f>IF(VLOOKUP($C362,REV!$C:$AA,15,0)-'TRADE IN'!$F362=0,"",(VLOOKUP($C362,REV!$C:$AA,15,0)-'TRADE IN'!$F362))</f>
        <v>1399</v>
      </c>
      <c r="R362" s="46">
        <f>IF(VLOOKUP($C362,REV!$C:$AA,16,0)-'TRADE IN'!$F362=0,"",(VLOOKUP($C362,REV!$C:$AA,16,0)-'TRADE IN'!$F362))</f>
        <v>1399</v>
      </c>
      <c r="S362" s="46">
        <f>IF(VLOOKUP($C362,REV!$C:$AA,17,0)-'TRADE IN'!$F362=0,"",(VLOOKUP($C362,REV!$C:$AA,17,0)-'TRADE IN'!$F362))</f>
        <v>1399</v>
      </c>
      <c r="T362" s="46">
        <f>IF(VLOOKUP($C362,REV!$C:$AA,18,0)-'TRADE IN'!$F362=0,"",(VLOOKUP($C362,REV!$C:$AA,18,0)-'TRADE IN'!$F362))</f>
        <v>1399</v>
      </c>
      <c r="U362" s="46">
        <f>IF(VLOOKUP($C362,REV!$C:$AA,19,0)-'TRADE IN'!$F362=0,"",(VLOOKUP($C362,REV!$C:$AA,19,0)-'TRADE IN'!$F362))</f>
        <v>1399</v>
      </c>
      <c r="V362" s="46">
        <f>IF(VLOOKUP($C362,REV!$C:$AA,20,0)-'TRADE IN'!$F362=0,"",(VLOOKUP($C362,REV!$C:$AA,20,0)-'TRADE IN'!$F362))</f>
        <v>1399</v>
      </c>
      <c r="W362" s="46">
        <f>IF(VLOOKUP($C362,REV!$C:$AA,21,0)-'TRADE IN'!$F362=0,"",(VLOOKUP($C362,REV!$C:$AA,21,0)-'TRADE IN'!$F362))</f>
        <v>1399</v>
      </c>
      <c r="X362" s="46">
        <f>IF(VLOOKUP($C362,REV!$C:$AA,22,0)-'TRADE IN'!$F362=0,"",(VLOOKUP($C362,REV!$C:$AA,22,0)-'TRADE IN'!$F362))</f>
        <v>1399</v>
      </c>
      <c r="Y362" s="46">
        <f>IF(VLOOKUP($C362,REV!$C:$AA,23,0)-'TRADE IN'!$F362=0,"",(VLOOKUP($C362,REV!$C:$AA,23,0)-'TRADE IN'!$F362))</f>
        <v>1399</v>
      </c>
      <c r="Z362" s="46">
        <f>IF(VLOOKUP($C362,REV!$C:$AA,24,0)-'TRADE IN'!$F362=0,"",(VLOOKUP($C362,REV!$C:$AA,24,0)-'TRADE IN'!$F362))</f>
        <v>1399</v>
      </c>
      <c r="AA362" s="46">
        <f>IF(VLOOKUP($C362,REV!$C:$AA,25,0)-'TRADE IN'!$F362=0,"",(VLOOKUP($C362,REV!$C:$AA,25,0)-'TRADE IN'!$F362))</f>
        <v>1399</v>
      </c>
      <c r="AB362" s="45"/>
      <c r="AC362" s="45"/>
      <c r="AD362" s="45"/>
      <c r="AE362" s="45"/>
      <c r="AF362" s="45"/>
      <c r="AG362" s="45"/>
      <c r="AH362" s="45"/>
      <c r="AI362" s="45"/>
      <c r="AJ362" s="45"/>
      <c r="AK362" s="45"/>
      <c r="AL362" s="45"/>
      <c r="AM362" s="45"/>
      <c r="AN362" s="45"/>
      <c r="AO362" s="45"/>
      <c r="AP362" s="45"/>
      <c r="AQ362" s="45"/>
      <c r="AR362" s="45"/>
      <c r="AS362" s="45"/>
      <c r="AT362" s="45"/>
      <c r="AU362" s="45"/>
      <c r="AV362" s="47"/>
      <c r="AW362" s="48" t="str">
        <f>REV!AW362</f>
        <v>13.08.2026</v>
      </c>
      <c r="AX362" s="149" t="s">
        <v>68</v>
      </c>
    </row>
    <row r="363" spans="1:50" ht="22.5" customHeight="1">
      <c r="A363" s="41" t="s">
        <v>63</v>
      </c>
      <c r="B363" s="42" t="s">
        <v>64</v>
      </c>
      <c r="C363" s="43">
        <v>4016064</v>
      </c>
      <c r="D363" s="56" t="s">
        <v>537</v>
      </c>
      <c r="E363" s="56" t="s">
        <v>542</v>
      </c>
      <c r="F363" s="45">
        <v>100</v>
      </c>
      <c r="G363" s="45"/>
      <c r="H363" s="45"/>
      <c r="I363" s="45"/>
      <c r="J363" s="46">
        <f>IF(VLOOKUP($C363,REV!$C:$AA,8,0)-'TRADE IN'!$F363=0,"",(VLOOKUP($C363,REV!$C:$AA,8,0)-'TRADE IN'!$F363))</f>
        <v>1399</v>
      </c>
      <c r="K363" s="46">
        <f>IF(VLOOKUP($C363,REV!$C:$AA,9,0)-'TRADE IN'!$F363=0,"",(VLOOKUP($C363,REV!$C:$AA,9,0)-'TRADE IN'!$F363))</f>
        <v>1399</v>
      </c>
      <c r="L363" s="46">
        <f>IF(VLOOKUP($C363,REV!$C:$AA,10,0)-'TRADE IN'!$F363=0,"",(VLOOKUP($C363,REV!$C:$AA,10,0)-'TRADE IN'!$F363))</f>
        <v>1399</v>
      </c>
      <c r="M363" s="46">
        <f>IF(VLOOKUP($C363,REV!$C:$AA,11,0)-'TRADE IN'!$F363=0,"",(VLOOKUP($C363,REV!$C:$AA,11,0)-'TRADE IN'!$F363))</f>
        <v>1399</v>
      </c>
      <c r="N363" s="46">
        <f>IF(VLOOKUP($C363,REV!$C:$AA,12,0)-'TRADE IN'!$F363=0,"",(VLOOKUP($C363,REV!$C:$AA,12,0)-'TRADE IN'!$F363))</f>
        <v>1399</v>
      </c>
      <c r="O363" s="46">
        <f>IF(VLOOKUP($C363,REV!$C:$AA,13,0)-'TRADE IN'!$F363=0,"",(VLOOKUP($C363,REV!$C:$AA,13,0)-'TRADE IN'!$F363))</f>
        <v>1399</v>
      </c>
      <c r="P363" s="46">
        <f>IF(VLOOKUP($C363,REV!$C:$AA,14,0)-'TRADE IN'!$F363=0,"",(VLOOKUP($C363,REV!$C:$AA,14,0)-'TRADE IN'!$F363))</f>
        <v>1399</v>
      </c>
      <c r="Q363" s="46">
        <f>IF(VLOOKUP($C363,REV!$C:$AA,15,0)-'TRADE IN'!$F363=0,"",(VLOOKUP($C363,REV!$C:$AA,15,0)-'TRADE IN'!$F363))</f>
        <v>1399</v>
      </c>
      <c r="R363" s="46">
        <f>IF(VLOOKUP($C363,REV!$C:$AA,16,0)-'TRADE IN'!$F363=0,"",(VLOOKUP($C363,REV!$C:$AA,16,0)-'TRADE IN'!$F363))</f>
        <v>1399</v>
      </c>
      <c r="S363" s="46">
        <f>IF(VLOOKUP($C363,REV!$C:$AA,17,0)-'TRADE IN'!$F363=0,"",(VLOOKUP($C363,REV!$C:$AA,17,0)-'TRADE IN'!$F363))</f>
        <v>1399</v>
      </c>
      <c r="T363" s="46">
        <f>IF(VLOOKUP($C363,REV!$C:$AA,18,0)-'TRADE IN'!$F363=0,"",(VLOOKUP($C363,REV!$C:$AA,18,0)-'TRADE IN'!$F363))</f>
        <v>1399</v>
      </c>
      <c r="U363" s="46">
        <f>IF(VLOOKUP($C363,REV!$C:$AA,19,0)-'TRADE IN'!$F363=0,"",(VLOOKUP($C363,REV!$C:$AA,19,0)-'TRADE IN'!$F363))</f>
        <v>1399</v>
      </c>
      <c r="V363" s="46">
        <f>IF(VLOOKUP($C363,REV!$C:$AA,20,0)-'TRADE IN'!$F363=0,"",(VLOOKUP($C363,REV!$C:$AA,20,0)-'TRADE IN'!$F363))</f>
        <v>1399</v>
      </c>
      <c r="W363" s="46">
        <f>IF(VLOOKUP($C363,REV!$C:$AA,21,0)-'TRADE IN'!$F363=0,"",(VLOOKUP($C363,REV!$C:$AA,21,0)-'TRADE IN'!$F363))</f>
        <v>1399</v>
      </c>
      <c r="X363" s="46">
        <f>IF(VLOOKUP($C363,REV!$C:$AA,22,0)-'TRADE IN'!$F363=0,"",(VLOOKUP($C363,REV!$C:$AA,22,0)-'TRADE IN'!$F363))</f>
        <v>1399</v>
      </c>
      <c r="Y363" s="46">
        <f>IF(VLOOKUP($C363,REV!$C:$AA,23,0)-'TRADE IN'!$F363=0,"",(VLOOKUP($C363,REV!$C:$AA,23,0)-'TRADE IN'!$F363))</f>
        <v>1399</v>
      </c>
      <c r="Z363" s="46">
        <f>IF(VLOOKUP($C363,REV!$C:$AA,24,0)-'TRADE IN'!$F363=0,"",(VLOOKUP($C363,REV!$C:$AA,24,0)-'TRADE IN'!$F363))</f>
        <v>1399</v>
      </c>
      <c r="AA363" s="46">
        <f>IF(VLOOKUP($C363,REV!$C:$AA,25,0)-'TRADE IN'!$F363=0,"",(VLOOKUP($C363,REV!$C:$AA,25,0)-'TRADE IN'!$F363))</f>
        <v>1399</v>
      </c>
      <c r="AB363" s="45"/>
      <c r="AC363" s="45"/>
      <c r="AD363" s="45"/>
      <c r="AE363" s="45"/>
      <c r="AF363" s="45"/>
      <c r="AG363" s="45"/>
      <c r="AH363" s="45"/>
      <c r="AI363" s="45"/>
      <c r="AJ363" s="45"/>
      <c r="AK363" s="45"/>
      <c r="AL363" s="45"/>
      <c r="AM363" s="45"/>
      <c r="AN363" s="45"/>
      <c r="AO363" s="45"/>
      <c r="AP363" s="45"/>
      <c r="AQ363" s="45"/>
      <c r="AR363" s="45"/>
      <c r="AS363" s="45"/>
      <c r="AT363" s="45"/>
      <c r="AU363" s="45"/>
      <c r="AV363" s="47"/>
      <c r="AW363" s="48" t="str">
        <f>REV!AW363</f>
        <v>13.08.2026</v>
      </c>
      <c r="AX363" s="149" t="s">
        <v>68</v>
      </c>
    </row>
    <row r="364" spans="1:50" ht="22.5" customHeight="1">
      <c r="A364" s="41" t="s">
        <v>63</v>
      </c>
      <c r="B364" s="42" t="s">
        <v>64</v>
      </c>
      <c r="C364" s="43">
        <v>4016033</v>
      </c>
      <c r="D364" s="56" t="s">
        <v>537</v>
      </c>
      <c r="E364" s="56" t="s">
        <v>543</v>
      </c>
      <c r="F364" s="45">
        <v>100</v>
      </c>
      <c r="G364" s="45"/>
      <c r="H364" s="45"/>
      <c r="I364" s="45"/>
      <c r="J364" s="46">
        <f>IF(VLOOKUP($C364,REV!$C:$AA,8,0)-'TRADE IN'!$F364=0,"",(VLOOKUP($C364,REV!$C:$AA,8,0)-'TRADE IN'!$F364))</f>
        <v>1399</v>
      </c>
      <c r="K364" s="46">
        <f>IF(VLOOKUP($C364,REV!$C:$AA,9,0)-'TRADE IN'!$F364=0,"",(VLOOKUP($C364,REV!$C:$AA,9,0)-'TRADE IN'!$F364))</f>
        <v>1399</v>
      </c>
      <c r="L364" s="46">
        <f>IF(VLOOKUP($C364,REV!$C:$AA,10,0)-'TRADE IN'!$F364=0,"",(VLOOKUP($C364,REV!$C:$AA,10,0)-'TRADE IN'!$F364))</f>
        <v>1399</v>
      </c>
      <c r="M364" s="46">
        <f>IF(VLOOKUP($C364,REV!$C:$AA,11,0)-'TRADE IN'!$F364=0,"",(VLOOKUP($C364,REV!$C:$AA,11,0)-'TRADE IN'!$F364))</f>
        <v>1399</v>
      </c>
      <c r="N364" s="46">
        <f>IF(VLOOKUP($C364,REV!$C:$AA,12,0)-'TRADE IN'!$F364=0,"",(VLOOKUP($C364,REV!$C:$AA,12,0)-'TRADE IN'!$F364))</f>
        <v>1399</v>
      </c>
      <c r="O364" s="46">
        <f>IF(VLOOKUP($C364,REV!$C:$AA,13,0)-'TRADE IN'!$F364=0,"",(VLOOKUP($C364,REV!$C:$AA,13,0)-'TRADE IN'!$F364))</f>
        <v>1399</v>
      </c>
      <c r="P364" s="46">
        <f>IF(VLOOKUP($C364,REV!$C:$AA,14,0)-'TRADE IN'!$F364=0,"",(VLOOKUP($C364,REV!$C:$AA,14,0)-'TRADE IN'!$F364))</f>
        <v>1399</v>
      </c>
      <c r="Q364" s="46">
        <f>IF(VLOOKUP($C364,REV!$C:$AA,15,0)-'TRADE IN'!$F364=0,"",(VLOOKUP($C364,REV!$C:$AA,15,0)-'TRADE IN'!$F364))</f>
        <v>1399</v>
      </c>
      <c r="R364" s="46">
        <f>IF(VLOOKUP($C364,REV!$C:$AA,16,0)-'TRADE IN'!$F364=0,"",(VLOOKUP($C364,REV!$C:$AA,16,0)-'TRADE IN'!$F364))</f>
        <v>1399</v>
      </c>
      <c r="S364" s="46">
        <f>IF(VLOOKUP($C364,REV!$C:$AA,17,0)-'TRADE IN'!$F364=0,"",(VLOOKUP($C364,REV!$C:$AA,17,0)-'TRADE IN'!$F364))</f>
        <v>1399</v>
      </c>
      <c r="T364" s="46">
        <f>IF(VLOOKUP($C364,REV!$C:$AA,18,0)-'TRADE IN'!$F364=0,"",(VLOOKUP($C364,REV!$C:$AA,18,0)-'TRADE IN'!$F364))</f>
        <v>1399</v>
      </c>
      <c r="U364" s="46">
        <f>IF(VLOOKUP($C364,REV!$C:$AA,19,0)-'TRADE IN'!$F364=0,"",(VLOOKUP($C364,REV!$C:$AA,19,0)-'TRADE IN'!$F364))</f>
        <v>1399</v>
      </c>
      <c r="V364" s="46">
        <f>IF(VLOOKUP($C364,REV!$C:$AA,20,0)-'TRADE IN'!$F364=0,"",(VLOOKUP($C364,REV!$C:$AA,20,0)-'TRADE IN'!$F364))</f>
        <v>1399</v>
      </c>
      <c r="W364" s="46">
        <f>IF(VLOOKUP($C364,REV!$C:$AA,21,0)-'TRADE IN'!$F364=0,"",(VLOOKUP($C364,REV!$C:$AA,21,0)-'TRADE IN'!$F364))</f>
        <v>1399</v>
      </c>
      <c r="X364" s="46">
        <f>IF(VLOOKUP($C364,REV!$C:$AA,22,0)-'TRADE IN'!$F364=0,"",(VLOOKUP($C364,REV!$C:$AA,22,0)-'TRADE IN'!$F364))</f>
        <v>1399</v>
      </c>
      <c r="Y364" s="46">
        <f>IF(VLOOKUP($C364,REV!$C:$AA,23,0)-'TRADE IN'!$F364=0,"",(VLOOKUP($C364,REV!$C:$AA,23,0)-'TRADE IN'!$F364))</f>
        <v>1399</v>
      </c>
      <c r="Z364" s="46">
        <f>IF(VLOOKUP($C364,REV!$C:$AA,24,0)-'TRADE IN'!$F364=0,"",(VLOOKUP($C364,REV!$C:$AA,24,0)-'TRADE IN'!$F364))</f>
        <v>1399</v>
      </c>
      <c r="AA364" s="46">
        <f>IF(VLOOKUP($C364,REV!$C:$AA,25,0)-'TRADE IN'!$F364=0,"",(VLOOKUP($C364,REV!$C:$AA,25,0)-'TRADE IN'!$F364))</f>
        <v>1399</v>
      </c>
      <c r="AB364" s="45"/>
      <c r="AC364" s="45"/>
      <c r="AD364" s="45"/>
      <c r="AE364" s="45"/>
      <c r="AF364" s="45"/>
      <c r="AG364" s="45"/>
      <c r="AH364" s="45"/>
      <c r="AI364" s="45"/>
      <c r="AJ364" s="45"/>
      <c r="AK364" s="45"/>
      <c r="AL364" s="45"/>
      <c r="AM364" s="45"/>
      <c r="AN364" s="45"/>
      <c r="AO364" s="45"/>
      <c r="AP364" s="45"/>
      <c r="AQ364" s="45"/>
      <c r="AR364" s="45"/>
      <c r="AS364" s="45"/>
      <c r="AT364" s="45"/>
      <c r="AU364" s="45"/>
      <c r="AV364" s="47"/>
      <c r="AW364" s="48" t="str">
        <f>REV!AW364</f>
        <v>13.08.2026</v>
      </c>
      <c r="AX364" s="149" t="s">
        <v>68</v>
      </c>
    </row>
    <row r="365" spans="1:50" ht="22.5" customHeight="1">
      <c r="A365" s="41" t="s">
        <v>63</v>
      </c>
      <c r="B365" s="42" t="s">
        <v>64</v>
      </c>
      <c r="C365" s="43">
        <v>4016026</v>
      </c>
      <c r="D365" s="56" t="s">
        <v>537</v>
      </c>
      <c r="E365" s="56" t="s">
        <v>544</v>
      </c>
      <c r="F365" s="45">
        <v>100</v>
      </c>
      <c r="G365" s="45"/>
      <c r="H365" s="45"/>
      <c r="I365" s="45"/>
      <c r="J365" s="46">
        <f>IF(VLOOKUP($C365,REV!$C:$AA,8,0)-'TRADE IN'!$F365=0,"",(VLOOKUP($C365,REV!$C:$AA,8,0)-'TRADE IN'!$F365))</f>
        <v>1399</v>
      </c>
      <c r="K365" s="46">
        <f>IF(VLOOKUP($C365,REV!$C:$AA,9,0)-'TRADE IN'!$F365=0,"",(VLOOKUP($C365,REV!$C:$AA,9,0)-'TRADE IN'!$F365))</f>
        <v>1399</v>
      </c>
      <c r="L365" s="46">
        <f>IF(VLOOKUP($C365,REV!$C:$AA,10,0)-'TRADE IN'!$F365=0,"",(VLOOKUP($C365,REV!$C:$AA,10,0)-'TRADE IN'!$F365))</f>
        <v>1399</v>
      </c>
      <c r="M365" s="46">
        <f>IF(VLOOKUP($C365,REV!$C:$AA,11,0)-'TRADE IN'!$F365=0,"",(VLOOKUP($C365,REV!$C:$AA,11,0)-'TRADE IN'!$F365))</f>
        <v>1399</v>
      </c>
      <c r="N365" s="46">
        <f>IF(VLOOKUP($C365,REV!$C:$AA,12,0)-'TRADE IN'!$F365=0,"",(VLOOKUP($C365,REV!$C:$AA,12,0)-'TRADE IN'!$F365))</f>
        <v>1399</v>
      </c>
      <c r="O365" s="46">
        <f>IF(VLOOKUP($C365,REV!$C:$AA,13,0)-'TRADE IN'!$F365=0,"",(VLOOKUP($C365,REV!$C:$AA,13,0)-'TRADE IN'!$F365))</f>
        <v>1399</v>
      </c>
      <c r="P365" s="46">
        <f>IF(VLOOKUP($C365,REV!$C:$AA,14,0)-'TRADE IN'!$F365=0,"",(VLOOKUP($C365,REV!$C:$AA,14,0)-'TRADE IN'!$F365))</f>
        <v>1399</v>
      </c>
      <c r="Q365" s="46">
        <f>IF(VLOOKUP($C365,REV!$C:$AA,15,0)-'TRADE IN'!$F365=0,"",(VLOOKUP($C365,REV!$C:$AA,15,0)-'TRADE IN'!$F365))</f>
        <v>1399</v>
      </c>
      <c r="R365" s="46">
        <f>IF(VLOOKUP($C365,REV!$C:$AA,16,0)-'TRADE IN'!$F365=0,"",(VLOOKUP($C365,REV!$C:$AA,16,0)-'TRADE IN'!$F365))</f>
        <v>1399</v>
      </c>
      <c r="S365" s="46">
        <f>IF(VLOOKUP($C365,REV!$C:$AA,17,0)-'TRADE IN'!$F365=0,"",(VLOOKUP($C365,REV!$C:$AA,17,0)-'TRADE IN'!$F365))</f>
        <v>1399</v>
      </c>
      <c r="T365" s="46">
        <f>IF(VLOOKUP($C365,REV!$C:$AA,18,0)-'TRADE IN'!$F365=0,"",(VLOOKUP($C365,REV!$C:$AA,18,0)-'TRADE IN'!$F365))</f>
        <v>1399</v>
      </c>
      <c r="U365" s="46">
        <f>IF(VLOOKUP($C365,REV!$C:$AA,19,0)-'TRADE IN'!$F365=0,"",(VLOOKUP($C365,REV!$C:$AA,19,0)-'TRADE IN'!$F365))</f>
        <v>1399</v>
      </c>
      <c r="V365" s="46">
        <f>IF(VLOOKUP($C365,REV!$C:$AA,20,0)-'TRADE IN'!$F365=0,"",(VLOOKUP($C365,REV!$C:$AA,20,0)-'TRADE IN'!$F365))</f>
        <v>1399</v>
      </c>
      <c r="W365" s="46">
        <f>IF(VLOOKUP($C365,REV!$C:$AA,21,0)-'TRADE IN'!$F365=0,"",(VLOOKUP($C365,REV!$C:$AA,21,0)-'TRADE IN'!$F365))</f>
        <v>1399</v>
      </c>
      <c r="X365" s="46">
        <f>IF(VLOOKUP($C365,REV!$C:$AA,22,0)-'TRADE IN'!$F365=0,"",(VLOOKUP($C365,REV!$C:$AA,22,0)-'TRADE IN'!$F365))</f>
        <v>1399</v>
      </c>
      <c r="Y365" s="46">
        <f>IF(VLOOKUP($C365,REV!$C:$AA,23,0)-'TRADE IN'!$F365=0,"",(VLOOKUP($C365,REV!$C:$AA,23,0)-'TRADE IN'!$F365))</f>
        <v>1399</v>
      </c>
      <c r="Z365" s="46">
        <f>IF(VLOOKUP($C365,REV!$C:$AA,24,0)-'TRADE IN'!$F365=0,"",(VLOOKUP($C365,REV!$C:$AA,24,0)-'TRADE IN'!$F365))</f>
        <v>1399</v>
      </c>
      <c r="AA365" s="46">
        <f>IF(VLOOKUP($C365,REV!$C:$AA,25,0)-'TRADE IN'!$F365=0,"",(VLOOKUP($C365,REV!$C:$AA,25,0)-'TRADE IN'!$F365))</f>
        <v>1399</v>
      </c>
      <c r="AB365" s="45"/>
      <c r="AC365" s="45"/>
      <c r="AD365" s="45"/>
      <c r="AE365" s="45"/>
      <c r="AF365" s="45"/>
      <c r="AG365" s="45"/>
      <c r="AH365" s="45"/>
      <c r="AI365" s="45"/>
      <c r="AJ365" s="45"/>
      <c r="AK365" s="45"/>
      <c r="AL365" s="45"/>
      <c r="AM365" s="45"/>
      <c r="AN365" s="45"/>
      <c r="AO365" s="45"/>
      <c r="AP365" s="45"/>
      <c r="AQ365" s="45"/>
      <c r="AR365" s="45"/>
      <c r="AS365" s="45"/>
      <c r="AT365" s="45"/>
      <c r="AU365" s="45"/>
      <c r="AV365" s="47"/>
      <c r="AW365" s="48" t="str">
        <f>REV!AW365</f>
        <v>13.08.2026</v>
      </c>
      <c r="AX365" s="149" t="s">
        <v>68</v>
      </c>
    </row>
    <row r="366" spans="1:50" ht="22.5" customHeight="1">
      <c r="A366" s="41" t="s">
        <v>63</v>
      </c>
      <c r="B366" s="42" t="s">
        <v>64</v>
      </c>
      <c r="C366" s="43">
        <v>4016056</v>
      </c>
      <c r="D366" s="56" t="s">
        <v>537</v>
      </c>
      <c r="E366" s="56" t="s">
        <v>545</v>
      </c>
      <c r="F366" s="45">
        <v>100</v>
      </c>
      <c r="G366" s="45"/>
      <c r="H366" s="45"/>
      <c r="I366" s="45"/>
      <c r="J366" s="46">
        <f>IF(VLOOKUP($C366,REV!$C:$AA,8,0)-'TRADE IN'!$F366=0,"",(VLOOKUP($C366,REV!$C:$AA,8,0)-'TRADE IN'!$F366))</f>
        <v>1399</v>
      </c>
      <c r="K366" s="46">
        <f>IF(VLOOKUP($C366,REV!$C:$AA,9,0)-'TRADE IN'!$F366=0,"",(VLOOKUP($C366,REV!$C:$AA,9,0)-'TRADE IN'!$F366))</f>
        <v>1399</v>
      </c>
      <c r="L366" s="46">
        <f>IF(VLOOKUP($C366,REV!$C:$AA,10,0)-'TRADE IN'!$F366=0,"",(VLOOKUP($C366,REV!$C:$AA,10,0)-'TRADE IN'!$F366))</f>
        <v>1399</v>
      </c>
      <c r="M366" s="46">
        <f>IF(VLOOKUP($C366,REV!$C:$AA,11,0)-'TRADE IN'!$F366=0,"",(VLOOKUP($C366,REV!$C:$AA,11,0)-'TRADE IN'!$F366))</f>
        <v>1399</v>
      </c>
      <c r="N366" s="46">
        <f>IF(VLOOKUP($C366,REV!$C:$AA,12,0)-'TRADE IN'!$F366=0,"",(VLOOKUP($C366,REV!$C:$AA,12,0)-'TRADE IN'!$F366))</f>
        <v>1399</v>
      </c>
      <c r="O366" s="46">
        <f>IF(VLOOKUP($C366,REV!$C:$AA,13,0)-'TRADE IN'!$F366=0,"",(VLOOKUP($C366,REV!$C:$AA,13,0)-'TRADE IN'!$F366))</f>
        <v>1399</v>
      </c>
      <c r="P366" s="46">
        <f>IF(VLOOKUP($C366,REV!$C:$AA,14,0)-'TRADE IN'!$F366=0,"",(VLOOKUP($C366,REV!$C:$AA,14,0)-'TRADE IN'!$F366))</f>
        <v>1399</v>
      </c>
      <c r="Q366" s="46">
        <f>IF(VLOOKUP($C366,REV!$C:$AA,15,0)-'TRADE IN'!$F366=0,"",(VLOOKUP($C366,REV!$C:$AA,15,0)-'TRADE IN'!$F366))</f>
        <v>1399</v>
      </c>
      <c r="R366" s="46">
        <f>IF(VLOOKUP($C366,REV!$C:$AA,16,0)-'TRADE IN'!$F366=0,"",(VLOOKUP($C366,REV!$C:$AA,16,0)-'TRADE IN'!$F366))</f>
        <v>1399</v>
      </c>
      <c r="S366" s="46">
        <f>IF(VLOOKUP($C366,REV!$C:$AA,17,0)-'TRADE IN'!$F366=0,"",(VLOOKUP($C366,REV!$C:$AA,17,0)-'TRADE IN'!$F366))</f>
        <v>1399</v>
      </c>
      <c r="T366" s="46">
        <f>IF(VLOOKUP($C366,REV!$C:$AA,18,0)-'TRADE IN'!$F366=0,"",(VLOOKUP($C366,REV!$C:$AA,18,0)-'TRADE IN'!$F366))</f>
        <v>1399</v>
      </c>
      <c r="U366" s="46">
        <f>IF(VLOOKUP($C366,REV!$C:$AA,19,0)-'TRADE IN'!$F366=0,"",(VLOOKUP($C366,REV!$C:$AA,19,0)-'TRADE IN'!$F366))</f>
        <v>1399</v>
      </c>
      <c r="V366" s="46">
        <f>IF(VLOOKUP($C366,REV!$C:$AA,20,0)-'TRADE IN'!$F366=0,"",(VLOOKUP($C366,REV!$C:$AA,20,0)-'TRADE IN'!$F366))</f>
        <v>1399</v>
      </c>
      <c r="W366" s="46">
        <f>IF(VLOOKUP($C366,REV!$C:$AA,21,0)-'TRADE IN'!$F366=0,"",(VLOOKUP($C366,REV!$C:$AA,21,0)-'TRADE IN'!$F366))</f>
        <v>1399</v>
      </c>
      <c r="X366" s="46">
        <f>IF(VLOOKUP($C366,REV!$C:$AA,22,0)-'TRADE IN'!$F366=0,"",(VLOOKUP($C366,REV!$C:$AA,22,0)-'TRADE IN'!$F366))</f>
        <v>1399</v>
      </c>
      <c r="Y366" s="46">
        <f>IF(VLOOKUP($C366,REV!$C:$AA,23,0)-'TRADE IN'!$F366=0,"",(VLOOKUP($C366,REV!$C:$AA,23,0)-'TRADE IN'!$F366))</f>
        <v>1399</v>
      </c>
      <c r="Z366" s="46">
        <f>IF(VLOOKUP($C366,REV!$C:$AA,24,0)-'TRADE IN'!$F366=0,"",(VLOOKUP($C366,REV!$C:$AA,24,0)-'TRADE IN'!$F366))</f>
        <v>1399</v>
      </c>
      <c r="AA366" s="46">
        <f>IF(VLOOKUP($C366,REV!$C:$AA,25,0)-'TRADE IN'!$F366=0,"",(VLOOKUP($C366,REV!$C:$AA,25,0)-'TRADE IN'!$F366))</f>
        <v>1399</v>
      </c>
      <c r="AB366" s="45"/>
      <c r="AC366" s="45"/>
      <c r="AD366" s="45"/>
      <c r="AE366" s="45"/>
      <c r="AF366" s="45"/>
      <c r="AG366" s="45"/>
      <c r="AH366" s="45"/>
      <c r="AI366" s="45"/>
      <c r="AJ366" s="45"/>
      <c r="AK366" s="45"/>
      <c r="AL366" s="45"/>
      <c r="AM366" s="45"/>
      <c r="AN366" s="45"/>
      <c r="AO366" s="45"/>
      <c r="AP366" s="45"/>
      <c r="AQ366" s="45"/>
      <c r="AR366" s="45"/>
      <c r="AS366" s="45"/>
      <c r="AT366" s="45"/>
      <c r="AU366" s="45"/>
      <c r="AV366" s="47"/>
      <c r="AW366" s="48" t="str">
        <f>REV!AW366</f>
        <v>13.08.2026</v>
      </c>
      <c r="AX366" s="149" t="s">
        <v>68</v>
      </c>
    </row>
    <row r="367" spans="1:50" ht="22.5" customHeight="1">
      <c r="A367" s="41" t="s">
        <v>63</v>
      </c>
      <c r="B367" s="42" t="s">
        <v>64</v>
      </c>
      <c r="C367" s="43">
        <v>4016036</v>
      </c>
      <c r="D367" s="56" t="s">
        <v>546</v>
      </c>
      <c r="E367" s="56" t="s">
        <v>547</v>
      </c>
      <c r="F367" s="45">
        <v>100</v>
      </c>
      <c r="G367" s="45"/>
      <c r="H367" s="45"/>
      <c r="I367" s="45"/>
      <c r="J367" s="46">
        <f>IF(VLOOKUP($C367,REV!$C:$AA,8,0)-'TRADE IN'!$F367=0,"",(VLOOKUP($C367,REV!$C:$AA,8,0)-'TRADE IN'!$F367))</f>
        <v>1399</v>
      </c>
      <c r="K367" s="46">
        <f>IF(VLOOKUP($C367,REV!$C:$AA,9,0)-'TRADE IN'!$F367=0,"",(VLOOKUP($C367,REV!$C:$AA,9,0)-'TRADE IN'!$F367))</f>
        <v>1399</v>
      </c>
      <c r="L367" s="46">
        <f>IF(VLOOKUP($C367,REV!$C:$AA,10,0)-'TRADE IN'!$F367=0,"",(VLOOKUP($C367,REV!$C:$AA,10,0)-'TRADE IN'!$F367))</f>
        <v>1399</v>
      </c>
      <c r="M367" s="46">
        <f>IF(VLOOKUP($C367,REV!$C:$AA,11,0)-'TRADE IN'!$F367=0,"",(VLOOKUP($C367,REV!$C:$AA,11,0)-'TRADE IN'!$F367))</f>
        <v>1399</v>
      </c>
      <c r="N367" s="46">
        <f>IF(VLOOKUP($C367,REV!$C:$AA,12,0)-'TRADE IN'!$F367=0,"",(VLOOKUP($C367,REV!$C:$AA,12,0)-'TRADE IN'!$F367))</f>
        <v>1399</v>
      </c>
      <c r="O367" s="46">
        <f>IF(VLOOKUP($C367,REV!$C:$AA,13,0)-'TRADE IN'!$F367=0,"",(VLOOKUP($C367,REV!$C:$AA,13,0)-'TRADE IN'!$F367))</f>
        <v>1399</v>
      </c>
      <c r="P367" s="46">
        <f>IF(VLOOKUP($C367,REV!$C:$AA,14,0)-'TRADE IN'!$F367=0,"",(VLOOKUP($C367,REV!$C:$AA,14,0)-'TRADE IN'!$F367))</f>
        <v>1399</v>
      </c>
      <c r="Q367" s="46">
        <f>IF(VLOOKUP($C367,REV!$C:$AA,15,0)-'TRADE IN'!$F367=0,"",(VLOOKUP($C367,REV!$C:$AA,15,0)-'TRADE IN'!$F367))</f>
        <v>1399</v>
      </c>
      <c r="R367" s="46">
        <f>IF(VLOOKUP($C367,REV!$C:$AA,16,0)-'TRADE IN'!$F367=0,"",(VLOOKUP($C367,REV!$C:$AA,16,0)-'TRADE IN'!$F367))</f>
        <v>1399</v>
      </c>
      <c r="S367" s="46">
        <f>IF(VLOOKUP($C367,REV!$C:$AA,17,0)-'TRADE IN'!$F367=0,"",(VLOOKUP($C367,REV!$C:$AA,17,0)-'TRADE IN'!$F367))</f>
        <v>1399</v>
      </c>
      <c r="T367" s="46">
        <f>IF(VLOOKUP($C367,REV!$C:$AA,18,0)-'TRADE IN'!$F367=0,"",(VLOOKUP($C367,REV!$C:$AA,18,0)-'TRADE IN'!$F367))</f>
        <v>1399</v>
      </c>
      <c r="U367" s="46">
        <f>IF(VLOOKUP($C367,REV!$C:$AA,19,0)-'TRADE IN'!$F367=0,"",(VLOOKUP($C367,REV!$C:$AA,19,0)-'TRADE IN'!$F367))</f>
        <v>1399</v>
      </c>
      <c r="V367" s="46">
        <f>IF(VLOOKUP($C367,REV!$C:$AA,20,0)-'TRADE IN'!$F367=0,"",(VLOOKUP($C367,REV!$C:$AA,20,0)-'TRADE IN'!$F367))</f>
        <v>1399</v>
      </c>
      <c r="W367" s="46">
        <f>IF(VLOOKUP($C367,REV!$C:$AA,21,0)-'TRADE IN'!$F367=0,"",(VLOOKUP($C367,REV!$C:$AA,21,0)-'TRADE IN'!$F367))</f>
        <v>1399</v>
      </c>
      <c r="X367" s="46">
        <f>IF(VLOOKUP($C367,REV!$C:$AA,22,0)-'TRADE IN'!$F367=0,"",(VLOOKUP($C367,REV!$C:$AA,22,0)-'TRADE IN'!$F367))</f>
        <v>1399</v>
      </c>
      <c r="Y367" s="46">
        <f>IF(VLOOKUP($C367,REV!$C:$AA,23,0)-'TRADE IN'!$F367=0,"",(VLOOKUP($C367,REV!$C:$AA,23,0)-'TRADE IN'!$F367))</f>
        <v>1399</v>
      </c>
      <c r="Z367" s="46">
        <f>IF(VLOOKUP($C367,REV!$C:$AA,24,0)-'TRADE IN'!$F367=0,"",(VLOOKUP($C367,REV!$C:$AA,24,0)-'TRADE IN'!$F367))</f>
        <v>1399</v>
      </c>
      <c r="AA367" s="46">
        <f>IF(VLOOKUP($C367,REV!$C:$AA,25,0)-'TRADE IN'!$F367=0,"",(VLOOKUP($C367,REV!$C:$AA,25,0)-'TRADE IN'!$F367))</f>
        <v>1399</v>
      </c>
      <c r="AB367" s="45"/>
      <c r="AC367" s="45"/>
      <c r="AD367" s="45"/>
      <c r="AE367" s="45"/>
      <c r="AF367" s="45"/>
      <c r="AG367" s="45"/>
      <c r="AH367" s="45"/>
      <c r="AI367" s="45"/>
      <c r="AJ367" s="45"/>
      <c r="AK367" s="45"/>
      <c r="AL367" s="45"/>
      <c r="AM367" s="45"/>
      <c r="AN367" s="45"/>
      <c r="AO367" s="45"/>
      <c r="AP367" s="45"/>
      <c r="AQ367" s="45"/>
      <c r="AR367" s="45"/>
      <c r="AS367" s="45"/>
      <c r="AT367" s="45"/>
      <c r="AU367" s="45"/>
      <c r="AV367" s="47"/>
      <c r="AW367" s="48" t="str">
        <f>REV!AW367</f>
        <v>13.08.2026</v>
      </c>
      <c r="AX367" s="149" t="s">
        <v>68</v>
      </c>
    </row>
    <row r="368" spans="1:50" ht="22.5" customHeight="1">
      <c r="A368" s="41" t="s">
        <v>63</v>
      </c>
      <c r="B368" s="42" t="s">
        <v>64</v>
      </c>
      <c r="C368" s="43">
        <v>4016068</v>
      </c>
      <c r="D368" s="56" t="s">
        <v>546</v>
      </c>
      <c r="E368" s="56" t="s">
        <v>548</v>
      </c>
      <c r="F368" s="45">
        <v>100</v>
      </c>
      <c r="G368" s="45"/>
      <c r="H368" s="45"/>
      <c r="I368" s="45"/>
      <c r="J368" s="46">
        <f>IF(VLOOKUP($C368,REV!$C:$AA,8,0)-'TRADE IN'!$F368=0,"",(VLOOKUP($C368,REV!$C:$AA,8,0)-'TRADE IN'!$F368))</f>
        <v>1399</v>
      </c>
      <c r="K368" s="46">
        <f>IF(VLOOKUP($C368,REV!$C:$AA,9,0)-'TRADE IN'!$F368=0,"",(VLOOKUP($C368,REV!$C:$AA,9,0)-'TRADE IN'!$F368))</f>
        <v>1399</v>
      </c>
      <c r="L368" s="46">
        <f>IF(VLOOKUP($C368,REV!$C:$AA,10,0)-'TRADE IN'!$F368=0,"",(VLOOKUP($C368,REV!$C:$AA,10,0)-'TRADE IN'!$F368))</f>
        <v>1399</v>
      </c>
      <c r="M368" s="46">
        <f>IF(VLOOKUP($C368,REV!$C:$AA,11,0)-'TRADE IN'!$F368=0,"",(VLOOKUP($C368,REV!$C:$AA,11,0)-'TRADE IN'!$F368))</f>
        <v>1399</v>
      </c>
      <c r="N368" s="46">
        <f>IF(VLOOKUP($C368,REV!$C:$AA,12,0)-'TRADE IN'!$F368=0,"",(VLOOKUP($C368,REV!$C:$AA,12,0)-'TRADE IN'!$F368))</f>
        <v>1399</v>
      </c>
      <c r="O368" s="46">
        <f>IF(VLOOKUP($C368,REV!$C:$AA,13,0)-'TRADE IN'!$F368=0,"",(VLOOKUP($C368,REV!$C:$AA,13,0)-'TRADE IN'!$F368))</f>
        <v>1399</v>
      </c>
      <c r="P368" s="46">
        <f>IF(VLOOKUP($C368,REV!$C:$AA,14,0)-'TRADE IN'!$F368=0,"",(VLOOKUP($C368,REV!$C:$AA,14,0)-'TRADE IN'!$F368))</f>
        <v>1399</v>
      </c>
      <c r="Q368" s="46">
        <f>IF(VLOOKUP($C368,REV!$C:$AA,15,0)-'TRADE IN'!$F368=0,"",(VLOOKUP($C368,REV!$C:$AA,15,0)-'TRADE IN'!$F368))</f>
        <v>1399</v>
      </c>
      <c r="R368" s="46">
        <f>IF(VLOOKUP($C368,REV!$C:$AA,16,0)-'TRADE IN'!$F368=0,"",(VLOOKUP($C368,REV!$C:$AA,16,0)-'TRADE IN'!$F368))</f>
        <v>1399</v>
      </c>
      <c r="S368" s="46">
        <f>IF(VLOOKUP($C368,REV!$C:$AA,17,0)-'TRADE IN'!$F368=0,"",(VLOOKUP($C368,REV!$C:$AA,17,0)-'TRADE IN'!$F368))</f>
        <v>1399</v>
      </c>
      <c r="T368" s="46">
        <f>IF(VLOOKUP($C368,REV!$C:$AA,18,0)-'TRADE IN'!$F368=0,"",(VLOOKUP($C368,REV!$C:$AA,18,0)-'TRADE IN'!$F368))</f>
        <v>1399</v>
      </c>
      <c r="U368" s="46">
        <f>IF(VLOOKUP($C368,REV!$C:$AA,19,0)-'TRADE IN'!$F368=0,"",(VLOOKUP($C368,REV!$C:$AA,19,0)-'TRADE IN'!$F368))</f>
        <v>1399</v>
      </c>
      <c r="V368" s="46">
        <f>IF(VLOOKUP($C368,REV!$C:$AA,20,0)-'TRADE IN'!$F368=0,"",(VLOOKUP($C368,REV!$C:$AA,20,0)-'TRADE IN'!$F368))</f>
        <v>1399</v>
      </c>
      <c r="W368" s="46">
        <f>IF(VLOOKUP($C368,REV!$C:$AA,21,0)-'TRADE IN'!$F368=0,"",(VLOOKUP($C368,REV!$C:$AA,21,0)-'TRADE IN'!$F368))</f>
        <v>1399</v>
      </c>
      <c r="X368" s="46">
        <f>IF(VLOOKUP($C368,REV!$C:$AA,22,0)-'TRADE IN'!$F368=0,"",(VLOOKUP($C368,REV!$C:$AA,22,0)-'TRADE IN'!$F368))</f>
        <v>1399</v>
      </c>
      <c r="Y368" s="46">
        <f>IF(VLOOKUP($C368,REV!$C:$AA,23,0)-'TRADE IN'!$F368=0,"",(VLOOKUP($C368,REV!$C:$AA,23,0)-'TRADE IN'!$F368))</f>
        <v>1399</v>
      </c>
      <c r="Z368" s="46">
        <f>IF(VLOOKUP($C368,REV!$C:$AA,24,0)-'TRADE IN'!$F368=0,"",(VLOOKUP($C368,REV!$C:$AA,24,0)-'TRADE IN'!$F368))</f>
        <v>1399</v>
      </c>
      <c r="AA368" s="46">
        <f>IF(VLOOKUP($C368,REV!$C:$AA,25,0)-'TRADE IN'!$F368=0,"",(VLOOKUP($C368,REV!$C:$AA,25,0)-'TRADE IN'!$F368))</f>
        <v>1399</v>
      </c>
      <c r="AB368" s="45"/>
      <c r="AC368" s="45"/>
      <c r="AD368" s="45"/>
      <c r="AE368" s="45"/>
      <c r="AF368" s="45"/>
      <c r="AG368" s="45"/>
      <c r="AH368" s="45"/>
      <c r="AI368" s="45"/>
      <c r="AJ368" s="45"/>
      <c r="AK368" s="45"/>
      <c r="AL368" s="45"/>
      <c r="AM368" s="45"/>
      <c r="AN368" s="45"/>
      <c r="AO368" s="45"/>
      <c r="AP368" s="45"/>
      <c r="AQ368" s="45"/>
      <c r="AR368" s="45"/>
      <c r="AS368" s="45"/>
      <c r="AT368" s="45"/>
      <c r="AU368" s="45"/>
      <c r="AV368" s="47"/>
      <c r="AW368" s="48" t="str">
        <f>REV!AW368</f>
        <v>13.08.2026</v>
      </c>
      <c r="AX368" s="149" t="s">
        <v>68</v>
      </c>
    </row>
    <row r="369" spans="1:50" ht="22.5" customHeight="1">
      <c r="A369" s="41" t="s">
        <v>63</v>
      </c>
      <c r="B369" s="42" t="s">
        <v>64</v>
      </c>
      <c r="C369" s="43">
        <v>4015888</v>
      </c>
      <c r="D369" s="56" t="s">
        <v>546</v>
      </c>
      <c r="E369" s="56" t="s">
        <v>549</v>
      </c>
      <c r="F369" s="45">
        <v>100</v>
      </c>
      <c r="G369" s="45"/>
      <c r="H369" s="45"/>
      <c r="I369" s="45"/>
      <c r="J369" s="46">
        <f>IF(VLOOKUP($C369,REV!$C:$AA,8,0)-'TRADE IN'!$F369=0,"",(VLOOKUP($C369,REV!$C:$AA,8,0)-'TRADE IN'!$F369))</f>
        <v>1399</v>
      </c>
      <c r="K369" s="46">
        <f>IF(VLOOKUP($C369,REV!$C:$AA,9,0)-'TRADE IN'!$F369=0,"",(VLOOKUP($C369,REV!$C:$AA,9,0)-'TRADE IN'!$F369))</f>
        <v>1399</v>
      </c>
      <c r="L369" s="46">
        <f>IF(VLOOKUP($C369,REV!$C:$AA,10,0)-'TRADE IN'!$F369=0,"",(VLOOKUP($C369,REV!$C:$AA,10,0)-'TRADE IN'!$F369))</f>
        <v>1399</v>
      </c>
      <c r="M369" s="46">
        <f>IF(VLOOKUP($C369,REV!$C:$AA,11,0)-'TRADE IN'!$F369=0,"",(VLOOKUP($C369,REV!$C:$AA,11,0)-'TRADE IN'!$F369))</f>
        <v>1399</v>
      </c>
      <c r="N369" s="46">
        <f>IF(VLOOKUP($C369,REV!$C:$AA,12,0)-'TRADE IN'!$F369=0,"",(VLOOKUP($C369,REV!$C:$AA,12,0)-'TRADE IN'!$F369))</f>
        <v>1399</v>
      </c>
      <c r="O369" s="46">
        <f>IF(VLOOKUP($C369,REV!$C:$AA,13,0)-'TRADE IN'!$F369=0,"",(VLOOKUP($C369,REV!$C:$AA,13,0)-'TRADE IN'!$F369))</f>
        <v>1399</v>
      </c>
      <c r="P369" s="46">
        <f>IF(VLOOKUP($C369,REV!$C:$AA,14,0)-'TRADE IN'!$F369=0,"",(VLOOKUP($C369,REV!$C:$AA,14,0)-'TRADE IN'!$F369))</f>
        <v>1399</v>
      </c>
      <c r="Q369" s="46">
        <f>IF(VLOOKUP($C369,REV!$C:$AA,15,0)-'TRADE IN'!$F369=0,"",(VLOOKUP($C369,REV!$C:$AA,15,0)-'TRADE IN'!$F369))</f>
        <v>1399</v>
      </c>
      <c r="R369" s="46">
        <f>IF(VLOOKUP($C369,REV!$C:$AA,16,0)-'TRADE IN'!$F369=0,"",(VLOOKUP($C369,REV!$C:$AA,16,0)-'TRADE IN'!$F369))</f>
        <v>1399</v>
      </c>
      <c r="S369" s="46">
        <f>IF(VLOOKUP($C369,REV!$C:$AA,17,0)-'TRADE IN'!$F369=0,"",(VLOOKUP($C369,REV!$C:$AA,17,0)-'TRADE IN'!$F369))</f>
        <v>1399</v>
      </c>
      <c r="T369" s="46">
        <f>IF(VLOOKUP($C369,REV!$C:$AA,18,0)-'TRADE IN'!$F369=0,"",(VLOOKUP($C369,REV!$C:$AA,18,0)-'TRADE IN'!$F369))</f>
        <v>1399</v>
      </c>
      <c r="U369" s="46">
        <f>IF(VLOOKUP($C369,REV!$C:$AA,19,0)-'TRADE IN'!$F369=0,"",(VLOOKUP($C369,REV!$C:$AA,19,0)-'TRADE IN'!$F369))</f>
        <v>1399</v>
      </c>
      <c r="V369" s="46">
        <f>IF(VLOOKUP($C369,REV!$C:$AA,20,0)-'TRADE IN'!$F369=0,"",(VLOOKUP($C369,REV!$C:$AA,20,0)-'TRADE IN'!$F369))</f>
        <v>1399</v>
      </c>
      <c r="W369" s="46">
        <f>IF(VLOOKUP($C369,REV!$C:$AA,21,0)-'TRADE IN'!$F369=0,"",(VLOOKUP($C369,REV!$C:$AA,21,0)-'TRADE IN'!$F369))</f>
        <v>1399</v>
      </c>
      <c r="X369" s="46">
        <f>IF(VLOOKUP($C369,REV!$C:$AA,22,0)-'TRADE IN'!$F369=0,"",(VLOOKUP($C369,REV!$C:$AA,22,0)-'TRADE IN'!$F369))</f>
        <v>1399</v>
      </c>
      <c r="Y369" s="46">
        <f>IF(VLOOKUP($C369,REV!$C:$AA,23,0)-'TRADE IN'!$F369=0,"",(VLOOKUP($C369,REV!$C:$AA,23,0)-'TRADE IN'!$F369))</f>
        <v>1399</v>
      </c>
      <c r="Z369" s="46">
        <f>IF(VLOOKUP($C369,REV!$C:$AA,24,0)-'TRADE IN'!$F369=0,"",(VLOOKUP($C369,REV!$C:$AA,24,0)-'TRADE IN'!$F369))</f>
        <v>1399</v>
      </c>
      <c r="AA369" s="46">
        <f>IF(VLOOKUP($C369,REV!$C:$AA,25,0)-'TRADE IN'!$F369=0,"",(VLOOKUP($C369,REV!$C:$AA,25,0)-'TRADE IN'!$F369))</f>
        <v>1399</v>
      </c>
      <c r="AB369" s="45"/>
      <c r="AC369" s="45"/>
      <c r="AD369" s="45"/>
      <c r="AE369" s="45"/>
      <c r="AF369" s="45"/>
      <c r="AG369" s="45"/>
      <c r="AH369" s="45"/>
      <c r="AI369" s="45"/>
      <c r="AJ369" s="45"/>
      <c r="AK369" s="45"/>
      <c r="AL369" s="45"/>
      <c r="AM369" s="45"/>
      <c r="AN369" s="45"/>
      <c r="AO369" s="45"/>
      <c r="AP369" s="45"/>
      <c r="AQ369" s="45"/>
      <c r="AR369" s="45"/>
      <c r="AS369" s="45"/>
      <c r="AT369" s="45"/>
      <c r="AU369" s="45"/>
      <c r="AV369" s="47"/>
      <c r="AW369" s="48" t="str">
        <f>REV!AW369</f>
        <v>13.08.2026</v>
      </c>
      <c r="AX369" s="149" t="s">
        <v>68</v>
      </c>
    </row>
    <row r="370" spans="1:50" ht="22.5" customHeight="1">
      <c r="A370" s="41" t="s">
        <v>63</v>
      </c>
      <c r="B370" s="42" t="s">
        <v>64</v>
      </c>
      <c r="C370" s="43">
        <v>4016044</v>
      </c>
      <c r="D370" s="56" t="s">
        <v>546</v>
      </c>
      <c r="E370" s="56" t="s">
        <v>550</v>
      </c>
      <c r="F370" s="45">
        <v>100</v>
      </c>
      <c r="G370" s="45"/>
      <c r="H370" s="45"/>
      <c r="I370" s="45"/>
      <c r="J370" s="46">
        <f>IF(VLOOKUP($C370,REV!$C:$AA,8,0)-'TRADE IN'!$F370=0,"",(VLOOKUP($C370,REV!$C:$AA,8,0)-'TRADE IN'!$F370))</f>
        <v>1399</v>
      </c>
      <c r="K370" s="46">
        <f>IF(VLOOKUP($C370,REV!$C:$AA,9,0)-'TRADE IN'!$F370=0,"",(VLOOKUP($C370,REV!$C:$AA,9,0)-'TRADE IN'!$F370))</f>
        <v>1399</v>
      </c>
      <c r="L370" s="46">
        <f>IF(VLOOKUP($C370,REV!$C:$AA,10,0)-'TRADE IN'!$F370=0,"",(VLOOKUP($C370,REV!$C:$AA,10,0)-'TRADE IN'!$F370))</f>
        <v>1399</v>
      </c>
      <c r="M370" s="46">
        <f>IF(VLOOKUP($C370,REV!$C:$AA,11,0)-'TRADE IN'!$F370=0,"",(VLOOKUP($C370,REV!$C:$AA,11,0)-'TRADE IN'!$F370))</f>
        <v>1399</v>
      </c>
      <c r="N370" s="46">
        <f>IF(VLOOKUP($C370,REV!$C:$AA,12,0)-'TRADE IN'!$F370=0,"",(VLOOKUP($C370,REV!$C:$AA,12,0)-'TRADE IN'!$F370))</f>
        <v>1399</v>
      </c>
      <c r="O370" s="46">
        <f>IF(VLOOKUP($C370,REV!$C:$AA,13,0)-'TRADE IN'!$F370=0,"",(VLOOKUP($C370,REV!$C:$AA,13,0)-'TRADE IN'!$F370))</f>
        <v>1399</v>
      </c>
      <c r="P370" s="46">
        <f>IF(VLOOKUP($C370,REV!$C:$AA,14,0)-'TRADE IN'!$F370=0,"",(VLOOKUP($C370,REV!$C:$AA,14,0)-'TRADE IN'!$F370))</f>
        <v>1399</v>
      </c>
      <c r="Q370" s="46">
        <f>IF(VLOOKUP($C370,REV!$C:$AA,15,0)-'TRADE IN'!$F370=0,"",(VLOOKUP($C370,REV!$C:$AA,15,0)-'TRADE IN'!$F370))</f>
        <v>1399</v>
      </c>
      <c r="R370" s="46">
        <f>IF(VLOOKUP($C370,REV!$C:$AA,16,0)-'TRADE IN'!$F370=0,"",(VLOOKUP($C370,REV!$C:$AA,16,0)-'TRADE IN'!$F370))</f>
        <v>1399</v>
      </c>
      <c r="S370" s="46">
        <f>IF(VLOOKUP($C370,REV!$C:$AA,17,0)-'TRADE IN'!$F370=0,"",(VLOOKUP($C370,REV!$C:$AA,17,0)-'TRADE IN'!$F370))</f>
        <v>1399</v>
      </c>
      <c r="T370" s="46">
        <f>IF(VLOOKUP($C370,REV!$C:$AA,18,0)-'TRADE IN'!$F370=0,"",(VLOOKUP($C370,REV!$C:$AA,18,0)-'TRADE IN'!$F370))</f>
        <v>1399</v>
      </c>
      <c r="U370" s="46">
        <f>IF(VLOOKUP($C370,REV!$C:$AA,19,0)-'TRADE IN'!$F370=0,"",(VLOOKUP($C370,REV!$C:$AA,19,0)-'TRADE IN'!$F370))</f>
        <v>1399</v>
      </c>
      <c r="V370" s="46">
        <f>IF(VLOOKUP($C370,REV!$C:$AA,20,0)-'TRADE IN'!$F370=0,"",(VLOOKUP($C370,REV!$C:$AA,20,0)-'TRADE IN'!$F370))</f>
        <v>1399</v>
      </c>
      <c r="W370" s="46">
        <f>IF(VLOOKUP($C370,REV!$C:$AA,21,0)-'TRADE IN'!$F370=0,"",(VLOOKUP($C370,REV!$C:$AA,21,0)-'TRADE IN'!$F370))</f>
        <v>1399</v>
      </c>
      <c r="X370" s="46">
        <f>IF(VLOOKUP($C370,REV!$C:$AA,22,0)-'TRADE IN'!$F370=0,"",(VLOOKUP($C370,REV!$C:$AA,22,0)-'TRADE IN'!$F370))</f>
        <v>1399</v>
      </c>
      <c r="Y370" s="46">
        <f>IF(VLOOKUP($C370,REV!$C:$AA,23,0)-'TRADE IN'!$F370=0,"",(VLOOKUP($C370,REV!$C:$AA,23,0)-'TRADE IN'!$F370))</f>
        <v>1399</v>
      </c>
      <c r="Z370" s="46">
        <f>IF(VLOOKUP($C370,REV!$C:$AA,24,0)-'TRADE IN'!$F370=0,"",(VLOOKUP($C370,REV!$C:$AA,24,0)-'TRADE IN'!$F370))</f>
        <v>1399</v>
      </c>
      <c r="AA370" s="46">
        <f>IF(VLOOKUP($C370,REV!$C:$AA,25,0)-'TRADE IN'!$F370=0,"",(VLOOKUP($C370,REV!$C:$AA,25,0)-'TRADE IN'!$F370))</f>
        <v>1399</v>
      </c>
      <c r="AB370" s="45"/>
      <c r="AC370" s="45"/>
      <c r="AD370" s="45"/>
      <c r="AE370" s="45"/>
      <c r="AF370" s="45"/>
      <c r="AG370" s="45"/>
      <c r="AH370" s="45"/>
      <c r="AI370" s="45"/>
      <c r="AJ370" s="45"/>
      <c r="AK370" s="45"/>
      <c r="AL370" s="45"/>
      <c r="AM370" s="45"/>
      <c r="AN370" s="45"/>
      <c r="AO370" s="45"/>
      <c r="AP370" s="45"/>
      <c r="AQ370" s="45"/>
      <c r="AR370" s="45"/>
      <c r="AS370" s="45"/>
      <c r="AT370" s="45"/>
      <c r="AU370" s="45"/>
      <c r="AV370" s="47"/>
      <c r="AW370" s="48" t="str">
        <f>REV!AW370</f>
        <v>13.08.2026</v>
      </c>
      <c r="AX370" s="149" t="s">
        <v>68</v>
      </c>
    </row>
    <row r="371" spans="1:50" ht="22.5" customHeight="1">
      <c r="A371" s="41" t="s">
        <v>63</v>
      </c>
      <c r="B371" s="42" t="s">
        <v>64</v>
      </c>
      <c r="C371" s="43">
        <v>4016074</v>
      </c>
      <c r="D371" s="56" t="s">
        <v>546</v>
      </c>
      <c r="E371" s="56" t="s">
        <v>551</v>
      </c>
      <c r="F371" s="45">
        <v>100</v>
      </c>
      <c r="G371" s="45"/>
      <c r="H371" s="45"/>
      <c r="I371" s="45"/>
      <c r="J371" s="46">
        <f>IF(VLOOKUP($C371,REV!$C:$AA,8,0)-'TRADE IN'!$F371=0,"",(VLOOKUP($C371,REV!$C:$AA,8,0)-'TRADE IN'!$F371))</f>
        <v>1399</v>
      </c>
      <c r="K371" s="46">
        <f>IF(VLOOKUP($C371,REV!$C:$AA,9,0)-'TRADE IN'!$F371=0,"",(VLOOKUP($C371,REV!$C:$AA,9,0)-'TRADE IN'!$F371))</f>
        <v>1399</v>
      </c>
      <c r="L371" s="46">
        <f>IF(VLOOKUP($C371,REV!$C:$AA,10,0)-'TRADE IN'!$F371=0,"",(VLOOKUP($C371,REV!$C:$AA,10,0)-'TRADE IN'!$F371))</f>
        <v>1399</v>
      </c>
      <c r="M371" s="46">
        <f>IF(VLOOKUP($C371,REV!$C:$AA,11,0)-'TRADE IN'!$F371=0,"",(VLOOKUP($C371,REV!$C:$AA,11,0)-'TRADE IN'!$F371))</f>
        <v>1399</v>
      </c>
      <c r="N371" s="46">
        <f>IF(VLOOKUP($C371,REV!$C:$AA,12,0)-'TRADE IN'!$F371=0,"",(VLOOKUP($C371,REV!$C:$AA,12,0)-'TRADE IN'!$F371))</f>
        <v>1399</v>
      </c>
      <c r="O371" s="46">
        <f>IF(VLOOKUP($C371,REV!$C:$AA,13,0)-'TRADE IN'!$F371=0,"",(VLOOKUP($C371,REV!$C:$AA,13,0)-'TRADE IN'!$F371))</f>
        <v>1399</v>
      </c>
      <c r="P371" s="46">
        <f>IF(VLOOKUP($C371,REV!$C:$AA,14,0)-'TRADE IN'!$F371=0,"",(VLOOKUP($C371,REV!$C:$AA,14,0)-'TRADE IN'!$F371))</f>
        <v>1399</v>
      </c>
      <c r="Q371" s="46">
        <f>IF(VLOOKUP($C371,REV!$C:$AA,15,0)-'TRADE IN'!$F371=0,"",(VLOOKUP($C371,REV!$C:$AA,15,0)-'TRADE IN'!$F371))</f>
        <v>1399</v>
      </c>
      <c r="R371" s="46">
        <f>IF(VLOOKUP($C371,REV!$C:$AA,16,0)-'TRADE IN'!$F371=0,"",(VLOOKUP($C371,REV!$C:$AA,16,0)-'TRADE IN'!$F371))</f>
        <v>1399</v>
      </c>
      <c r="S371" s="46">
        <f>IF(VLOOKUP($C371,REV!$C:$AA,17,0)-'TRADE IN'!$F371=0,"",(VLOOKUP($C371,REV!$C:$AA,17,0)-'TRADE IN'!$F371))</f>
        <v>1399</v>
      </c>
      <c r="T371" s="46">
        <f>IF(VLOOKUP($C371,REV!$C:$AA,18,0)-'TRADE IN'!$F371=0,"",(VLOOKUP($C371,REV!$C:$AA,18,0)-'TRADE IN'!$F371))</f>
        <v>1399</v>
      </c>
      <c r="U371" s="46">
        <f>IF(VLOOKUP($C371,REV!$C:$AA,19,0)-'TRADE IN'!$F371=0,"",(VLOOKUP($C371,REV!$C:$AA,19,0)-'TRADE IN'!$F371))</f>
        <v>1399</v>
      </c>
      <c r="V371" s="46">
        <f>IF(VLOOKUP($C371,REV!$C:$AA,20,0)-'TRADE IN'!$F371=0,"",(VLOOKUP($C371,REV!$C:$AA,20,0)-'TRADE IN'!$F371))</f>
        <v>1399</v>
      </c>
      <c r="W371" s="46">
        <f>IF(VLOOKUP($C371,REV!$C:$AA,21,0)-'TRADE IN'!$F371=0,"",(VLOOKUP($C371,REV!$C:$AA,21,0)-'TRADE IN'!$F371))</f>
        <v>1399</v>
      </c>
      <c r="X371" s="46">
        <f>IF(VLOOKUP($C371,REV!$C:$AA,22,0)-'TRADE IN'!$F371=0,"",(VLOOKUP($C371,REV!$C:$AA,22,0)-'TRADE IN'!$F371))</f>
        <v>1399</v>
      </c>
      <c r="Y371" s="46">
        <f>IF(VLOOKUP($C371,REV!$C:$AA,23,0)-'TRADE IN'!$F371=0,"",(VLOOKUP($C371,REV!$C:$AA,23,0)-'TRADE IN'!$F371))</f>
        <v>1399</v>
      </c>
      <c r="Z371" s="46">
        <f>IF(VLOOKUP($C371,REV!$C:$AA,24,0)-'TRADE IN'!$F371=0,"",(VLOOKUP($C371,REV!$C:$AA,24,0)-'TRADE IN'!$F371))</f>
        <v>1399</v>
      </c>
      <c r="AA371" s="46">
        <f>IF(VLOOKUP($C371,REV!$C:$AA,25,0)-'TRADE IN'!$F371=0,"",(VLOOKUP($C371,REV!$C:$AA,25,0)-'TRADE IN'!$F371))</f>
        <v>1399</v>
      </c>
      <c r="AB371" s="45"/>
      <c r="AC371" s="45"/>
      <c r="AD371" s="45"/>
      <c r="AE371" s="45"/>
      <c r="AF371" s="45"/>
      <c r="AG371" s="45"/>
      <c r="AH371" s="45"/>
      <c r="AI371" s="45"/>
      <c r="AJ371" s="45"/>
      <c r="AK371" s="45"/>
      <c r="AL371" s="45"/>
      <c r="AM371" s="45"/>
      <c r="AN371" s="45"/>
      <c r="AO371" s="45"/>
      <c r="AP371" s="45"/>
      <c r="AQ371" s="45"/>
      <c r="AR371" s="45"/>
      <c r="AS371" s="45"/>
      <c r="AT371" s="45"/>
      <c r="AU371" s="45"/>
      <c r="AV371" s="47"/>
      <c r="AW371" s="48" t="str">
        <f>REV!AW371</f>
        <v>13.08.2026</v>
      </c>
      <c r="AX371" s="149" t="s">
        <v>68</v>
      </c>
    </row>
    <row r="372" spans="1:50" ht="22.5" customHeight="1">
      <c r="A372" s="41" t="s">
        <v>63</v>
      </c>
      <c r="B372" s="42" t="s">
        <v>64</v>
      </c>
      <c r="C372" s="43">
        <v>4016032</v>
      </c>
      <c r="D372" s="56" t="s">
        <v>552</v>
      </c>
      <c r="E372" s="56" t="s">
        <v>553</v>
      </c>
      <c r="F372" s="45">
        <v>100</v>
      </c>
      <c r="G372" s="45"/>
      <c r="H372" s="45"/>
      <c r="I372" s="45"/>
      <c r="J372" s="46">
        <f>IF(VLOOKUP($C372,REV!$C:$AA,8,0)-'TRADE IN'!$F372=0,"",(VLOOKUP($C372,REV!$C:$AA,8,0)-'TRADE IN'!$F372))</f>
        <v>1899</v>
      </c>
      <c r="K372" s="46">
        <f>IF(VLOOKUP($C372,REV!$C:$AA,9,0)-'TRADE IN'!$F372=0,"",(VLOOKUP($C372,REV!$C:$AA,9,0)-'TRADE IN'!$F372))</f>
        <v>1899</v>
      </c>
      <c r="L372" s="46">
        <f>IF(VLOOKUP($C372,REV!$C:$AA,10,0)-'TRADE IN'!$F372=0,"",(VLOOKUP($C372,REV!$C:$AA,10,0)-'TRADE IN'!$F372))</f>
        <v>1899</v>
      </c>
      <c r="M372" s="46">
        <f>IF(VLOOKUP($C372,REV!$C:$AA,11,0)-'TRADE IN'!$F372=0,"",(VLOOKUP($C372,REV!$C:$AA,11,0)-'TRADE IN'!$F372))</f>
        <v>1899</v>
      </c>
      <c r="N372" s="46">
        <f>IF(VLOOKUP($C372,REV!$C:$AA,12,0)-'TRADE IN'!$F372=0,"",(VLOOKUP($C372,REV!$C:$AA,12,0)-'TRADE IN'!$F372))</f>
        <v>1899</v>
      </c>
      <c r="O372" s="46">
        <f>IF(VLOOKUP($C372,REV!$C:$AA,13,0)-'TRADE IN'!$F372=0,"",(VLOOKUP($C372,REV!$C:$AA,13,0)-'TRADE IN'!$F372))</f>
        <v>1899</v>
      </c>
      <c r="P372" s="46">
        <f>IF(VLOOKUP($C372,REV!$C:$AA,14,0)-'TRADE IN'!$F372=0,"",(VLOOKUP($C372,REV!$C:$AA,14,0)-'TRADE IN'!$F372))</f>
        <v>1899</v>
      </c>
      <c r="Q372" s="46">
        <f>IF(VLOOKUP($C372,REV!$C:$AA,15,0)-'TRADE IN'!$F372=0,"",(VLOOKUP($C372,REV!$C:$AA,15,0)-'TRADE IN'!$F372))</f>
        <v>1899</v>
      </c>
      <c r="R372" s="46">
        <f>IF(VLOOKUP($C372,REV!$C:$AA,16,0)-'TRADE IN'!$F372=0,"",(VLOOKUP($C372,REV!$C:$AA,16,0)-'TRADE IN'!$F372))</f>
        <v>1899</v>
      </c>
      <c r="S372" s="46">
        <f>IF(VLOOKUP($C372,REV!$C:$AA,17,0)-'TRADE IN'!$F372=0,"",(VLOOKUP($C372,REV!$C:$AA,17,0)-'TRADE IN'!$F372))</f>
        <v>1899</v>
      </c>
      <c r="T372" s="46">
        <f>IF(VLOOKUP($C372,REV!$C:$AA,18,0)-'TRADE IN'!$F372=0,"",(VLOOKUP($C372,REV!$C:$AA,18,0)-'TRADE IN'!$F372))</f>
        <v>1899</v>
      </c>
      <c r="U372" s="46">
        <f>IF(VLOOKUP($C372,REV!$C:$AA,19,0)-'TRADE IN'!$F372=0,"",(VLOOKUP($C372,REV!$C:$AA,19,0)-'TRADE IN'!$F372))</f>
        <v>1899</v>
      </c>
      <c r="V372" s="46">
        <f>IF(VLOOKUP($C372,REV!$C:$AA,20,0)-'TRADE IN'!$F372=0,"",(VLOOKUP($C372,REV!$C:$AA,20,0)-'TRADE IN'!$F372))</f>
        <v>1899</v>
      </c>
      <c r="W372" s="46">
        <f>IF(VLOOKUP($C372,REV!$C:$AA,21,0)-'TRADE IN'!$F372=0,"",(VLOOKUP($C372,REV!$C:$AA,21,0)-'TRADE IN'!$F372))</f>
        <v>1899</v>
      </c>
      <c r="X372" s="46">
        <f>IF(VLOOKUP($C372,REV!$C:$AA,22,0)-'TRADE IN'!$F372=0,"",(VLOOKUP($C372,REV!$C:$AA,22,0)-'TRADE IN'!$F372))</f>
        <v>1899</v>
      </c>
      <c r="Y372" s="46">
        <f>IF(VLOOKUP($C372,REV!$C:$AA,23,0)-'TRADE IN'!$F372=0,"",(VLOOKUP($C372,REV!$C:$AA,23,0)-'TRADE IN'!$F372))</f>
        <v>1899</v>
      </c>
      <c r="Z372" s="46">
        <f>IF(VLOOKUP($C372,REV!$C:$AA,24,0)-'TRADE IN'!$F372=0,"",(VLOOKUP($C372,REV!$C:$AA,24,0)-'TRADE IN'!$F372))</f>
        <v>1899</v>
      </c>
      <c r="AA372" s="46">
        <f>IF(VLOOKUP($C372,REV!$C:$AA,25,0)-'TRADE IN'!$F372=0,"",(VLOOKUP($C372,REV!$C:$AA,25,0)-'TRADE IN'!$F372))</f>
        <v>1899</v>
      </c>
      <c r="AB372" s="45"/>
      <c r="AC372" s="45"/>
      <c r="AD372" s="45"/>
      <c r="AE372" s="45"/>
      <c r="AF372" s="45"/>
      <c r="AG372" s="45"/>
      <c r="AH372" s="45"/>
      <c r="AI372" s="45"/>
      <c r="AJ372" s="45"/>
      <c r="AK372" s="45"/>
      <c r="AL372" s="45"/>
      <c r="AM372" s="45"/>
      <c r="AN372" s="45"/>
      <c r="AO372" s="45"/>
      <c r="AP372" s="45"/>
      <c r="AQ372" s="45"/>
      <c r="AR372" s="45"/>
      <c r="AS372" s="45"/>
      <c r="AT372" s="45"/>
      <c r="AU372" s="45"/>
      <c r="AV372" s="47"/>
      <c r="AW372" s="48" t="str">
        <f>REV!AW372</f>
        <v>13.08.2026</v>
      </c>
      <c r="AX372" s="149" t="s">
        <v>68</v>
      </c>
    </row>
    <row r="373" spans="1:50" ht="22.5" customHeight="1">
      <c r="A373" s="41" t="s">
        <v>63</v>
      </c>
      <c r="B373" s="42" t="s">
        <v>64</v>
      </c>
      <c r="C373" s="43">
        <v>4016065</v>
      </c>
      <c r="D373" s="56" t="s">
        <v>552</v>
      </c>
      <c r="E373" s="56" t="s">
        <v>554</v>
      </c>
      <c r="F373" s="45">
        <v>100</v>
      </c>
      <c r="G373" s="45"/>
      <c r="H373" s="45"/>
      <c r="I373" s="45"/>
      <c r="J373" s="46">
        <f>IF(VLOOKUP($C373,REV!$C:$AA,8,0)-'TRADE IN'!$F373=0,"",(VLOOKUP($C373,REV!$C:$AA,8,0)-'TRADE IN'!$F373))</f>
        <v>1899</v>
      </c>
      <c r="K373" s="46">
        <f>IF(VLOOKUP($C373,REV!$C:$AA,9,0)-'TRADE IN'!$F373=0,"",(VLOOKUP($C373,REV!$C:$AA,9,0)-'TRADE IN'!$F373))</f>
        <v>1899</v>
      </c>
      <c r="L373" s="46">
        <f>IF(VLOOKUP($C373,REV!$C:$AA,10,0)-'TRADE IN'!$F373=0,"",(VLOOKUP($C373,REV!$C:$AA,10,0)-'TRADE IN'!$F373))</f>
        <v>1899</v>
      </c>
      <c r="M373" s="46">
        <f>IF(VLOOKUP($C373,REV!$C:$AA,11,0)-'TRADE IN'!$F373=0,"",(VLOOKUP($C373,REV!$C:$AA,11,0)-'TRADE IN'!$F373))</f>
        <v>1899</v>
      </c>
      <c r="N373" s="46">
        <f>IF(VLOOKUP($C373,REV!$C:$AA,12,0)-'TRADE IN'!$F373=0,"",(VLOOKUP($C373,REV!$C:$AA,12,0)-'TRADE IN'!$F373))</f>
        <v>1899</v>
      </c>
      <c r="O373" s="46">
        <f>IF(VLOOKUP($C373,REV!$C:$AA,13,0)-'TRADE IN'!$F373=0,"",(VLOOKUP($C373,REV!$C:$AA,13,0)-'TRADE IN'!$F373))</f>
        <v>1899</v>
      </c>
      <c r="P373" s="46">
        <f>IF(VLOOKUP($C373,REV!$C:$AA,14,0)-'TRADE IN'!$F373=0,"",(VLOOKUP($C373,REV!$C:$AA,14,0)-'TRADE IN'!$F373))</f>
        <v>1899</v>
      </c>
      <c r="Q373" s="46">
        <f>IF(VLOOKUP($C373,REV!$C:$AA,15,0)-'TRADE IN'!$F373=0,"",(VLOOKUP($C373,REV!$C:$AA,15,0)-'TRADE IN'!$F373))</f>
        <v>1899</v>
      </c>
      <c r="R373" s="46">
        <f>IF(VLOOKUP($C373,REV!$C:$AA,16,0)-'TRADE IN'!$F373=0,"",(VLOOKUP($C373,REV!$C:$AA,16,0)-'TRADE IN'!$F373))</f>
        <v>1899</v>
      </c>
      <c r="S373" s="46">
        <f>IF(VLOOKUP($C373,REV!$C:$AA,17,0)-'TRADE IN'!$F373=0,"",(VLOOKUP($C373,REV!$C:$AA,17,0)-'TRADE IN'!$F373))</f>
        <v>1899</v>
      </c>
      <c r="T373" s="46">
        <f>IF(VLOOKUP($C373,REV!$C:$AA,18,0)-'TRADE IN'!$F373=0,"",(VLOOKUP($C373,REV!$C:$AA,18,0)-'TRADE IN'!$F373))</f>
        <v>1899</v>
      </c>
      <c r="U373" s="46">
        <f>IF(VLOOKUP($C373,REV!$C:$AA,19,0)-'TRADE IN'!$F373=0,"",(VLOOKUP($C373,REV!$C:$AA,19,0)-'TRADE IN'!$F373))</f>
        <v>1899</v>
      </c>
      <c r="V373" s="46">
        <f>IF(VLOOKUP($C373,REV!$C:$AA,20,0)-'TRADE IN'!$F373=0,"",(VLOOKUP($C373,REV!$C:$AA,20,0)-'TRADE IN'!$F373))</f>
        <v>1899</v>
      </c>
      <c r="W373" s="46">
        <f>IF(VLOOKUP($C373,REV!$C:$AA,21,0)-'TRADE IN'!$F373=0,"",(VLOOKUP($C373,REV!$C:$AA,21,0)-'TRADE IN'!$F373))</f>
        <v>1899</v>
      </c>
      <c r="X373" s="46">
        <f>IF(VLOOKUP($C373,REV!$C:$AA,22,0)-'TRADE IN'!$F373=0,"",(VLOOKUP($C373,REV!$C:$AA,22,0)-'TRADE IN'!$F373))</f>
        <v>1899</v>
      </c>
      <c r="Y373" s="46">
        <f>IF(VLOOKUP($C373,REV!$C:$AA,23,0)-'TRADE IN'!$F373=0,"",(VLOOKUP($C373,REV!$C:$AA,23,0)-'TRADE IN'!$F373))</f>
        <v>1899</v>
      </c>
      <c r="Z373" s="46">
        <f>IF(VLOOKUP($C373,REV!$C:$AA,24,0)-'TRADE IN'!$F373=0,"",(VLOOKUP($C373,REV!$C:$AA,24,0)-'TRADE IN'!$F373))</f>
        <v>1899</v>
      </c>
      <c r="AA373" s="46">
        <f>IF(VLOOKUP($C373,REV!$C:$AA,25,0)-'TRADE IN'!$F373=0,"",(VLOOKUP($C373,REV!$C:$AA,25,0)-'TRADE IN'!$F373))</f>
        <v>1899</v>
      </c>
      <c r="AB373" s="45"/>
      <c r="AC373" s="45"/>
      <c r="AD373" s="45"/>
      <c r="AE373" s="45"/>
      <c r="AF373" s="45"/>
      <c r="AG373" s="45"/>
      <c r="AH373" s="45"/>
      <c r="AI373" s="45"/>
      <c r="AJ373" s="45"/>
      <c r="AK373" s="45"/>
      <c r="AL373" s="45"/>
      <c r="AM373" s="45"/>
      <c r="AN373" s="45"/>
      <c r="AO373" s="45"/>
      <c r="AP373" s="45"/>
      <c r="AQ373" s="45"/>
      <c r="AR373" s="45"/>
      <c r="AS373" s="45"/>
      <c r="AT373" s="45"/>
      <c r="AU373" s="45"/>
      <c r="AV373" s="47"/>
      <c r="AW373" s="48" t="str">
        <f>REV!AW373</f>
        <v>13.08.2026</v>
      </c>
      <c r="AX373" s="149" t="s">
        <v>68</v>
      </c>
    </row>
    <row r="374" spans="1:50" ht="22.5" customHeight="1">
      <c r="A374" s="41" t="s">
        <v>63</v>
      </c>
      <c r="B374" s="42" t="s">
        <v>64</v>
      </c>
      <c r="C374" s="43">
        <v>4016041</v>
      </c>
      <c r="D374" s="56" t="s">
        <v>552</v>
      </c>
      <c r="E374" s="56" t="s">
        <v>555</v>
      </c>
      <c r="F374" s="45">
        <v>100</v>
      </c>
      <c r="G374" s="45"/>
      <c r="H374" s="45"/>
      <c r="I374" s="45"/>
      <c r="J374" s="46">
        <f>IF(VLOOKUP($C374,REV!$C:$AA,8,0)-'TRADE IN'!$F374=0,"",(VLOOKUP($C374,REV!$C:$AA,8,0)-'TRADE IN'!$F374))</f>
        <v>1899</v>
      </c>
      <c r="K374" s="46">
        <f>IF(VLOOKUP($C374,REV!$C:$AA,9,0)-'TRADE IN'!$F374=0,"",(VLOOKUP($C374,REV!$C:$AA,9,0)-'TRADE IN'!$F374))</f>
        <v>1899</v>
      </c>
      <c r="L374" s="46">
        <f>IF(VLOOKUP($C374,REV!$C:$AA,10,0)-'TRADE IN'!$F374=0,"",(VLOOKUP($C374,REV!$C:$AA,10,0)-'TRADE IN'!$F374))</f>
        <v>1899</v>
      </c>
      <c r="M374" s="46">
        <f>IF(VLOOKUP($C374,REV!$C:$AA,11,0)-'TRADE IN'!$F374=0,"",(VLOOKUP($C374,REV!$C:$AA,11,0)-'TRADE IN'!$F374))</f>
        <v>1899</v>
      </c>
      <c r="N374" s="46">
        <f>IF(VLOOKUP($C374,REV!$C:$AA,12,0)-'TRADE IN'!$F374=0,"",(VLOOKUP($C374,REV!$C:$AA,12,0)-'TRADE IN'!$F374))</f>
        <v>1899</v>
      </c>
      <c r="O374" s="46">
        <f>IF(VLOOKUP($C374,REV!$C:$AA,13,0)-'TRADE IN'!$F374=0,"",(VLOOKUP($C374,REV!$C:$AA,13,0)-'TRADE IN'!$F374))</f>
        <v>1899</v>
      </c>
      <c r="P374" s="46">
        <f>IF(VLOOKUP($C374,REV!$C:$AA,14,0)-'TRADE IN'!$F374=0,"",(VLOOKUP($C374,REV!$C:$AA,14,0)-'TRADE IN'!$F374))</f>
        <v>1899</v>
      </c>
      <c r="Q374" s="46">
        <f>IF(VLOOKUP($C374,REV!$C:$AA,15,0)-'TRADE IN'!$F374=0,"",(VLOOKUP($C374,REV!$C:$AA,15,0)-'TRADE IN'!$F374))</f>
        <v>1899</v>
      </c>
      <c r="R374" s="46">
        <f>IF(VLOOKUP($C374,REV!$C:$AA,16,0)-'TRADE IN'!$F374=0,"",(VLOOKUP($C374,REV!$C:$AA,16,0)-'TRADE IN'!$F374))</f>
        <v>1899</v>
      </c>
      <c r="S374" s="46">
        <f>IF(VLOOKUP($C374,REV!$C:$AA,17,0)-'TRADE IN'!$F374=0,"",(VLOOKUP($C374,REV!$C:$AA,17,0)-'TRADE IN'!$F374))</f>
        <v>1899</v>
      </c>
      <c r="T374" s="46">
        <f>IF(VLOOKUP($C374,REV!$C:$AA,18,0)-'TRADE IN'!$F374=0,"",(VLOOKUP($C374,REV!$C:$AA,18,0)-'TRADE IN'!$F374))</f>
        <v>1899</v>
      </c>
      <c r="U374" s="46">
        <f>IF(VLOOKUP($C374,REV!$C:$AA,19,0)-'TRADE IN'!$F374=0,"",(VLOOKUP($C374,REV!$C:$AA,19,0)-'TRADE IN'!$F374))</f>
        <v>1899</v>
      </c>
      <c r="V374" s="46">
        <f>IF(VLOOKUP($C374,REV!$C:$AA,20,0)-'TRADE IN'!$F374=0,"",(VLOOKUP($C374,REV!$C:$AA,20,0)-'TRADE IN'!$F374))</f>
        <v>1899</v>
      </c>
      <c r="W374" s="46">
        <f>IF(VLOOKUP($C374,REV!$C:$AA,21,0)-'TRADE IN'!$F374=0,"",(VLOOKUP($C374,REV!$C:$AA,21,0)-'TRADE IN'!$F374))</f>
        <v>1899</v>
      </c>
      <c r="X374" s="46">
        <f>IF(VLOOKUP($C374,REV!$C:$AA,22,0)-'TRADE IN'!$F374=0,"",(VLOOKUP($C374,REV!$C:$AA,22,0)-'TRADE IN'!$F374))</f>
        <v>1899</v>
      </c>
      <c r="Y374" s="46">
        <f>IF(VLOOKUP($C374,REV!$C:$AA,23,0)-'TRADE IN'!$F374=0,"",(VLOOKUP($C374,REV!$C:$AA,23,0)-'TRADE IN'!$F374))</f>
        <v>1899</v>
      </c>
      <c r="Z374" s="46">
        <f>IF(VLOOKUP($C374,REV!$C:$AA,24,0)-'TRADE IN'!$F374=0,"",(VLOOKUP($C374,REV!$C:$AA,24,0)-'TRADE IN'!$F374))</f>
        <v>1899</v>
      </c>
      <c r="AA374" s="46">
        <f>IF(VLOOKUP($C374,REV!$C:$AA,25,0)-'TRADE IN'!$F374=0,"",(VLOOKUP($C374,REV!$C:$AA,25,0)-'TRADE IN'!$F374))</f>
        <v>1899</v>
      </c>
      <c r="AB374" s="45"/>
      <c r="AC374" s="45"/>
      <c r="AD374" s="45"/>
      <c r="AE374" s="45"/>
      <c r="AF374" s="45"/>
      <c r="AG374" s="45"/>
      <c r="AH374" s="45"/>
      <c r="AI374" s="45"/>
      <c r="AJ374" s="45"/>
      <c r="AK374" s="45"/>
      <c r="AL374" s="45"/>
      <c r="AM374" s="45"/>
      <c r="AN374" s="45"/>
      <c r="AO374" s="45"/>
      <c r="AP374" s="45"/>
      <c r="AQ374" s="45"/>
      <c r="AR374" s="45"/>
      <c r="AS374" s="45"/>
      <c r="AT374" s="45"/>
      <c r="AU374" s="45"/>
      <c r="AV374" s="47"/>
      <c r="AW374" s="48" t="str">
        <f>REV!AW374</f>
        <v>13.08.2026</v>
      </c>
      <c r="AX374" s="149" t="s">
        <v>68</v>
      </c>
    </row>
    <row r="375" spans="1:50" ht="22.5" customHeight="1">
      <c r="A375" s="41" t="s">
        <v>63</v>
      </c>
      <c r="B375" s="42" t="s">
        <v>64</v>
      </c>
      <c r="C375" s="43">
        <v>4016073</v>
      </c>
      <c r="D375" s="56" t="s">
        <v>552</v>
      </c>
      <c r="E375" s="56" t="s">
        <v>556</v>
      </c>
      <c r="F375" s="45">
        <v>100</v>
      </c>
      <c r="G375" s="45"/>
      <c r="H375" s="45"/>
      <c r="I375" s="45"/>
      <c r="J375" s="46">
        <f>IF(VLOOKUP($C375,REV!$C:$AA,8,0)-'TRADE IN'!$F375=0,"",(VLOOKUP($C375,REV!$C:$AA,8,0)-'TRADE IN'!$F375))</f>
        <v>1899</v>
      </c>
      <c r="K375" s="46">
        <f>IF(VLOOKUP($C375,REV!$C:$AA,9,0)-'TRADE IN'!$F375=0,"",(VLOOKUP($C375,REV!$C:$AA,9,0)-'TRADE IN'!$F375))</f>
        <v>1899</v>
      </c>
      <c r="L375" s="46">
        <f>IF(VLOOKUP($C375,REV!$C:$AA,10,0)-'TRADE IN'!$F375=0,"",(VLOOKUP($C375,REV!$C:$AA,10,0)-'TRADE IN'!$F375))</f>
        <v>1899</v>
      </c>
      <c r="M375" s="46">
        <f>IF(VLOOKUP($C375,REV!$C:$AA,11,0)-'TRADE IN'!$F375=0,"",(VLOOKUP($C375,REV!$C:$AA,11,0)-'TRADE IN'!$F375))</f>
        <v>1899</v>
      </c>
      <c r="N375" s="46">
        <f>IF(VLOOKUP($C375,REV!$C:$AA,12,0)-'TRADE IN'!$F375=0,"",(VLOOKUP($C375,REV!$C:$AA,12,0)-'TRADE IN'!$F375))</f>
        <v>1899</v>
      </c>
      <c r="O375" s="46">
        <f>IF(VLOOKUP($C375,REV!$C:$AA,13,0)-'TRADE IN'!$F375=0,"",(VLOOKUP($C375,REV!$C:$AA,13,0)-'TRADE IN'!$F375))</f>
        <v>1899</v>
      </c>
      <c r="P375" s="46">
        <f>IF(VLOOKUP($C375,REV!$C:$AA,14,0)-'TRADE IN'!$F375=0,"",(VLOOKUP($C375,REV!$C:$AA,14,0)-'TRADE IN'!$F375))</f>
        <v>1899</v>
      </c>
      <c r="Q375" s="46">
        <f>IF(VLOOKUP($C375,REV!$C:$AA,15,0)-'TRADE IN'!$F375=0,"",(VLOOKUP($C375,REV!$C:$AA,15,0)-'TRADE IN'!$F375))</f>
        <v>1899</v>
      </c>
      <c r="R375" s="46">
        <f>IF(VLOOKUP($C375,REV!$C:$AA,16,0)-'TRADE IN'!$F375=0,"",(VLOOKUP($C375,REV!$C:$AA,16,0)-'TRADE IN'!$F375))</f>
        <v>1899</v>
      </c>
      <c r="S375" s="46">
        <f>IF(VLOOKUP($C375,REV!$C:$AA,17,0)-'TRADE IN'!$F375=0,"",(VLOOKUP($C375,REV!$C:$AA,17,0)-'TRADE IN'!$F375))</f>
        <v>1899</v>
      </c>
      <c r="T375" s="46">
        <f>IF(VLOOKUP($C375,REV!$C:$AA,18,0)-'TRADE IN'!$F375=0,"",(VLOOKUP($C375,REV!$C:$AA,18,0)-'TRADE IN'!$F375))</f>
        <v>1899</v>
      </c>
      <c r="U375" s="46">
        <f>IF(VLOOKUP($C375,REV!$C:$AA,19,0)-'TRADE IN'!$F375=0,"",(VLOOKUP($C375,REV!$C:$AA,19,0)-'TRADE IN'!$F375))</f>
        <v>1899</v>
      </c>
      <c r="V375" s="46">
        <f>IF(VLOOKUP($C375,REV!$C:$AA,20,0)-'TRADE IN'!$F375=0,"",(VLOOKUP($C375,REV!$C:$AA,20,0)-'TRADE IN'!$F375))</f>
        <v>1899</v>
      </c>
      <c r="W375" s="46">
        <f>IF(VLOOKUP($C375,REV!$C:$AA,21,0)-'TRADE IN'!$F375=0,"",(VLOOKUP($C375,REV!$C:$AA,21,0)-'TRADE IN'!$F375))</f>
        <v>1899</v>
      </c>
      <c r="X375" s="46">
        <f>IF(VLOOKUP($C375,REV!$C:$AA,22,0)-'TRADE IN'!$F375=0,"",(VLOOKUP($C375,REV!$C:$AA,22,0)-'TRADE IN'!$F375))</f>
        <v>1899</v>
      </c>
      <c r="Y375" s="46">
        <f>IF(VLOOKUP($C375,REV!$C:$AA,23,0)-'TRADE IN'!$F375=0,"",(VLOOKUP($C375,REV!$C:$AA,23,0)-'TRADE IN'!$F375))</f>
        <v>1899</v>
      </c>
      <c r="Z375" s="46">
        <f>IF(VLOOKUP($C375,REV!$C:$AA,24,0)-'TRADE IN'!$F375=0,"",(VLOOKUP($C375,REV!$C:$AA,24,0)-'TRADE IN'!$F375))</f>
        <v>1899</v>
      </c>
      <c r="AA375" s="46">
        <f>IF(VLOOKUP($C375,REV!$C:$AA,25,0)-'TRADE IN'!$F375=0,"",(VLOOKUP($C375,REV!$C:$AA,25,0)-'TRADE IN'!$F375))</f>
        <v>1899</v>
      </c>
      <c r="AB375" s="45"/>
      <c r="AC375" s="45"/>
      <c r="AD375" s="45"/>
      <c r="AE375" s="45"/>
      <c r="AF375" s="45"/>
      <c r="AG375" s="45"/>
      <c r="AH375" s="45"/>
      <c r="AI375" s="45"/>
      <c r="AJ375" s="45"/>
      <c r="AK375" s="45"/>
      <c r="AL375" s="45"/>
      <c r="AM375" s="45"/>
      <c r="AN375" s="45"/>
      <c r="AO375" s="45"/>
      <c r="AP375" s="45"/>
      <c r="AQ375" s="45"/>
      <c r="AR375" s="45"/>
      <c r="AS375" s="45"/>
      <c r="AT375" s="45"/>
      <c r="AU375" s="45"/>
      <c r="AV375" s="47"/>
      <c r="AW375" s="48" t="str">
        <f>REV!AW375</f>
        <v>13.08.2026</v>
      </c>
      <c r="AX375" s="149" t="s">
        <v>68</v>
      </c>
    </row>
    <row r="376" spans="1:50" ht="22.5" customHeight="1">
      <c r="A376" s="41" t="s">
        <v>63</v>
      </c>
      <c r="B376" s="42" t="s">
        <v>64</v>
      </c>
      <c r="C376" s="43">
        <v>4016554</v>
      </c>
      <c r="D376" s="56" t="s">
        <v>557</v>
      </c>
      <c r="E376" s="56" t="s">
        <v>558</v>
      </c>
      <c r="F376" s="45">
        <v>100</v>
      </c>
      <c r="G376" s="45"/>
      <c r="H376" s="45"/>
      <c r="I376" s="45"/>
      <c r="J376" s="46">
        <f>IF(VLOOKUP($C376,REV!$C:$AA,8,0)-'TRADE IN'!$F376=0,"",(VLOOKUP($C376,REV!$C:$AA,8,0)-'TRADE IN'!$F376))</f>
        <v>699</v>
      </c>
      <c r="K376" s="46">
        <f>IF(VLOOKUP($C376,REV!$C:$AA,9,0)-'TRADE IN'!$F376=0,"",(VLOOKUP($C376,REV!$C:$AA,9,0)-'TRADE IN'!$F376))</f>
        <v>699</v>
      </c>
      <c r="L376" s="46">
        <f>IF(VLOOKUP($C376,REV!$C:$AA,10,0)-'TRADE IN'!$F376=0,"",(VLOOKUP($C376,REV!$C:$AA,10,0)-'TRADE IN'!$F376))</f>
        <v>699</v>
      </c>
      <c r="M376" s="46">
        <f>IF(VLOOKUP($C376,REV!$C:$AA,11,0)-'TRADE IN'!$F376=0,"",(VLOOKUP($C376,REV!$C:$AA,11,0)-'TRADE IN'!$F376))</f>
        <v>699</v>
      </c>
      <c r="N376" s="46">
        <f>IF(VLOOKUP($C376,REV!$C:$AA,12,0)-'TRADE IN'!$F376=0,"",(VLOOKUP($C376,REV!$C:$AA,12,0)-'TRADE IN'!$F376))</f>
        <v>699</v>
      </c>
      <c r="O376" s="46">
        <f>IF(VLOOKUP($C376,REV!$C:$AA,13,0)-'TRADE IN'!$F376=0,"",(VLOOKUP($C376,REV!$C:$AA,13,0)-'TRADE IN'!$F376))</f>
        <v>699</v>
      </c>
      <c r="P376" s="46">
        <f>IF(VLOOKUP($C376,REV!$C:$AA,14,0)-'TRADE IN'!$F376=0,"",(VLOOKUP($C376,REV!$C:$AA,14,0)-'TRADE IN'!$F376))</f>
        <v>699</v>
      </c>
      <c r="Q376" s="46">
        <f>IF(VLOOKUP($C376,REV!$C:$AA,15,0)-'TRADE IN'!$F376=0,"",(VLOOKUP($C376,REV!$C:$AA,15,0)-'TRADE IN'!$F376))</f>
        <v>699</v>
      </c>
      <c r="R376" s="46">
        <f>IF(VLOOKUP($C376,REV!$C:$AA,16,0)-'TRADE IN'!$F376=0,"",(VLOOKUP($C376,REV!$C:$AA,16,0)-'TRADE IN'!$F376))</f>
        <v>699</v>
      </c>
      <c r="S376" s="46">
        <f>IF(VLOOKUP($C376,REV!$C:$AA,17,0)-'TRADE IN'!$F376=0,"",(VLOOKUP($C376,REV!$C:$AA,17,0)-'TRADE IN'!$F376))</f>
        <v>699</v>
      </c>
      <c r="T376" s="46">
        <f>IF(VLOOKUP($C376,REV!$C:$AA,18,0)-'TRADE IN'!$F376=0,"",(VLOOKUP($C376,REV!$C:$AA,18,0)-'TRADE IN'!$F376))</f>
        <v>699</v>
      </c>
      <c r="U376" s="46">
        <f>IF(VLOOKUP($C376,REV!$C:$AA,19,0)-'TRADE IN'!$F376=0,"",(VLOOKUP($C376,REV!$C:$AA,19,0)-'TRADE IN'!$F376))</f>
        <v>699</v>
      </c>
      <c r="V376" s="46">
        <f>IF(VLOOKUP($C376,REV!$C:$AA,20,0)-'TRADE IN'!$F376=0,"",(VLOOKUP($C376,REV!$C:$AA,20,0)-'TRADE IN'!$F376))</f>
        <v>699</v>
      </c>
      <c r="W376" s="46">
        <f>IF(VLOOKUP($C376,REV!$C:$AA,21,0)-'TRADE IN'!$F376=0,"",(VLOOKUP($C376,REV!$C:$AA,21,0)-'TRADE IN'!$F376))</f>
        <v>699</v>
      </c>
      <c r="X376" s="46">
        <f>IF(VLOOKUP($C376,REV!$C:$AA,22,0)-'TRADE IN'!$F376=0,"",(VLOOKUP($C376,REV!$C:$AA,22,0)-'TRADE IN'!$F376))</f>
        <v>699</v>
      </c>
      <c r="Y376" s="46">
        <f>IF(VLOOKUP($C376,REV!$C:$AA,23,0)-'TRADE IN'!$F376=0,"",(VLOOKUP($C376,REV!$C:$AA,23,0)-'TRADE IN'!$F376))</f>
        <v>699</v>
      </c>
      <c r="Z376" s="46">
        <f>IF(VLOOKUP($C376,REV!$C:$AA,24,0)-'TRADE IN'!$F376=0,"",(VLOOKUP($C376,REV!$C:$AA,24,0)-'TRADE IN'!$F376))</f>
        <v>699</v>
      </c>
      <c r="AA376" s="46">
        <f>IF(VLOOKUP($C376,REV!$C:$AA,25,0)-'TRADE IN'!$F376=0,"",(VLOOKUP($C376,REV!$C:$AA,25,0)-'TRADE IN'!$F376))</f>
        <v>699</v>
      </c>
      <c r="AB376" s="45"/>
      <c r="AC376" s="45"/>
      <c r="AD376" s="45"/>
      <c r="AE376" s="45"/>
      <c r="AF376" s="45"/>
      <c r="AG376" s="45"/>
      <c r="AH376" s="45"/>
      <c r="AI376" s="45"/>
      <c r="AJ376" s="45"/>
      <c r="AK376" s="45"/>
      <c r="AL376" s="45"/>
      <c r="AM376" s="45"/>
      <c r="AN376" s="45"/>
      <c r="AO376" s="45"/>
      <c r="AP376" s="45"/>
      <c r="AQ376" s="45"/>
      <c r="AR376" s="45"/>
      <c r="AS376" s="45"/>
      <c r="AT376" s="45"/>
      <c r="AU376" s="45"/>
      <c r="AV376" s="47"/>
      <c r="AW376" s="48" t="str">
        <f>REV!AW376</f>
        <v>13.08.2026</v>
      </c>
      <c r="AX376" s="149" t="s">
        <v>68</v>
      </c>
    </row>
    <row r="377" spans="1:50" ht="22.5" customHeight="1">
      <c r="A377" s="41" t="s">
        <v>63</v>
      </c>
      <c r="B377" s="42" t="s">
        <v>64</v>
      </c>
      <c r="C377" s="43">
        <v>4016558</v>
      </c>
      <c r="D377" s="56" t="s">
        <v>557</v>
      </c>
      <c r="E377" s="56" t="s">
        <v>559</v>
      </c>
      <c r="F377" s="45">
        <v>100</v>
      </c>
      <c r="G377" s="45"/>
      <c r="H377" s="45"/>
      <c r="I377" s="45"/>
      <c r="J377" s="46">
        <f>IF(VLOOKUP($C377,REV!$C:$AA,8,0)-'TRADE IN'!$F377=0,"",(VLOOKUP($C377,REV!$C:$AA,8,0)-'TRADE IN'!$F377))</f>
        <v>699</v>
      </c>
      <c r="K377" s="46">
        <f>IF(VLOOKUP($C377,REV!$C:$AA,9,0)-'TRADE IN'!$F377=0,"",(VLOOKUP($C377,REV!$C:$AA,9,0)-'TRADE IN'!$F377))</f>
        <v>699</v>
      </c>
      <c r="L377" s="46">
        <f>IF(VLOOKUP($C377,REV!$C:$AA,10,0)-'TRADE IN'!$F377=0,"",(VLOOKUP($C377,REV!$C:$AA,10,0)-'TRADE IN'!$F377))</f>
        <v>699</v>
      </c>
      <c r="M377" s="46">
        <f>IF(VLOOKUP($C377,REV!$C:$AA,11,0)-'TRADE IN'!$F377=0,"",(VLOOKUP($C377,REV!$C:$AA,11,0)-'TRADE IN'!$F377))</f>
        <v>699</v>
      </c>
      <c r="N377" s="46">
        <f>IF(VLOOKUP($C377,REV!$C:$AA,12,0)-'TRADE IN'!$F377=0,"",(VLOOKUP($C377,REV!$C:$AA,12,0)-'TRADE IN'!$F377))</f>
        <v>699</v>
      </c>
      <c r="O377" s="46">
        <f>IF(VLOOKUP($C377,REV!$C:$AA,13,0)-'TRADE IN'!$F377=0,"",(VLOOKUP($C377,REV!$C:$AA,13,0)-'TRADE IN'!$F377))</f>
        <v>699</v>
      </c>
      <c r="P377" s="46">
        <f>IF(VLOOKUP($C377,REV!$C:$AA,14,0)-'TRADE IN'!$F377=0,"",(VLOOKUP($C377,REV!$C:$AA,14,0)-'TRADE IN'!$F377))</f>
        <v>699</v>
      </c>
      <c r="Q377" s="46">
        <f>IF(VLOOKUP($C377,REV!$C:$AA,15,0)-'TRADE IN'!$F377=0,"",(VLOOKUP($C377,REV!$C:$AA,15,0)-'TRADE IN'!$F377))</f>
        <v>699</v>
      </c>
      <c r="R377" s="46">
        <f>IF(VLOOKUP($C377,REV!$C:$AA,16,0)-'TRADE IN'!$F377=0,"",(VLOOKUP($C377,REV!$C:$AA,16,0)-'TRADE IN'!$F377))</f>
        <v>699</v>
      </c>
      <c r="S377" s="46">
        <f>IF(VLOOKUP($C377,REV!$C:$AA,17,0)-'TRADE IN'!$F377=0,"",(VLOOKUP($C377,REV!$C:$AA,17,0)-'TRADE IN'!$F377))</f>
        <v>699</v>
      </c>
      <c r="T377" s="46">
        <f>IF(VLOOKUP($C377,REV!$C:$AA,18,0)-'TRADE IN'!$F377=0,"",(VLOOKUP($C377,REV!$C:$AA,18,0)-'TRADE IN'!$F377))</f>
        <v>699</v>
      </c>
      <c r="U377" s="46">
        <f>IF(VLOOKUP($C377,REV!$C:$AA,19,0)-'TRADE IN'!$F377=0,"",(VLOOKUP($C377,REV!$C:$AA,19,0)-'TRADE IN'!$F377))</f>
        <v>699</v>
      </c>
      <c r="V377" s="46">
        <f>IF(VLOOKUP($C377,REV!$C:$AA,20,0)-'TRADE IN'!$F377=0,"",(VLOOKUP($C377,REV!$C:$AA,20,0)-'TRADE IN'!$F377))</f>
        <v>699</v>
      </c>
      <c r="W377" s="46">
        <f>IF(VLOOKUP($C377,REV!$C:$AA,21,0)-'TRADE IN'!$F377=0,"",(VLOOKUP($C377,REV!$C:$AA,21,0)-'TRADE IN'!$F377))</f>
        <v>699</v>
      </c>
      <c r="X377" s="46">
        <f>IF(VLOOKUP($C377,REV!$C:$AA,22,0)-'TRADE IN'!$F377=0,"",(VLOOKUP($C377,REV!$C:$AA,22,0)-'TRADE IN'!$F377))</f>
        <v>699</v>
      </c>
      <c r="Y377" s="46">
        <f>IF(VLOOKUP($C377,REV!$C:$AA,23,0)-'TRADE IN'!$F377=0,"",(VLOOKUP($C377,REV!$C:$AA,23,0)-'TRADE IN'!$F377))</f>
        <v>699</v>
      </c>
      <c r="Z377" s="46">
        <f>IF(VLOOKUP($C377,REV!$C:$AA,24,0)-'TRADE IN'!$F377=0,"",(VLOOKUP($C377,REV!$C:$AA,24,0)-'TRADE IN'!$F377))</f>
        <v>699</v>
      </c>
      <c r="AA377" s="46">
        <f>IF(VLOOKUP($C377,REV!$C:$AA,25,0)-'TRADE IN'!$F377=0,"",(VLOOKUP($C377,REV!$C:$AA,25,0)-'TRADE IN'!$F377))</f>
        <v>699</v>
      </c>
      <c r="AB377" s="45"/>
      <c r="AC377" s="45"/>
      <c r="AD377" s="45"/>
      <c r="AE377" s="45"/>
      <c r="AF377" s="45"/>
      <c r="AG377" s="45"/>
      <c r="AH377" s="45"/>
      <c r="AI377" s="45"/>
      <c r="AJ377" s="45"/>
      <c r="AK377" s="45"/>
      <c r="AL377" s="45"/>
      <c r="AM377" s="45"/>
      <c r="AN377" s="45"/>
      <c r="AO377" s="45"/>
      <c r="AP377" s="45"/>
      <c r="AQ377" s="45"/>
      <c r="AR377" s="45"/>
      <c r="AS377" s="45"/>
      <c r="AT377" s="45"/>
      <c r="AU377" s="45"/>
      <c r="AV377" s="47"/>
      <c r="AW377" s="48" t="str">
        <f>REV!AW377</f>
        <v>13.08.2026</v>
      </c>
      <c r="AX377" s="149" t="s">
        <v>68</v>
      </c>
    </row>
    <row r="378" spans="1:50" ht="22.5" customHeight="1">
      <c r="A378" s="41" t="s">
        <v>63</v>
      </c>
      <c r="B378" s="42" t="s">
        <v>64</v>
      </c>
      <c r="C378" s="43">
        <v>4016555</v>
      </c>
      <c r="D378" s="56" t="s">
        <v>557</v>
      </c>
      <c r="E378" s="56" t="s">
        <v>560</v>
      </c>
      <c r="F378" s="45">
        <v>100</v>
      </c>
      <c r="G378" s="45"/>
      <c r="H378" s="45"/>
      <c r="I378" s="45"/>
      <c r="J378" s="46">
        <f>IF(VLOOKUP($C378,REV!$C:$AA,8,0)-'TRADE IN'!$F378=0,"",(VLOOKUP($C378,REV!$C:$AA,8,0)-'TRADE IN'!$F378))</f>
        <v>699</v>
      </c>
      <c r="K378" s="46">
        <f>IF(VLOOKUP($C378,REV!$C:$AA,9,0)-'TRADE IN'!$F378=0,"",(VLOOKUP($C378,REV!$C:$AA,9,0)-'TRADE IN'!$F378))</f>
        <v>699</v>
      </c>
      <c r="L378" s="46">
        <f>IF(VLOOKUP($C378,REV!$C:$AA,10,0)-'TRADE IN'!$F378=0,"",(VLOOKUP($C378,REV!$C:$AA,10,0)-'TRADE IN'!$F378))</f>
        <v>699</v>
      </c>
      <c r="M378" s="46">
        <f>IF(VLOOKUP($C378,REV!$C:$AA,11,0)-'TRADE IN'!$F378=0,"",(VLOOKUP($C378,REV!$C:$AA,11,0)-'TRADE IN'!$F378))</f>
        <v>699</v>
      </c>
      <c r="N378" s="46">
        <f>IF(VLOOKUP($C378,REV!$C:$AA,12,0)-'TRADE IN'!$F378=0,"",(VLOOKUP($C378,REV!$C:$AA,12,0)-'TRADE IN'!$F378))</f>
        <v>699</v>
      </c>
      <c r="O378" s="46">
        <f>IF(VLOOKUP($C378,REV!$C:$AA,13,0)-'TRADE IN'!$F378=0,"",(VLOOKUP($C378,REV!$C:$AA,13,0)-'TRADE IN'!$F378))</f>
        <v>699</v>
      </c>
      <c r="P378" s="46">
        <f>IF(VLOOKUP($C378,REV!$C:$AA,14,0)-'TRADE IN'!$F378=0,"",(VLOOKUP($C378,REV!$C:$AA,14,0)-'TRADE IN'!$F378))</f>
        <v>699</v>
      </c>
      <c r="Q378" s="46">
        <f>IF(VLOOKUP($C378,REV!$C:$AA,15,0)-'TRADE IN'!$F378=0,"",(VLOOKUP($C378,REV!$C:$AA,15,0)-'TRADE IN'!$F378))</f>
        <v>699</v>
      </c>
      <c r="R378" s="46">
        <f>IF(VLOOKUP($C378,REV!$C:$AA,16,0)-'TRADE IN'!$F378=0,"",(VLOOKUP($C378,REV!$C:$AA,16,0)-'TRADE IN'!$F378))</f>
        <v>699</v>
      </c>
      <c r="S378" s="46">
        <f>IF(VLOOKUP($C378,REV!$C:$AA,17,0)-'TRADE IN'!$F378=0,"",(VLOOKUP($C378,REV!$C:$AA,17,0)-'TRADE IN'!$F378))</f>
        <v>699</v>
      </c>
      <c r="T378" s="46">
        <f>IF(VLOOKUP($C378,REV!$C:$AA,18,0)-'TRADE IN'!$F378=0,"",(VLOOKUP($C378,REV!$C:$AA,18,0)-'TRADE IN'!$F378))</f>
        <v>699</v>
      </c>
      <c r="U378" s="46">
        <f>IF(VLOOKUP($C378,REV!$C:$AA,19,0)-'TRADE IN'!$F378=0,"",(VLOOKUP($C378,REV!$C:$AA,19,0)-'TRADE IN'!$F378))</f>
        <v>699</v>
      </c>
      <c r="V378" s="46">
        <f>IF(VLOOKUP($C378,REV!$C:$AA,20,0)-'TRADE IN'!$F378=0,"",(VLOOKUP($C378,REV!$C:$AA,20,0)-'TRADE IN'!$F378))</f>
        <v>699</v>
      </c>
      <c r="W378" s="46">
        <f>IF(VLOOKUP($C378,REV!$C:$AA,21,0)-'TRADE IN'!$F378=0,"",(VLOOKUP($C378,REV!$C:$AA,21,0)-'TRADE IN'!$F378))</f>
        <v>699</v>
      </c>
      <c r="X378" s="46">
        <f>IF(VLOOKUP($C378,REV!$C:$AA,22,0)-'TRADE IN'!$F378=0,"",(VLOOKUP($C378,REV!$C:$AA,22,0)-'TRADE IN'!$F378))</f>
        <v>699</v>
      </c>
      <c r="Y378" s="46">
        <f>IF(VLOOKUP($C378,REV!$C:$AA,23,0)-'TRADE IN'!$F378=0,"",(VLOOKUP($C378,REV!$C:$AA,23,0)-'TRADE IN'!$F378))</f>
        <v>699</v>
      </c>
      <c r="Z378" s="46">
        <f>IF(VLOOKUP($C378,REV!$C:$AA,24,0)-'TRADE IN'!$F378=0,"",(VLOOKUP($C378,REV!$C:$AA,24,0)-'TRADE IN'!$F378))</f>
        <v>699</v>
      </c>
      <c r="AA378" s="46">
        <f>IF(VLOOKUP($C378,REV!$C:$AA,25,0)-'TRADE IN'!$F378=0,"",(VLOOKUP($C378,REV!$C:$AA,25,0)-'TRADE IN'!$F378))</f>
        <v>699</v>
      </c>
      <c r="AB378" s="45"/>
      <c r="AC378" s="45"/>
      <c r="AD378" s="45"/>
      <c r="AE378" s="45"/>
      <c r="AF378" s="45"/>
      <c r="AG378" s="45"/>
      <c r="AH378" s="45"/>
      <c r="AI378" s="45"/>
      <c r="AJ378" s="45"/>
      <c r="AK378" s="45"/>
      <c r="AL378" s="45"/>
      <c r="AM378" s="45"/>
      <c r="AN378" s="45"/>
      <c r="AO378" s="45"/>
      <c r="AP378" s="45"/>
      <c r="AQ378" s="45"/>
      <c r="AR378" s="45"/>
      <c r="AS378" s="45"/>
      <c r="AT378" s="45"/>
      <c r="AU378" s="45"/>
      <c r="AV378" s="47"/>
      <c r="AW378" s="48" t="str">
        <f>REV!AW378</f>
        <v>13.08.2026</v>
      </c>
      <c r="AX378" s="149" t="s">
        <v>68</v>
      </c>
    </row>
    <row r="379" spans="1:50" ht="22.5" customHeight="1">
      <c r="A379" s="41" t="s">
        <v>63</v>
      </c>
      <c r="B379" s="42" t="s">
        <v>64</v>
      </c>
      <c r="C379" s="43">
        <v>4016559</v>
      </c>
      <c r="D379" s="56" t="s">
        <v>557</v>
      </c>
      <c r="E379" s="56" t="s">
        <v>561</v>
      </c>
      <c r="F379" s="45">
        <v>100</v>
      </c>
      <c r="G379" s="45"/>
      <c r="H379" s="45"/>
      <c r="I379" s="45"/>
      <c r="J379" s="46">
        <f>IF(VLOOKUP($C379,REV!$C:$AA,8,0)-'TRADE IN'!$F379=0,"",(VLOOKUP($C379,REV!$C:$AA,8,0)-'TRADE IN'!$F379))</f>
        <v>699</v>
      </c>
      <c r="K379" s="46">
        <f>IF(VLOOKUP($C379,REV!$C:$AA,9,0)-'TRADE IN'!$F379=0,"",(VLOOKUP($C379,REV!$C:$AA,9,0)-'TRADE IN'!$F379))</f>
        <v>699</v>
      </c>
      <c r="L379" s="46">
        <f>IF(VLOOKUP($C379,REV!$C:$AA,10,0)-'TRADE IN'!$F379=0,"",(VLOOKUP($C379,REV!$C:$AA,10,0)-'TRADE IN'!$F379))</f>
        <v>699</v>
      </c>
      <c r="M379" s="46">
        <f>IF(VLOOKUP($C379,REV!$C:$AA,11,0)-'TRADE IN'!$F379=0,"",(VLOOKUP($C379,REV!$C:$AA,11,0)-'TRADE IN'!$F379))</f>
        <v>699</v>
      </c>
      <c r="N379" s="46">
        <f>IF(VLOOKUP($C379,REV!$C:$AA,12,0)-'TRADE IN'!$F379=0,"",(VLOOKUP($C379,REV!$C:$AA,12,0)-'TRADE IN'!$F379))</f>
        <v>699</v>
      </c>
      <c r="O379" s="46">
        <f>IF(VLOOKUP($C379,REV!$C:$AA,13,0)-'TRADE IN'!$F379=0,"",(VLOOKUP($C379,REV!$C:$AA,13,0)-'TRADE IN'!$F379))</f>
        <v>699</v>
      </c>
      <c r="P379" s="46">
        <f>IF(VLOOKUP($C379,REV!$C:$AA,14,0)-'TRADE IN'!$F379=0,"",(VLOOKUP($C379,REV!$C:$AA,14,0)-'TRADE IN'!$F379))</f>
        <v>699</v>
      </c>
      <c r="Q379" s="46">
        <f>IF(VLOOKUP($C379,REV!$C:$AA,15,0)-'TRADE IN'!$F379=0,"",(VLOOKUP($C379,REV!$C:$AA,15,0)-'TRADE IN'!$F379))</f>
        <v>699</v>
      </c>
      <c r="R379" s="46">
        <f>IF(VLOOKUP($C379,REV!$C:$AA,16,0)-'TRADE IN'!$F379=0,"",(VLOOKUP($C379,REV!$C:$AA,16,0)-'TRADE IN'!$F379))</f>
        <v>699</v>
      </c>
      <c r="S379" s="46">
        <f>IF(VLOOKUP($C379,REV!$C:$AA,17,0)-'TRADE IN'!$F379=0,"",(VLOOKUP($C379,REV!$C:$AA,17,0)-'TRADE IN'!$F379))</f>
        <v>699</v>
      </c>
      <c r="T379" s="46">
        <f>IF(VLOOKUP($C379,REV!$C:$AA,18,0)-'TRADE IN'!$F379=0,"",(VLOOKUP($C379,REV!$C:$AA,18,0)-'TRADE IN'!$F379))</f>
        <v>699</v>
      </c>
      <c r="U379" s="46">
        <f>IF(VLOOKUP($C379,REV!$C:$AA,19,0)-'TRADE IN'!$F379=0,"",(VLOOKUP($C379,REV!$C:$AA,19,0)-'TRADE IN'!$F379))</f>
        <v>699</v>
      </c>
      <c r="V379" s="46">
        <f>IF(VLOOKUP($C379,REV!$C:$AA,20,0)-'TRADE IN'!$F379=0,"",(VLOOKUP($C379,REV!$C:$AA,20,0)-'TRADE IN'!$F379))</f>
        <v>699</v>
      </c>
      <c r="W379" s="46">
        <f>IF(VLOOKUP($C379,REV!$C:$AA,21,0)-'TRADE IN'!$F379=0,"",(VLOOKUP($C379,REV!$C:$AA,21,0)-'TRADE IN'!$F379))</f>
        <v>699</v>
      </c>
      <c r="X379" s="46">
        <f>IF(VLOOKUP($C379,REV!$C:$AA,22,0)-'TRADE IN'!$F379=0,"",(VLOOKUP($C379,REV!$C:$AA,22,0)-'TRADE IN'!$F379))</f>
        <v>699</v>
      </c>
      <c r="Y379" s="46">
        <f>IF(VLOOKUP($C379,REV!$C:$AA,23,0)-'TRADE IN'!$F379=0,"",(VLOOKUP($C379,REV!$C:$AA,23,0)-'TRADE IN'!$F379))</f>
        <v>699</v>
      </c>
      <c r="Z379" s="46">
        <f>IF(VLOOKUP($C379,REV!$C:$AA,24,0)-'TRADE IN'!$F379=0,"",(VLOOKUP($C379,REV!$C:$AA,24,0)-'TRADE IN'!$F379))</f>
        <v>699</v>
      </c>
      <c r="AA379" s="46">
        <f>IF(VLOOKUP($C379,REV!$C:$AA,25,0)-'TRADE IN'!$F379=0,"",(VLOOKUP($C379,REV!$C:$AA,25,0)-'TRADE IN'!$F379))</f>
        <v>699</v>
      </c>
      <c r="AB379" s="45"/>
      <c r="AC379" s="45"/>
      <c r="AD379" s="45"/>
      <c r="AE379" s="45"/>
      <c r="AF379" s="45"/>
      <c r="AG379" s="45"/>
      <c r="AH379" s="45"/>
      <c r="AI379" s="45"/>
      <c r="AJ379" s="45"/>
      <c r="AK379" s="45"/>
      <c r="AL379" s="45"/>
      <c r="AM379" s="45"/>
      <c r="AN379" s="45"/>
      <c r="AO379" s="45"/>
      <c r="AP379" s="45"/>
      <c r="AQ379" s="45"/>
      <c r="AR379" s="45"/>
      <c r="AS379" s="45"/>
      <c r="AT379" s="45"/>
      <c r="AU379" s="45"/>
      <c r="AV379" s="47"/>
      <c r="AW379" s="48" t="str">
        <f>REV!AW379</f>
        <v>13.08.2026</v>
      </c>
      <c r="AX379" s="149" t="s">
        <v>68</v>
      </c>
    </row>
    <row r="380" spans="1:50" ht="22.5" customHeight="1">
      <c r="A380" s="41" t="s">
        <v>63</v>
      </c>
      <c r="B380" s="42" t="s">
        <v>64</v>
      </c>
      <c r="C380" s="43">
        <v>4016552</v>
      </c>
      <c r="D380" s="56" t="s">
        <v>557</v>
      </c>
      <c r="E380" s="56" t="s">
        <v>562</v>
      </c>
      <c r="F380" s="45">
        <v>100</v>
      </c>
      <c r="G380" s="45"/>
      <c r="H380" s="45"/>
      <c r="I380" s="45"/>
      <c r="J380" s="46">
        <f>IF(VLOOKUP($C380,REV!$C:$AA,8,0)-'TRADE IN'!$F380=0,"",(VLOOKUP($C380,REV!$C:$AA,8,0)-'TRADE IN'!$F380))</f>
        <v>699</v>
      </c>
      <c r="K380" s="46">
        <f>IF(VLOOKUP($C380,REV!$C:$AA,9,0)-'TRADE IN'!$F380=0,"",(VLOOKUP($C380,REV!$C:$AA,9,0)-'TRADE IN'!$F380))</f>
        <v>699</v>
      </c>
      <c r="L380" s="46">
        <f>IF(VLOOKUP($C380,REV!$C:$AA,10,0)-'TRADE IN'!$F380=0,"",(VLOOKUP($C380,REV!$C:$AA,10,0)-'TRADE IN'!$F380))</f>
        <v>699</v>
      </c>
      <c r="M380" s="46">
        <f>IF(VLOOKUP($C380,REV!$C:$AA,11,0)-'TRADE IN'!$F380=0,"",(VLOOKUP($C380,REV!$C:$AA,11,0)-'TRADE IN'!$F380))</f>
        <v>699</v>
      </c>
      <c r="N380" s="46">
        <f>IF(VLOOKUP($C380,REV!$C:$AA,12,0)-'TRADE IN'!$F380=0,"",(VLOOKUP($C380,REV!$C:$AA,12,0)-'TRADE IN'!$F380))</f>
        <v>699</v>
      </c>
      <c r="O380" s="46">
        <f>IF(VLOOKUP($C380,REV!$C:$AA,13,0)-'TRADE IN'!$F380=0,"",(VLOOKUP($C380,REV!$C:$AA,13,0)-'TRADE IN'!$F380))</f>
        <v>699</v>
      </c>
      <c r="P380" s="46">
        <f>IF(VLOOKUP($C380,REV!$C:$AA,14,0)-'TRADE IN'!$F380=0,"",(VLOOKUP($C380,REV!$C:$AA,14,0)-'TRADE IN'!$F380))</f>
        <v>699</v>
      </c>
      <c r="Q380" s="46">
        <f>IF(VLOOKUP($C380,REV!$C:$AA,15,0)-'TRADE IN'!$F380=0,"",(VLOOKUP($C380,REV!$C:$AA,15,0)-'TRADE IN'!$F380))</f>
        <v>699</v>
      </c>
      <c r="R380" s="46">
        <f>IF(VLOOKUP($C380,REV!$C:$AA,16,0)-'TRADE IN'!$F380=0,"",(VLOOKUP($C380,REV!$C:$AA,16,0)-'TRADE IN'!$F380))</f>
        <v>699</v>
      </c>
      <c r="S380" s="46">
        <f>IF(VLOOKUP($C380,REV!$C:$AA,17,0)-'TRADE IN'!$F380=0,"",(VLOOKUP($C380,REV!$C:$AA,17,0)-'TRADE IN'!$F380))</f>
        <v>699</v>
      </c>
      <c r="T380" s="46">
        <f>IF(VLOOKUP($C380,REV!$C:$AA,18,0)-'TRADE IN'!$F380=0,"",(VLOOKUP($C380,REV!$C:$AA,18,0)-'TRADE IN'!$F380))</f>
        <v>699</v>
      </c>
      <c r="U380" s="46">
        <f>IF(VLOOKUP($C380,REV!$C:$AA,19,0)-'TRADE IN'!$F380=0,"",(VLOOKUP($C380,REV!$C:$AA,19,0)-'TRADE IN'!$F380))</f>
        <v>699</v>
      </c>
      <c r="V380" s="46">
        <f>IF(VLOOKUP($C380,REV!$C:$AA,20,0)-'TRADE IN'!$F380=0,"",(VLOOKUP($C380,REV!$C:$AA,20,0)-'TRADE IN'!$F380))</f>
        <v>699</v>
      </c>
      <c r="W380" s="46">
        <f>IF(VLOOKUP($C380,REV!$C:$AA,21,0)-'TRADE IN'!$F380=0,"",(VLOOKUP($C380,REV!$C:$AA,21,0)-'TRADE IN'!$F380))</f>
        <v>699</v>
      </c>
      <c r="X380" s="46">
        <f>IF(VLOOKUP($C380,REV!$C:$AA,22,0)-'TRADE IN'!$F380=0,"",(VLOOKUP($C380,REV!$C:$AA,22,0)-'TRADE IN'!$F380))</f>
        <v>699</v>
      </c>
      <c r="Y380" s="46">
        <f>IF(VLOOKUP($C380,REV!$C:$AA,23,0)-'TRADE IN'!$F380=0,"",(VLOOKUP($C380,REV!$C:$AA,23,0)-'TRADE IN'!$F380))</f>
        <v>699</v>
      </c>
      <c r="Z380" s="46">
        <f>IF(VLOOKUP($C380,REV!$C:$AA,24,0)-'TRADE IN'!$F380=0,"",(VLOOKUP($C380,REV!$C:$AA,24,0)-'TRADE IN'!$F380))</f>
        <v>699</v>
      </c>
      <c r="AA380" s="46">
        <f>IF(VLOOKUP($C380,REV!$C:$AA,25,0)-'TRADE IN'!$F380=0,"",(VLOOKUP($C380,REV!$C:$AA,25,0)-'TRADE IN'!$F380))</f>
        <v>699</v>
      </c>
      <c r="AB380" s="45"/>
      <c r="AC380" s="45"/>
      <c r="AD380" s="45"/>
      <c r="AE380" s="45"/>
      <c r="AF380" s="45"/>
      <c r="AG380" s="45"/>
      <c r="AH380" s="45"/>
      <c r="AI380" s="45"/>
      <c r="AJ380" s="45"/>
      <c r="AK380" s="45"/>
      <c r="AL380" s="45"/>
      <c r="AM380" s="45"/>
      <c r="AN380" s="45"/>
      <c r="AO380" s="45"/>
      <c r="AP380" s="45"/>
      <c r="AQ380" s="45"/>
      <c r="AR380" s="45"/>
      <c r="AS380" s="45"/>
      <c r="AT380" s="45"/>
      <c r="AU380" s="45"/>
      <c r="AV380" s="47"/>
      <c r="AW380" s="48" t="str">
        <f>REV!AW380</f>
        <v>13.08.2026</v>
      </c>
      <c r="AX380" s="149" t="s">
        <v>68</v>
      </c>
    </row>
    <row r="381" spans="1:50" ht="22.5" customHeight="1">
      <c r="A381" s="41" t="s">
        <v>63</v>
      </c>
      <c r="B381" s="42" t="s">
        <v>64</v>
      </c>
      <c r="C381" s="43">
        <v>4016551</v>
      </c>
      <c r="D381" s="56" t="s">
        <v>557</v>
      </c>
      <c r="E381" s="56" t="s">
        <v>563</v>
      </c>
      <c r="F381" s="45">
        <v>100</v>
      </c>
      <c r="G381" s="45"/>
      <c r="H381" s="45"/>
      <c r="I381" s="45"/>
      <c r="J381" s="46">
        <f>IF(VLOOKUP($C381,REV!$C:$AA,8,0)-'TRADE IN'!$F381=0,"",(VLOOKUP($C381,REV!$C:$AA,8,0)-'TRADE IN'!$F381))</f>
        <v>699</v>
      </c>
      <c r="K381" s="46">
        <f>IF(VLOOKUP($C381,REV!$C:$AA,9,0)-'TRADE IN'!$F381=0,"",(VLOOKUP($C381,REV!$C:$AA,9,0)-'TRADE IN'!$F381))</f>
        <v>699</v>
      </c>
      <c r="L381" s="46">
        <f>IF(VLOOKUP($C381,REV!$C:$AA,10,0)-'TRADE IN'!$F381=0,"",(VLOOKUP($C381,REV!$C:$AA,10,0)-'TRADE IN'!$F381))</f>
        <v>699</v>
      </c>
      <c r="M381" s="46">
        <f>IF(VLOOKUP($C381,REV!$C:$AA,11,0)-'TRADE IN'!$F381=0,"",(VLOOKUP($C381,REV!$C:$AA,11,0)-'TRADE IN'!$F381))</f>
        <v>699</v>
      </c>
      <c r="N381" s="46">
        <f>IF(VLOOKUP($C381,REV!$C:$AA,12,0)-'TRADE IN'!$F381=0,"",(VLOOKUP($C381,REV!$C:$AA,12,0)-'TRADE IN'!$F381))</f>
        <v>699</v>
      </c>
      <c r="O381" s="46">
        <f>IF(VLOOKUP($C381,REV!$C:$AA,13,0)-'TRADE IN'!$F381=0,"",(VLOOKUP($C381,REV!$C:$AA,13,0)-'TRADE IN'!$F381))</f>
        <v>699</v>
      </c>
      <c r="P381" s="46">
        <f>IF(VLOOKUP($C381,REV!$C:$AA,14,0)-'TRADE IN'!$F381=0,"",(VLOOKUP($C381,REV!$C:$AA,14,0)-'TRADE IN'!$F381))</f>
        <v>699</v>
      </c>
      <c r="Q381" s="46">
        <f>IF(VLOOKUP($C381,REV!$C:$AA,15,0)-'TRADE IN'!$F381=0,"",(VLOOKUP($C381,REV!$C:$AA,15,0)-'TRADE IN'!$F381))</f>
        <v>699</v>
      </c>
      <c r="R381" s="46">
        <f>IF(VLOOKUP($C381,REV!$C:$AA,16,0)-'TRADE IN'!$F381=0,"",(VLOOKUP($C381,REV!$C:$AA,16,0)-'TRADE IN'!$F381))</f>
        <v>699</v>
      </c>
      <c r="S381" s="46">
        <f>IF(VLOOKUP($C381,REV!$C:$AA,17,0)-'TRADE IN'!$F381=0,"",(VLOOKUP($C381,REV!$C:$AA,17,0)-'TRADE IN'!$F381))</f>
        <v>699</v>
      </c>
      <c r="T381" s="46">
        <f>IF(VLOOKUP($C381,REV!$C:$AA,18,0)-'TRADE IN'!$F381=0,"",(VLOOKUP($C381,REV!$C:$AA,18,0)-'TRADE IN'!$F381))</f>
        <v>699</v>
      </c>
      <c r="U381" s="46">
        <f>IF(VLOOKUP($C381,REV!$C:$AA,19,0)-'TRADE IN'!$F381=0,"",(VLOOKUP($C381,REV!$C:$AA,19,0)-'TRADE IN'!$F381))</f>
        <v>699</v>
      </c>
      <c r="V381" s="46">
        <f>IF(VLOOKUP($C381,REV!$C:$AA,20,0)-'TRADE IN'!$F381=0,"",(VLOOKUP($C381,REV!$C:$AA,20,0)-'TRADE IN'!$F381))</f>
        <v>699</v>
      </c>
      <c r="W381" s="46">
        <f>IF(VLOOKUP($C381,REV!$C:$AA,21,0)-'TRADE IN'!$F381=0,"",(VLOOKUP($C381,REV!$C:$AA,21,0)-'TRADE IN'!$F381))</f>
        <v>699</v>
      </c>
      <c r="X381" s="46">
        <f>IF(VLOOKUP($C381,REV!$C:$AA,22,0)-'TRADE IN'!$F381=0,"",(VLOOKUP($C381,REV!$C:$AA,22,0)-'TRADE IN'!$F381))</f>
        <v>699</v>
      </c>
      <c r="Y381" s="46">
        <f>IF(VLOOKUP($C381,REV!$C:$AA,23,0)-'TRADE IN'!$F381=0,"",(VLOOKUP($C381,REV!$C:$AA,23,0)-'TRADE IN'!$F381))</f>
        <v>699</v>
      </c>
      <c r="Z381" s="46">
        <f>IF(VLOOKUP($C381,REV!$C:$AA,24,0)-'TRADE IN'!$F381=0,"",(VLOOKUP($C381,REV!$C:$AA,24,0)-'TRADE IN'!$F381))</f>
        <v>699</v>
      </c>
      <c r="AA381" s="46">
        <f>IF(VLOOKUP($C381,REV!$C:$AA,25,0)-'TRADE IN'!$F381=0,"",(VLOOKUP($C381,REV!$C:$AA,25,0)-'TRADE IN'!$F381))</f>
        <v>699</v>
      </c>
      <c r="AB381" s="45"/>
      <c r="AC381" s="45"/>
      <c r="AD381" s="45"/>
      <c r="AE381" s="45"/>
      <c r="AF381" s="45"/>
      <c r="AG381" s="45"/>
      <c r="AH381" s="45"/>
      <c r="AI381" s="45"/>
      <c r="AJ381" s="45"/>
      <c r="AK381" s="45"/>
      <c r="AL381" s="45"/>
      <c r="AM381" s="45"/>
      <c r="AN381" s="45"/>
      <c r="AO381" s="45"/>
      <c r="AP381" s="45"/>
      <c r="AQ381" s="45"/>
      <c r="AR381" s="45"/>
      <c r="AS381" s="45"/>
      <c r="AT381" s="45"/>
      <c r="AU381" s="45"/>
      <c r="AV381" s="47"/>
      <c r="AW381" s="48" t="str">
        <f>REV!AW381</f>
        <v>13.08.2026</v>
      </c>
      <c r="AX381" s="149" t="s">
        <v>68</v>
      </c>
    </row>
    <row r="382" spans="1:50" ht="22.5" customHeight="1">
      <c r="A382" s="41" t="s">
        <v>63</v>
      </c>
      <c r="B382" s="42" t="s">
        <v>64</v>
      </c>
      <c r="C382" s="43">
        <v>4016839</v>
      </c>
      <c r="D382" s="57" t="s">
        <v>564</v>
      </c>
      <c r="E382" s="56" t="s">
        <v>565</v>
      </c>
      <c r="F382" s="54">
        <v>700</v>
      </c>
      <c r="G382" s="45"/>
      <c r="H382" s="45"/>
      <c r="I382" s="45"/>
      <c r="J382" s="46">
        <f>IF(VLOOKUP($C382,REV!$C:$AA,8,0)-'TRADE IN'!$F382=0,"",(VLOOKUP($C382,REV!$C:$AA,8,0)-'TRADE IN'!$F382))</f>
        <v>3799</v>
      </c>
      <c r="K382" s="46">
        <f>IF(VLOOKUP($C382,REV!$C:$AA,9,0)-'TRADE IN'!$F382=0,"",(VLOOKUP($C382,REV!$C:$AA,9,0)-'TRADE IN'!$F382))</f>
        <v>3799</v>
      </c>
      <c r="L382" s="46">
        <f>IF(VLOOKUP($C382,REV!$C:$AA,10,0)-'TRADE IN'!$F382=0,"",(VLOOKUP($C382,REV!$C:$AA,10,0)-'TRADE IN'!$F382))</f>
        <v>3799</v>
      </c>
      <c r="M382" s="46">
        <f>IF(VLOOKUP($C382,REV!$C:$AA,11,0)-'TRADE IN'!$F382=0,"",(VLOOKUP($C382,REV!$C:$AA,11,0)-'TRADE IN'!$F382))</f>
        <v>3799</v>
      </c>
      <c r="N382" s="46">
        <f>IF(VLOOKUP($C382,REV!$C:$AA,12,0)-'TRADE IN'!$F382=0,"",(VLOOKUP($C382,REV!$C:$AA,12,0)-'TRADE IN'!$F382))</f>
        <v>3799</v>
      </c>
      <c r="O382" s="46">
        <f>IF(VLOOKUP($C382,REV!$C:$AA,13,0)-'TRADE IN'!$F382=0,"",(VLOOKUP($C382,REV!$C:$AA,13,0)-'TRADE IN'!$F382))</f>
        <v>3699</v>
      </c>
      <c r="P382" s="46">
        <f>IF(VLOOKUP($C382,REV!$C:$AA,14,0)-'TRADE IN'!$F382=0,"",(VLOOKUP($C382,REV!$C:$AA,14,0)-'TRADE IN'!$F382))</f>
        <v>3599</v>
      </c>
      <c r="Q382" s="46">
        <f>IF(VLOOKUP($C382,REV!$C:$AA,15,0)-'TRADE IN'!$F382=0,"",(VLOOKUP($C382,REV!$C:$AA,15,0)-'TRADE IN'!$F382))</f>
        <v>2599</v>
      </c>
      <c r="R382" s="46">
        <f>IF(VLOOKUP($C382,REV!$C:$AA,16,0)-'TRADE IN'!$F382=0,"",(VLOOKUP($C382,REV!$C:$AA,16,0)-'TRADE IN'!$F382))</f>
        <v>3699</v>
      </c>
      <c r="S382" s="46">
        <f>IF(VLOOKUP($C382,REV!$C:$AA,17,0)-'TRADE IN'!$F382=0,"",(VLOOKUP($C382,REV!$C:$AA,17,0)-'TRADE IN'!$F382))</f>
        <v>3599</v>
      </c>
      <c r="T382" s="46">
        <f>IF(VLOOKUP($C382,REV!$C:$AA,18,0)-'TRADE IN'!$F382=0,"",(VLOOKUP($C382,REV!$C:$AA,18,0)-'TRADE IN'!$F382))</f>
        <v>2599</v>
      </c>
      <c r="U382" s="46">
        <f>IF(VLOOKUP($C382,REV!$C:$AA,19,0)-'TRADE IN'!$F382=0,"",(VLOOKUP($C382,REV!$C:$AA,19,0)-'TRADE IN'!$F382))</f>
        <v>2599</v>
      </c>
      <c r="V382" s="46">
        <f>IF(VLOOKUP($C382,REV!$C:$AA,20,0)-'TRADE IN'!$F382=0,"",(VLOOKUP($C382,REV!$C:$AA,20,0)-'TRADE IN'!$F382))</f>
        <v>2599</v>
      </c>
      <c r="W382" s="46">
        <f>IF(VLOOKUP($C382,REV!$C:$AA,21,0)-'TRADE IN'!$F382=0,"",(VLOOKUP($C382,REV!$C:$AA,21,0)-'TRADE IN'!$F382))</f>
        <v>2599</v>
      </c>
      <c r="X382" s="46">
        <f>IF(VLOOKUP($C382,REV!$C:$AA,22,0)-'TRADE IN'!$F382=0,"",(VLOOKUP($C382,REV!$C:$AA,22,0)-'TRADE IN'!$F382))</f>
        <v>2499</v>
      </c>
      <c r="Y382" s="46">
        <f>IF(VLOOKUP($C382,REV!$C:$AA,23,0)-'TRADE IN'!$F382=0,"",(VLOOKUP($C382,REV!$C:$AA,23,0)-'TRADE IN'!$F382))</f>
        <v>2099</v>
      </c>
      <c r="Z382" s="46">
        <f>IF(VLOOKUP($C382,REV!$C:$AA,24,0)-'TRADE IN'!$F382=0,"",(VLOOKUP($C382,REV!$C:$AA,24,0)-'TRADE IN'!$F382))</f>
        <v>2099</v>
      </c>
      <c r="AA382" s="46">
        <f>IF(VLOOKUP($C382,REV!$C:$AA,25,0)-'TRADE IN'!$F382=0,"",(VLOOKUP($C382,REV!$C:$AA,25,0)-'TRADE IN'!$F382))</f>
        <v>1899</v>
      </c>
      <c r="AB382" s="45">
        <f>IF(VLOOKUP($C382,REV!$C:$AL,27,0)-'TRADE IN'!$F382=0,"",(VLOOKUP($C382,REV!$C:$AL,27,0)-'TRADE IN'!$F382))</f>
        <v>3799</v>
      </c>
      <c r="AC382" s="45">
        <f>IF(VLOOKUP($C382,REV!$C:$AL,28,0)-'TRADE IN'!$F382=0,"",(VLOOKUP($C382,REV!$C:$AL,28,0)-'TRADE IN'!$F382))</f>
        <v>3799</v>
      </c>
      <c r="AD382" s="45">
        <f>IF(VLOOKUP($C382,REV!$C:$AL,29,0)-'TRADE IN'!$F382=0,"",(VLOOKUP($C382,REV!$C:$AL,29,0)-'TRADE IN'!$F382))</f>
        <v>3699</v>
      </c>
      <c r="AE382" s="45">
        <f>IF(VLOOKUP($C382,REV!$C:$AL,30,0)-'TRADE IN'!$F382=0,"",(VLOOKUP($C382,REV!$C:$AL,30,0)-'TRADE IN'!$F382))</f>
        <v>3599</v>
      </c>
      <c r="AF382" s="45">
        <f>IF(VLOOKUP($C382,REV!$C:$AL,31,0)-'TRADE IN'!$F382=0,"",(VLOOKUP($C382,REV!$C:$AL,31,0)-'TRADE IN'!$F382))</f>
        <v>3599</v>
      </c>
      <c r="AG382" s="45">
        <f>IF(VLOOKUP($C382,REV!$C:$AL,31,0)-'TRADE IN'!$F382=0,"",(VLOOKUP($C382,REV!$C:$AL,31,0)-'TRADE IN'!$F382))</f>
        <v>3599</v>
      </c>
      <c r="AH382" s="45">
        <f>IF(VLOOKUP($C382,REV!$C:$AL,32,0)-'TRADE IN'!$F382=0,"",(VLOOKUP($C382,REV!$C:$AL,32,0)-'TRADE IN'!$F382))</f>
        <v>2599</v>
      </c>
      <c r="AI382" s="45">
        <f>IF(VLOOKUP($C382,REV!$C:$AL,33,0)-'TRADE IN'!$F382=0,"",(VLOOKUP($C382,REV!$C:$AL,33,0)-'TRADE IN'!$F382))</f>
        <v>2599</v>
      </c>
      <c r="AJ382" s="45">
        <f>IF(VLOOKUP($C382,REV!$C:$AL,34,0)-'TRADE IN'!$F382=0,"",(VLOOKUP($C382,REV!$C:$AL,34,0)-'TRADE IN'!$F382))</f>
        <v>2599</v>
      </c>
      <c r="AK382" s="45">
        <f>IF(VLOOKUP($C382,REV!$C:$AL,35,0)-'TRADE IN'!$F382=0,"",(VLOOKUP($C382,REV!$C:$AL,35,0)-'TRADE IN'!$F382))</f>
        <v>2599</v>
      </c>
      <c r="AL382" s="45">
        <f>IF(VLOOKUP($C382,REV!$C:$AL,36,0)-'TRADE IN'!$F382=0,"",(VLOOKUP($C382,REV!$C:$AL,36,0)-'TRADE IN'!$F382))</f>
        <v>2099</v>
      </c>
      <c r="AM382" s="45"/>
      <c r="AN382" s="45"/>
      <c r="AO382" s="45"/>
      <c r="AP382" s="45"/>
      <c r="AQ382" s="45"/>
      <c r="AR382" s="45"/>
      <c r="AS382" s="45"/>
      <c r="AT382" s="45"/>
      <c r="AU382" s="45"/>
      <c r="AV382" s="47"/>
      <c r="AW382" s="48" t="str">
        <f>REV!AW382</f>
        <v>13.08.2026</v>
      </c>
      <c r="AX382" s="149" t="s">
        <v>68</v>
      </c>
    </row>
    <row r="383" spans="1:50" ht="22.5" customHeight="1">
      <c r="A383" s="41" t="s">
        <v>63</v>
      </c>
      <c r="B383" s="42" t="s">
        <v>64</v>
      </c>
      <c r="C383" s="43">
        <v>4016872</v>
      </c>
      <c r="D383" s="57" t="s">
        <v>564</v>
      </c>
      <c r="E383" s="56" t="s">
        <v>566</v>
      </c>
      <c r="F383" s="54">
        <v>700</v>
      </c>
      <c r="G383" s="45"/>
      <c r="H383" s="45"/>
      <c r="I383" s="45"/>
      <c r="J383" s="46">
        <f>IF(VLOOKUP($C383,REV!$C:$AA,8,0)-'TRADE IN'!$F383=0,"",(VLOOKUP($C383,REV!$C:$AA,8,0)-'TRADE IN'!$F383))</f>
        <v>3799</v>
      </c>
      <c r="K383" s="46">
        <f>IF(VLOOKUP($C383,REV!$C:$AA,9,0)-'TRADE IN'!$F383=0,"",(VLOOKUP($C383,REV!$C:$AA,9,0)-'TRADE IN'!$F383))</f>
        <v>3799</v>
      </c>
      <c r="L383" s="46">
        <f>IF(VLOOKUP($C383,REV!$C:$AA,10,0)-'TRADE IN'!$F383=0,"",(VLOOKUP($C383,REV!$C:$AA,10,0)-'TRADE IN'!$F383))</f>
        <v>3799</v>
      </c>
      <c r="M383" s="46">
        <f>IF(VLOOKUP($C383,REV!$C:$AA,11,0)-'TRADE IN'!$F383=0,"",(VLOOKUP($C383,REV!$C:$AA,11,0)-'TRADE IN'!$F383))</f>
        <v>3799</v>
      </c>
      <c r="N383" s="46">
        <f>IF(VLOOKUP($C383,REV!$C:$AA,12,0)-'TRADE IN'!$F383=0,"",(VLOOKUP($C383,REV!$C:$AA,12,0)-'TRADE IN'!$F383))</f>
        <v>3799</v>
      </c>
      <c r="O383" s="46">
        <f>IF(VLOOKUP($C383,REV!$C:$AA,13,0)-'TRADE IN'!$F383=0,"",(VLOOKUP($C383,REV!$C:$AA,13,0)-'TRADE IN'!$F383))</f>
        <v>3699</v>
      </c>
      <c r="P383" s="46">
        <f>IF(VLOOKUP($C383,REV!$C:$AA,14,0)-'TRADE IN'!$F383=0,"",(VLOOKUP($C383,REV!$C:$AA,14,0)-'TRADE IN'!$F383))</f>
        <v>3599</v>
      </c>
      <c r="Q383" s="46">
        <f>IF(VLOOKUP($C383,REV!$C:$AA,15,0)-'TRADE IN'!$F383=0,"",(VLOOKUP($C383,REV!$C:$AA,15,0)-'TRADE IN'!$F383))</f>
        <v>2599</v>
      </c>
      <c r="R383" s="46">
        <f>IF(VLOOKUP($C383,REV!$C:$AA,16,0)-'TRADE IN'!$F383=0,"",(VLOOKUP($C383,REV!$C:$AA,16,0)-'TRADE IN'!$F383))</f>
        <v>3699</v>
      </c>
      <c r="S383" s="46">
        <f>IF(VLOOKUP($C383,REV!$C:$AA,17,0)-'TRADE IN'!$F383=0,"",(VLOOKUP($C383,REV!$C:$AA,17,0)-'TRADE IN'!$F383))</f>
        <v>3599</v>
      </c>
      <c r="T383" s="46">
        <f>IF(VLOOKUP($C383,REV!$C:$AA,18,0)-'TRADE IN'!$F383=0,"",(VLOOKUP($C383,REV!$C:$AA,18,0)-'TRADE IN'!$F383))</f>
        <v>2599</v>
      </c>
      <c r="U383" s="46">
        <f>IF(VLOOKUP($C383,REV!$C:$AA,19,0)-'TRADE IN'!$F383=0,"",(VLOOKUP($C383,REV!$C:$AA,19,0)-'TRADE IN'!$F383))</f>
        <v>2599</v>
      </c>
      <c r="V383" s="46">
        <f>IF(VLOOKUP($C383,REV!$C:$AA,20,0)-'TRADE IN'!$F383=0,"",(VLOOKUP($C383,REV!$C:$AA,20,0)-'TRADE IN'!$F383))</f>
        <v>2599</v>
      </c>
      <c r="W383" s="46">
        <f>IF(VLOOKUP($C383,REV!$C:$AA,21,0)-'TRADE IN'!$F383=0,"",(VLOOKUP($C383,REV!$C:$AA,21,0)-'TRADE IN'!$F383))</f>
        <v>2599</v>
      </c>
      <c r="X383" s="46">
        <f>IF(VLOOKUP($C383,REV!$C:$AA,22,0)-'TRADE IN'!$F383=0,"",(VLOOKUP($C383,REV!$C:$AA,22,0)-'TRADE IN'!$F383))</f>
        <v>2499</v>
      </c>
      <c r="Y383" s="46">
        <f>IF(VLOOKUP($C383,REV!$C:$AA,23,0)-'TRADE IN'!$F383=0,"",(VLOOKUP($C383,REV!$C:$AA,23,0)-'TRADE IN'!$F383))</f>
        <v>2099</v>
      </c>
      <c r="Z383" s="46">
        <f>IF(VLOOKUP($C383,REV!$C:$AA,24,0)-'TRADE IN'!$F383=0,"",(VLOOKUP($C383,REV!$C:$AA,24,0)-'TRADE IN'!$F383))</f>
        <v>2099</v>
      </c>
      <c r="AA383" s="46">
        <f>IF(VLOOKUP($C383,REV!$C:$AA,25,0)-'TRADE IN'!$F383=0,"",(VLOOKUP($C383,REV!$C:$AA,25,0)-'TRADE IN'!$F383))</f>
        <v>1899</v>
      </c>
      <c r="AB383" s="45">
        <f>IF(VLOOKUP($C383,REV!$C:$AL,27,0)-'TRADE IN'!$F383=0,"",(VLOOKUP($C383,REV!$C:$AL,27,0)-'TRADE IN'!$F383))</f>
        <v>3799</v>
      </c>
      <c r="AC383" s="45">
        <f>IF(VLOOKUP($C383,REV!$C:$AL,28,0)-'TRADE IN'!$F383=0,"",(VLOOKUP($C383,REV!$C:$AL,28,0)-'TRADE IN'!$F383))</f>
        <v>3799</v>
      </c>
      <c r="AD383" s="45">
        <f>IF(VLOOKUP($C383,REV!$C:$AL,29,0)-'TRADE IN'!$F383=0,"",(VLOOKUP($C383,REV!$C:$AL,29,0)-'TRADE IN'!$F383))</f>
        <v>3699</v>
      </c>
      <c r="AE383" s="45">
        <f>IF(VLOOKUP($C383,REV!$C:$AL,30,0)-'TRADE IN'!$F383=0,"",(VLOOKUP($C383,REV!$C:$AL,30,0)-'TRADE IN'!$F383))</f>
        <v>3599</v>
      </c>
      <c r="AF383" s="45">
        <f>IF(VLOOKUP($C383,REV!$C:$AL,31,0)-'TRADE IN'!$F383=0,"",(VLOOKUP($C383,REV!$C:$AL,31,0)-'TRADE IN'!$F383))</f>
        <v>3599</v>
      </c>
      <c r="AG383" s="45">
        <f>IF(VLOOKUP($C383,REV!$C:$AL,31,0)-'TRADE IN'!$F383=0,"",(VLOOKUP($C383,REV!$C:$AL,31,0)-'TRADE IN'!$F383))</f>
        <v>3599</v>
      </c>
      <c r="AH383" s="45">
        <f>IF(VLOOKUP($C383,REV!$C:$AL,32,0)-'TRADE IN'!$F383=0,"",(VLOOKUP($C383,REV!$C:$AL,32,0)-'TRADE IN'!$F383))</f>
        <v>2599</v>
      </c>
      <c r="AI383" s="45">
        <f>IF(VLOOKUP($C383,REV!$C:$AL,33,0)-'TRADE IN'!$F383=0,"",(VLOOKUP($C383,REV!$C:$AL,33,0)-'TRADE IN'!$F383))</f>
        <v>2599</v>
      </c>
      <c r="AJ383" s="45">
        <f>IF(VLOOKUP($C383,REV!$C:$AL,34,0)-'TRADE IN'!$F383=0,"",(VLOOKUP($C383,REV!$C:$AL,34,0)-'TRADE IN'!$F383))</f>
        <v>2599</v>
      </c>
      <c r="AK383" s="45">
        <f>IF(VLOOKUP($C383,REV!$C:$AL,35,0)-'TRADE IN'!$F383=0,"",(VLOOKUP($C383,REV!$C:$AL,35,0)-'TRADE IN'!$F383))</f>
        <v>2599</v>
      </c>
      <c r="AL383" s="45">
        <f>IF(VLOOKUP($C383,REV!$C:$AL,36,0)-'TRADE IN'!$F383=0,"",(VLOOKUP($C383,REV!$C:$AL,36,0)-'TRADE IN'!$F383))</f>
        <v>2099</v>
      </c>
      <c r="AM383" s="45"/>
      <c r="AN383" s="45"/>
      <c r="AO383" s="45"/>
      <c r="AP383" s="45"/>
      <c r="AQ383" s="45"/>
      <c r="AR383" s="45"/>
      <c r="AS383" s="45"/>
      <c r="AT383" s="45"/>
      <c r="AU383" s="45"/>
      <c r="AV383" s="47"/>
      <c r="AW383" s="48" t="str">
        <f>REV!AW383</f>
        <v>13.08.2026</v>
      </c>
      <c r="AX383" s="149" t="s">
        <v>68</v>
      </c>
    </row>
    <row r="384" spans="1:50" ht="22.5" customHeight="1">
      <c r="A384" s="41" t="s">
        <v>63</v>
      </c>
      <c r="B384" s="42" t="s">
        <v>64</v>
      </c>
      <c r="C384" s="43">
        <v>4016858</v>
      </c>
      <c r="D384" s="57" t="s">
        <v>564</v>
      </c>
      <c r="E384" s="56" t="s">
        <v>567</v>
      </c>
      <c r="F384" s="54">
        <v>700</v>
      </c>
      <c r="G384" s="45"/>
      <c r="H384" s="45"/>
      <c r="I384" s="45"/>
      <c r="J384" s="46">
        <f>IF(VLOOKUP($C384,REV!$C:$AA,8,0)-'TRADE IN'!$F384=0,"",(VLOOKUP($C384,REV!$C:$AA,8,0)-'TRADE IN'!$F384))</f>
        <v>3799</v>
      </c>
      <c r="K384" s="46">
        <f>IF(VLOOKUP($C384,REV!$C:$AA,9,0)-'TRADE IN'!$F384=0,"",(VLOOKUP($C384,REV!$C:$AA,9,0)-'TRADE IN'!$F384))</f>
        <v>3799</v>
      </c>
      <c r="L384" s="46">
        <f>IF(VLOOKUP($C384,REV!$C:$AA,10,0)-'TRADE IN'!$F384=0,"",(VLOOKUP($C384,REV!$C:$AA,10,0)-'TRADE IN'!$F384))</f>
        <v>3799</v>
      </c>
      <c r="M384" s="46">
        <f>IF(VLOOKUP($C384,REV!$C:$AA,11,0)-'TRADE IN'!$F384=0,"",(VLOOKUP($C384,REV!$C:$AA,11,0)-'TRADE IN'!$F384))</f>
        <v>3799</v>
      </c>
      <c r="N384" s="46">
        <f>IF(VLOOKUP($C384,REV!$C:$AA,12,0)-'TRADE IN'!$F384=0,"",(VLOOKUP($C384,REV!$C:$AA,12,0)-'TRADE IN'!$F384))</f>
        <v>3799</v>
      </c>
      <c r="O384" s="46">
        <f>IF(VLOOKUP($C384,REV!$C:$AA,13,0)-'TRADE IN'!$F384=0,"",(VLOOKUP($C384,REV!$C:$AA,13,0)-'TRADE IN'!$F384))</f>
        <v>3699</v>
      </c>
      <c r="P384" s="46">
        <f>IF(VLOOKUP($C384,REV!$C:$AA,14,0)-'TRADE IN'!$F384=0,"",(VLOOKUP($C384,REV!$C:$AA,14,0)-'TRADE IN'!$F384))</f>
        <v>3599</v>
      </c>
      <c r="Q384" s="46">
        <f>IF(VLOOKUP($C384,REV!$C:$AA,15,0)-'TRADE IN'!$F384=0,"",(VLOOKUP($C384,REV!$C:$AA,15,0)-'TRADE IN'!$F384))</f>
        <v>2599</v>
      </c>
      <c r="R384" s="46">
        <f>IF(VLOOKUP($C384,REV!$C:$AA,16,0)-'TRADE IN'!$F384=0,"",(VLOOKUP($C384,REV!$C:$AA,16,0)-'TRADE IN'!$F384))</f>
        <v>3699</v>
      </c>
      <c r="S384" s="46">
        <f>IF(VLOOKUP($C384,REV!$C:$AA,17,0)-'TRADE IN'!$F384=0,"",(VLOOKUP($C384,REV!$C:$AA,17,0)-'TRADE IN'!$F384))</f>
        <v>3599</v>
      </c>
      <c r="T384" s="46">
        <f>IF(VLOOKUP($C384,REV!$C:$AA,18,0)-'TRADE IN'!$F384=0,"",(VLOOKUP($C384,REV!$C:$AA,18,0)-'TRADE IN'!$F384))</f>
        <v>2599</v>
      </c>
      <c r="U384" s="46">
        <f>IF(VLOOKUP($C384,REV!$C:$AA,19,0)-'TRADE IN'!$F384=0,"",(VLOOKUP($C384,REV!$C:$AA,19,0)-'TRADE IN'!$F384))</f>
        <v>2599</v>
      </c>
      <c r="V384" s="46">
        <f>IF(VLOOKUP($C384,REV!$C:$AA,20,0)-'TRADE IN'!$F384=0,"",(VLOOKUP($C384,REV!$C:$AA,20,0)-'TRADE IN'!$F384))</f>
        <v>2599</v>
      </c>
      <c r="W384" s="46">
        <f>IF(VLOOKUP($C384,REV!$C:$AA,21,0)-'TRADE IN'!$F384=0,"",(VLOOKUP($C384,REV!$C:$AA,21,0)-'TRADE IN'!$F384))</f>
        <v>2599</v>
      </c>
      <c r="X384" s="46">
        <f>IF(VLOOKUP($C384,REV!$C:$AA,22,0)-'TRADE IN'!$F384=0,"",(VLOOKUP($C384,REV!$C:$AA,22,0)-'TRADE IN'!$F384))</f>
        <v>2499</v>
      </c>
      <c r="Y384" s="46">
        <f>IF(VLOOKUP($C384,REV!$C:$AA,23,0)-'TRADE IN'!$F384=0,"",(VLOOKUP($C384,REV!$C:$AA,23,0)-'TRADE IN'!$F384))</f>
        <v>2099</v>
      </c>
      <c r="Z384" s="46">
        <f>IF(VLOOKUP($C384,REV!$C:$AA,24,0)-'TRADE IN'!$F384=0,"",(VLOOKUP($C384,REV!$C:$AA,24,0)-'TRADE IN'!$F384))</f>
        <v>2099</v>
      </c>
      <c r="AA384" s="46">
        <f>IF(VLOOKUP($C384,REV!$C:$AA,25,0)-'TRADE IN'!$F384=0,"",(VLOOKUP($C384,REV!$C:$AA,25,0)-'TRADE IN'!$F384))</f>
        <v>1899</v>
      </c>
      <c r="AB384" s="45">
        <f>IF(VLOOKUP($C384,REV!$C:$AL,27,0)-'TRADE IN'!$F384=0,"",(VLOOKUP($C384,REV!$C:$AL,27,0)-'TRADE IN'!$F384))</f>
        <v>3799</v>
      </c>
      <c r="AC384" s="45">
        <f>IF(VLOOKUP($C384,REV!$C:$AL,28,0)-'TRADE IN'!$F384=0,"",(VLOOKUP($C384,REV!$C:$AL,28,0)-'TRADE IN'!$F384))</f>
        <v>3799</v>
      </c>
      <c r="AD384" s="45">
        <f>IF(VLOOKUP($C384,REV!$C:$AL,29,0)-'TRADE IN'!$F384=0,"",(VLOOKUP($C384,REV!$C:$AL,29,0)-'TRADE IN'!$F384))</f>
        <v>3699</v>
      </c>
      <c r="AE384" s="45">
        <f>IF(VLOOKUP($C384,REV!$C:$AL,30,0)-'TRADE IN'!$F384=0,"",(VLOOKUP($C384,REV!$C:$AL,30,0)-'TRADE IN'!$F384))</f>
        <v>3599</v>
      </c>
      <c r="AF384" s="45">
        <f>IF(VLOOKUP($C384,REV!$C:$AL,31,0)-'TRADE IN'!$F384=0,"",(VLOOKUP($C384,REV!$C:$AL,31,0)-'TRADE IN'!$F384))</f>
        <v>3599</v>
      </c>
      <c r="AG384" s="45">
        <f>IF(VLOOKUP($C384,REV!$C:$AL,31,0)-'TRADE IN'!$F384=0,"",(VLOOKUP($C384,REV!$C:$AL,31,0)-'TRADE IN'!$F384))</f>
        <v>3599</v>
      </c>
      <c r="AH384" s="45">
        <f>IF(VLOOKUP($C384,REV!$C:$AL,32,0)-'TRADE IN'!$F384=0,"",(VLOOKUP($C384,REV!$C:$AL,32,0)-'TRADE IN'!$F384))</f>
        <v>2599</v>
      </c>
      <c r="AI384" s="45">
        <f>IF(VLOOKUP($C384,REV!$C:$AL,33,0)-'TRADE IN'!$F384=0,"",(VLOOKUP($C384,REV!$C:$AL,33,0)-'TRADE IN'!$F384))</f>
        <v>2599</v>
      </c>
      <c r="AJ384" s="45">
        <f>IF(VLOOKUP($C384,REV!$C:$AL,34,0)-'TRADE IN'!$F384=0,"",(VLOOKUP($C384,REV!$C:$AL,34,0)-'TRADE IN'!$F384))</f>
        <v>2599</v>
      </c>
      <c r="AK384" s="45">
        <f>IF(VLOOKUP($C384,REV!$C:$AL,35,0)-'TRADE IN'!$F384=0,"",(VLOOKUP($C384,REV!$C:$AL,35,0)-'TRADE IN'!$F384))</f>
        <v>2599</v>
      </c>
      <c r="AL384" s="45">
        <f>IF(VLOOKUP($C384,REV!$C:$AL,36,0)-'TRADE IN'!$F384=0,"",(VLOOKUP($C384,REV!$C:$AL,36,0)-'TRADE IN'!$F384))</f>
        <v>2099</v>
      </c>
      <c r="AM384" s="45"/>
      <c r="AN384" s="45"/>
      <c r="AO384" s="45"/>
      <c r="AP384" s="45"/>
      <c r="AQ384" s="45"/>
      <c r="AR384" s="45"/>
      <c r="AS384" s="45"/>
      <c r="AT384" s="45"/>
      <c r="AU384" s="45"/>
      <c r="AV384" s="47"/>
      <c r="AW384" s="48" t="str">
        <f>REV!AW384</f>
        <v>13.08.2026</v>
      </c>
      <c r="AX384" s="149" t="s">
        <v>68</v>
      </c>
    </row>
    <row r="385" spans="1:50" ht="22.5" customHeight="1">
      <c r="A385" s="41" t="s">
        <v>63</v>
      </c>
      <c r="B385" s="42" t="s">
        <v>64</v>
      </c>
      <c r="C385" s="43">
        <v>4016863</v>
      </c>
      <c r="D385" s="57" t="s">
        <v>564</v>
      </c>
      <c r="E385" s="56" t="s">
        <v>568</v>
      </c>
      <c r="F385" s="54">
        <v>700</v>
      </c>
      <c r="G385" s="45"/>
      <c r="H385" s="45"/>
      <c r="I385" s="45"/>
      <c r="J385" s="46">
        <f>IF(VLOOKUP($C385,REV!$C:$AA,8,0)-'TRADE IN'!$F385=0,"",(VLOOKUP($C385,REV!$C:$AA,8,0)-'TRADE IN'!$F385))</f>
        <v>3799</v>
      </c>
      <c r="K385" s="46">
        <f>IF(VLOOKUP($C385,REV!$C:$AA,9,0)-'TRADE IN'!$F385=0,"",(VLOOKUP($C385,REV!$C:$AA,9,0)-'TRADE IN'!$F385))</f>
        <v>3799</v>
      </c>
      <c r="L385" s="46">
        <f>IF(VLOOKUP($C385,REV!$C:$AA,10,0)-'TRADE IN'!$F385=0,"",(VLOOKUP($C385,REV!$C:$AA,10,0)-'TRADE IN'!$F385))</f>
        <v>3799</v>
      </c>
      <c r="M385" s="46">
        <f>IF(VLOOKUP($C385,REV!$C:$AA,11,0)-'TRADE IN'!$F385=0,"",(VLOOKUP($C385,REV!$C:$AA,11,0)-'TRADE IN'!$F385))</f>
        <v>3799</v>
      </c>
      <c r="N385" s="46">
        <f>IF(VLOOKUP($C385,REV!$C:$AA,12,0)-'TRADE IN'!$F385=0,"",(VLOOKUP($C385,REV!$C:$AA,12,0)-'TRADE IN'!$F385))</f>
        <v>3799</v>
      </c>
      <c r="O385" s="46">
        <f>IF(VLOOKUP($C385,REV!$C:$AA,13,0)-'TRADE IN'!$F385=0,"",(VLOOKUP($C385,REV!$C:$AA,13,0)-'TRADE IN'!$F385))</f>
        <v>3699</v>
      </c>
      <c r="P385" s="46">
        <f>IF(VLOOKUP($C385,REV!$C:$AA,14,0)-'TRADE IN'!$F385=0,"",(VLOOKUP($C385,REV!$C:$AA,14,0)-'TRADE IN'!$F385))</f>
        <v>3599</v>
      </c>
      <c r="Q385" s="46">
        <f>IF(VLOOKUP($C385,REV!$C:$AA,15,0)-'TRADE IN'!$F385=0,"",(VLOOKUP($C385,REV!$C:$AA,15,0)-'TRADE IN'!$F385))</f>
        <v>2599</v>
      </c>
      <c r="R385" s="46">
        <f>IF(VLOOKUP($C385,REV!$C:$AA,16,0)-'TRADE IN'!$F385=0,"",(VLOOKUP($C385,REV!$C:$AA,16,0)-'TRADE IN'!$F385))</f>
        <v>3699</v>
      </c>
      <c r="S385" s="46">
        <f>IF(VLOOKUP($C385,REV!$C:$AA,17,0)-'TRADE IN'!$F385=0,"",(VLOOKUP($C385,REV!$C:$AA,17,0)-'TRADE IN'!$F385))</f>
        <v>3599</v>
      </c>
      <c r="T385" s="46">
        <f>IF(VLOOKUP($C385,REV!$C:$AA,18,0)-'TRADE IN'!$F385=0,"",(VLOOKUP($C385,REV!$C:$AA,18,0)-'TRADE IN'!$F385))</f>
        <v>2599</v>
      </c>
      <c r="U385" s="46">
        <f>IF(VLOOKUP($C385,REV!$C:$AA,19,0)-'TRADE IN'!$F385=0,"",(VLOOKUP($C385,REV!$C:$AA,19,0)-'TRADE IN'!$F385))</f>
        <v>2599</v>
      </c>
      <c r="V385" s="46">
        <f>IF(VLOOKUP($C385,REV!$C:$AA,20,0)-'TRADE IN'!$F385=0,"",(VLOOKUP($C385,REV!$C:$AA,20,0)-'TRADE IN'!$F385))</f>
        <v>2599</v>
      </c>
      <c r="W385" s="46">
        <f>IF(VLOOKUP($C385,REV!$C:$AA,21,0)-'TRADE IN'!$F385=0,"",(VLOOKUP($C385,REV!$C:$AA,21,0)-'TRADE IN'!$F385))</f>
        <v>2599</v>
      </c>
      <c r="X385" s="46">
        <f>IF(VLOOKUP($C385,REV!$C:$AA,22,0)-'TRADE IN'!$F385=0,"",(VLOOKUP($C385,REV!$C:$AA,22,0)-'TRADE IN'!$F385))</f>
        <v>2499</v>
      </c>
      <c r="Y385" s="46">
        <f>IF(VLOOKUP($C385,REV!$C:$AA,23,0)-'TRADE IN'!$F385=0,"",(VLOOKUP($C385,REV!$C:$AA,23,0)-'TRADE IN'!$F385))</f>
        <v>2099</v>
      </c>
      <c r="Z385" s="46">
        <f>IF(VLOOKUP($C385,REV!$C:$AA,24,0)-'TRADE IN'!$F385=0,"",(VLOOKUP($C385,REV!$C:$AA,24,0)-'TRADE IN'!$F385))</f>
        <v>2099</v>
      </c>
      <c r="AA385" s="46">
        <f>IF(VLOOKUP($C385,REV!$C:$AA,25,0)-'TRADE IN'!$F385=0,"",(VLOOKUP($C385,REV!$C:$AA,25,0)-'TRADE IN'!$F385))</f>
        <v>1899</v>
      </c>
      <c r="AB385" s="45">
        <f>IF(VLOOKUP($C385,REV!$C:$AL,27,0)-'TRADE IN'!$F385=0,"",(VLOOKUP($C385,REV!$C:$AL,27,0)-'TRADE IN'!$F385))</f>
        <v>3799</v>
      </c>
      <c r="AC385" s="45">
        <f>IF(VLOOKUP($C385,REV!$C:$AL,28,0)-'TRADE IN'!$F385=0,"",(VLOOKUP($C385,REV!$C:$AL,28,0)-'TRADE IN'!$F385))</f>
        <v>3799</v>
      </c>
      <c r="AD385" s="45">
        <f>IF(VLOOKUP($C385,REV!$C:$AL,29,0)-'TRADE IN'!$F385=0,"",(VLOOKUP($C385,REV!$C:$AL,29,0)-'TRADE IN'!$F385))</f>
        <v>3699</v>
      </c>
      <c r="AE385" s="45">
        <f>IF(VLOOKUP($C385,REV!$C:$AL,30,0)-'TRADE IN'!$F385=0,"",(VLOOKUP($C385,REV!$C:$AL,30,0)-'TRADE IN'!$F385))</f>
        <v>3599</v>
      </c>
      <c r="AF385" s="45">
        <f>IF(VLOOKUP($C385,REV!$C:$AL,31,0)-'TRADE IN'!$F385=0,"",(VLOOKUP($C385,REV!$C:$AL,31,0)-'TRADE IN'!$F385))</f>
        <v>3599</v>
      </c>
      <c r="AG385" s="45">
        <f>IF(VLOOKUP($C385,REV!$C:$AL,31,0)-'TRADE IN'!$F385=0,"",(VLOOKUP($C385,REV!$C:$AL,31,0)-'TRADE IN'!$F385))</f>
        <v>3599</v>
      </c>
      <c r="AH385" s="45">
        <f>IF(VLOOKUP($C385,REV!$C:$AL,32,0)-'TRADE IN'!$F385=0,"",(VLOOKUP($C385,REV!$C:$AL,32,0)-'TRADE IN'!$F385))</f>
        <v>2599</v>
      </c>
      <c r="AI385" s="45">
        <f>IF(VLOOKUP($C385,REV!$C:$AL,33,0)-'TRADE IN'!$F385=0,"",(VLOOKUP($C385,REV!$C:$AL,33,0)-'TRADE IN'!$F385))</f>
        <v>2599</v>
      </c>
      <c r="AJ385" s="45">
        <f>IF(VLOOKUP($C385,REV!$C:$AL,34,0)-'TRADE IN'!$F385=0,"",(VLOOKUP($C385,REV!$C:$AL,34,0)-'TRADE IN'!$F385))</f>
        <v>2599</v>
      </c>
      <c r="AK385" s="45">
        <f>IF(VLOOKUP($C385,REV!$C:$AL,35,0)-'TRADE IN'!$F385=0,"",(VLOOKUP($C385,REV!$C:$AL,35,0)-'TRADE IN'!$F385))</f>
        <v>2599</v>
      </c>
      <c r="AL385" s="45">
        <f>IF(VLOOKUP($C385,REV!$C:$AL,36,0)-'TRADE IN'!$F385=0,"",(VLOOKUP($C385,REV!$C:$AL,36,0)-'TRADE IN'!$F385))</f>
        <v>2099</v>
      </c>
      <c r="AM385" s="45"/>
      <c r="AN385" s="45"/>
      <c r="AO385" s="45"/>
      <c r="AP385" s="45"/>
      <c r="AQ385" s="45"/>
      <c r="AR385" s="45"/>
      <c r="AS385" s="45"/>
      <c r="AT385" s="45"/>
      <c r="AU385" s="45"/>
      <c r="AV385" s="47"/>
      <c r="AW385" s="48" t="str">
        <f>REV!AW385</f>
        <v>13.08.2026</v>
      </c>
      <c r="AX385" s="149" t="s">
        <v>68</v>
      </c>
    </row>
    <row r="386" spans="1:50" ht="22.5" customHeight="1">
      <c r="A386" s="41" t="s">
        <v>63</v>
      </c>
      <c r="B386" s="42" t="s">
        <v>64</v>
      </c>
      <c r="C386" s="43">
        <v>4016886</v>
      </c>
      <c r="D386" s="57" t="s">
        <v>564</v>
      </c>
      <c r="E386" s="56" t="s">
        <v>569</v>
      </c>
      <c r="F386" s="54">
        <v>700</v>
      </c>
      <c r="G386" s="45"/>
      <c r="H386" s="45"/>
      <c r="I386" s="45"/>
      <c r="J386" s="46">
        <f>IF(VLOOKUP($C386,REV!$C:$AA,8,0)-'TRADE IN'!$F386=0,"",(VLOOKUP($C386,REV!$C:$AA,8,0)-'TRADE IN'!$F386))</f>
        <v>3799</v>
      </c>
      <c r="K386" s="46">
        <f>IF(VLOOKUP($C386,REV!$C:$AA,9,0)-'TRADE IN'!$F386=0,"",(VLOOKUP($C386,REV!$C:$AA,9,0)-'TRADE IN'!$F386))</f>
        <v>3799</v>
      </c>
      <c r="L386" s="46">
        <f>IF(VLOOKUP($C386,REV!$C:$AA,10,0)-'TRADE IN'!$F386=0,"",(VLOOKUP($C386,REV!$C:$AA,10,0)-'TRADE IN'!$F386))</f>
        <v>3799</v>
      </c>
      <c r="M386" s="46">
        <f>IF(VLOOKUP($C386,REV!$C:$AA,11,0)-'TRADE IN'!$F386=0,"",(VLOOKUP($C386,REV!$C:$AA,11,0)-'TRADE IN'!$F386))</f>
        <v>3799</v>
      </c>
      <c r="N386" s="46">
        <f>IF(VLOOKUP($C386,REV!$C:$AA,12,0)-'TRADE IN'!$F386=0,"",(VLOOKUP($C386,REV!$C:$AA,12,0)-'TRADE IN'!$F386))</f>
        <v>3799</v>
      </c>
      <c r="O386" s="46">
        <f>IF(VLOOKUP($C386,REV!$C:$AA,13,0)-'TRADE IN'!$F386=0,"",(VLOOKUP($C386,REV!$C:$AA,13,0)-'TRADE IN'!$F386))</f>
        <v>3699</v>
      </c>
      <c r="P386" s="46">
        <f>IF(VLOOKUP($C386,REV!$C:$AA,14,0)-'TRADE IN'!$F386=0,"",(VLOOKUP($C386,REV!$C:$AA,14,0)-'TRADE IN'!$F386))</f>
        <v>3599</v>
      </c>
      <c r="Q386" s="46">
        <f>IF(VLOOKUP($C386,REV!$C:$AA,15,0)-'TRADE IN'!$F386=0,"",(VLOOKUP($C386,REV!$C:$AA,15,0)-'TRADE IN'!$F386))</f>
        <v>2599</v>
      </c>
      <c r="R386" s="46">
        <f>IF(VLOOKUP($C386,REV!$C:$AA,16,0)-'TRADE IN'!$F386=0,"",(VLOOKUP($C386,REV!$C:$AA,16,0)-'TRADE IN'!$F386))</f>
        <v>3699</v>
      </c>
      <c r="S386" s="46">
        <f>IF(VLOOKUP($C386,REV!$C:$AA,17,0)-'TRADE IN'!$F386=0,"",(VLOOKUP($C386,REV!$C:$AA,17,0)-'TRADE IN'!$F386))</f>
        <v>3599</v>
      </c>
      <c r="T386" s="46">
        <f>IF(VLOOKUP($C386,REV!$C:$AA,18,0)-'TRADE IN'!$F386=0,"",(VLOOKUP($C386,REV!$C:$AA,18,0)-'TRADE IN'!$F386))</f>
        <v>2599</v>
      </c>
      <c r="U386" s="46">
        <f>IF(VLOOKUP($C386,REV!$C:$AA,19,0)-'TRADE IN'!$F386=0,"",(VLOOKUP($C386,REV!$C:$AA,19,0)-'TRADE IN'!$F386))</f>
        <v>2599</v>
      </c>
      <c r="V386" s="46">
        <f>IF(VLOOKUP($C386,REV!$C:$AA,20,0)-'TRADE IN'!$F386=0,"",(VLOOKUP($C386,REV!$C:$AA,20,0)-'TRADE IN'!$F386))</f>
        <v>2599</v>
      </c>
      <c r="W386" s="46">
        <f>IF(VLOOKUP($C386,REV!$C:$AA,21,0)-'TRADE IN'!$F386=0,"",(VLOOKUP($C386,REV!$C:$AA,21,0)-'TRADE IN'!$F386))</f>
        <v>2599</v>
      </c>
      <c r="X386" s="46">
        <f>IF(VLOOKUP($C386,REV!$C:$AA,22,0)-'TRADE IN'!$F386=0,"",(VLOOKUP($C386,REV!$C:$AA,22,0)-'TRADE IN'!$F386))</f>
        <v>2499</v>
      </c>
      <c r="Y386" s="46">
        <f>IF(VLOOKUP($C386,REV!$C:$AA,23,0)-'TRADE IN'!$F386=0,"",(VLOOKUP($C386,REV!$C:$AA,23,0)-'TRADE IN'!$F386))</f>
        <v>2099</v>
      </c>
      <c r="Z386" s="46">
        <f>IF(VLOOKUP($C386,REV!$C:$AA,24,0)-'TRADE IN'!$F386=0,"",(VLOOKUP($C386,REV!$C:$AA,24,0)-'TRADE IN'!$F386))</f>
        <v>2099</v>
      </c>
      <c r="AA386" s="46">
        <f>IF(VLOOKUP($C386,REV!$C:$AA,25,0)-'TRADE IN'!$F386=0,"",(VLOOKUP($C386,REV!$C:$AA,25,0)-'TRADE IN'!$F386))</f>
        <v>1899</v>
      </c>
      <c r="AB386" s="45">
        <f>IF(VLOOKUP($C386,REV!$C:$AL,27,0)-'TRADE IN'!$F386=0,"",(VLOOKUP($C386,REV!$C:$AL,27,0)-'TRADE IN'!$F386))</f>
        <v>3799</v>
      </c>
      <c r="AC386" s="45">
        <f>IF(VLOOKUP($C386,REV!$C:$AL,28,0)-'TRADE IN'!$F386=0,"",(VLOOKUP($C386,REV!$C:$AL,28,0)-'TRADE IN'!$F386))</f>
        <v>3799</v>
      </c>
      <c r="AD386" s="45">
        <f>IF(VLOOKUP($C386,REV!$C:$AL,29,0)-'TRADE IN'!$F386=0,"",(VLOOKUP($C386,REV!$C:$AL,29,0)-'TRADE IN'!$F386))</f>
        <v>3699</v>
      </c>
      <c r="AE386" s="45">
        <f>IF(VLOOKUP($C386,REV!$C:$AL,30,0)-'TRADE IN'!$F386=0,"",(VLOOKUP($C386,REV!$C:$AL,30,0)-'TRADE IN'!$F386))</f>
        <v>3599</v>
      </c>
      <c r="AF386" s="45">
        <f>IF(VLOOKUP($C386,REV!$C:$AL,31,0)-'TRADE IN'!$F386=0,"",(VLOOKUP($C386,REV!$C:$AL,31,0)-'TRADE IN'!$F386))</f>
        <v>3599</v>
      </c>
      <c r="AG386" s="45">
        <f>IF(VLOOKUP($C386,REV!$C:$AL,31,0)-'TRADE IN'!$F386=0,"",(VLOOKUP($C386,REV!$C:$AL,31,0)-'TRADE IN'!$F386))</f>
        <v>3599</v>
      </c>
      <c r="AH386" s="45">
        <f>IF(VLOOKUP($C386,REV!$C:$AL,32,0)-'TRADE IN'!$F386=0,"",(VLOOKUP($C386,REV!$C:$AL,32,0)-'TRADE IN'!$F386))</f>
        <v>2599</v>
      </c>
      <c r="AI386" s="45">
        <f>IF(VLOOKUP($C386,REV!$C:$AL,33,0)-'TRADE IN'!$F386=0,"",(VLOOKUP($C386,REV!$C:$AL,33,0)-'TRADE IN'!$F386))</f>
        <v>2599</v>
      </c>
      <c r="AJ386" s="45">
        <f>IF(VLOOKUP($C386,REV!$C:$AL,34,0)-'TRADE IN'!$F386=0,"",(VLOOKUP($C386,REV!$C:$AL,34,0)-'TRADE IN'!$F386))</f>
        <v>2599</v>
      </c>
      <c r="AK386" s="45">
        <f>IF(VLOOKUP($C386,REV!$C:$AL,35,0)-'TRADE IN'!$F386=0,"",(VLOOKUP($C386,REV!$C:$AL,35,0)-'TRADE IN'!$F386))</f>
        <v>2599</v>
      </c>
      <c r="AL386" s="45">
        <f>IF(VLOOKUP($C386,REV!$C:$AL,36,0)-'TRADE IN'!$F386=0,"",(VLOOKUP($C386,REV!$C:$AL,36,0)-'TRADE IN'!$F386))</f>
        <v>2099</v>
      </c>
      <c r="AM386" s="45"/>
      <c r="AN386" s="45"/>
      <c r="AO386" s="45"/>
      <c r="AP386" s="45"/>
      <c r="AQ386" s="45"/>
      <c r="AR386" s="45"/>
      <c r="AS386" s="45"/>
      <c r="AT386" s="45"/>
      <c r="AU386" s="45"/>
      <c r="AV386" s="47"/>
      <c r="AW386" s="48" t="str">
        <f>REV!AW386</f>
        <v>13.08.2026</v>
      </c>
      <c r="AX386" s="149" t="s">
        <v>68</v>
      </c>
    </row>
    <row r="387" spans="1:50" ht="22.5" customHeight="1">
      <c r="A387" s="41" t="s">
        <v>63</v>
      </c>
      <c r="B387" s="42" t="s">
        <v>64</v>
      </c>
      <c r="C387" s="43">
        <v>4016901</v>
      </c>
      <c r="D387" s="57" t="s">
        <v>564</v>
      </c>
      <c r="E387" s="56" t="s">
        <v>570</v>
      </c>
      <c r="F387" s="54">
        <v>700</v>
      </c>
      <c r="G387" s="45"/>
      <c r="H387" s="45"/>
      <c r="I387" s="45"/>
      <c r="J387" s="46">
        <f>IF(VLOOKUP($C387,REV!$C:$AA,8,0)-'TRADE IN'!$F387=0,"",(VLOOKUP($C387,REV!$C:$AA,8,0)-'TRADE IN'!$F387))</f>
        <v>3799</v>
      </c>
      <c r="K387" s="46">
        <f>IF(VLOOKUP($C387,REV!$C:$AA,9,0)-'TRADE IN'!$F387=0,"",(VLOOKUP($C387,REV!$C:$AA,9,0)-'TRADE IN'!$F387))</f>
        <v>3799</v>
      </c>
      <c r="L387" s="46">
        <f>IF(VLOOKUP($C387,REV!$C:$AA,10,0)-'TRADE IN'!$F387=0,"",(VLOOKUP($C387,REV!$C:$AA,10,0)-'TRADE IN'!$F387))</f>
        <v>3799</v>
      </c>
      <c r="M387" s="46">
        <f>IF(VLOOKUP($C387,REV!$C:$AA,11,0)-'TRADE IN'!$F387=0,"",(VLOOKUP($C387,REV!$C:$AA,11,0)-'TRADE IN'!$F387))</f>
        <v>3799</v>
      </c>
      <c r="N387" s="46">
        <f>IF(VLOOKUP($C387,REV!$C:$AA,12,0)-'TRADE IN'!$F387=0,"",(VLOOKUP($C387,REV!$C:$AA,12,0)-'TRADE IN'!$F387))</f>
        <v>3799</v>
      </c>
      <c r="O387" s="46">
        <f>IF(VLOOKUP($C387,REV!$C:$AA,13,0)-'TRADE IN'!$F387=0,"",(VLOOKUP($C387,REV!$C:$AA,13,0)-'TRADE IN'!$F387))</f>
        <v>3699</v>
      </c>
      <c r="P387" s="46">
        <f>IF(VLOOKUP($C387,REV!$C:$AA,14,0)-'TRADE IN'!$F387=0,"",(VLOOKUP($C387,REV!$C:$AA,14,0)-'TRADE IN'!$F387))</f>
        <v>3599</v>
      </c>
      <c r="Q387" s="46">
        <f>IF(VLOOKUP($C387,REV!$C:$AA,15,0)-'TRADE IN'!$F387=0,"",(VLOOKUP($C387,REV!$C:$AA,15,0)-'TRADE IN'!$F387))</f>
        <v>2599</v>
      </c>
      <c r="R387" s="46">
        <f>IF(VLOOKUP($C387,REV!$C:$AA,16,0)-'TRADE IN'!$F387=0,"",(VLOOKUP($C387,REV!$C:$AA,16,0)-'TRADE IN'!$F387))</f>
        <v>3699</v>
      </c>
      <c r="S387" s="46">
        <f>IF(VLOOKUP($C387,REV!$C:$AA,17,0)-'TRADE IN'!$F387=0,"",(VLOOKUP($C387,REV!$C:$AA,17,0)-'TRADE IN'!$F387))</f>
        <v>3599</v>
      </c>
      <c r="T387" s="46">
        <f>IF(VLOOKUP($C387,REV!$C:$AA,18,0)-'TRADE IN'!$F387=0,"",(VLOOKUP($C387,REV!$C:$AA,18,0)-'TRADE IN'!$F387))</f>
        <v>2599</v>
      </c>
      <c r="U387" s="46">
        <f>IF(VLOOKUP($C387,REV!$C:$AA,19,0)-'TRADE IN'!$F387=0,"",(VLOOKUP($C387,REV!$C:$AA,19,0)-'TRADE IN'!$F387))</f>
        <v>2599</v>
      </c>
      <c r="V387" s="46">
        <f>IF(VLOOKUP($C387,REV!$C:$AA,20,0)-'TRADE IN'!$F387=0,"",(VLOOKUP($C387,REV!$C:$AA,20,0)-'TRADE IN'!$F387))</f>
        <v>2599</v>
      </c>
      <c r="W387" s="46">
        <f>IF(VLOOKUP($C387,REV!$C:$AA,21,0)-'TRADE IN'!$F387=0,"",(VLOOKUP($C387,REV!$C:$AA,21,0)-'TRADE IN'!$F387))</f>
        <v>2599</v>
      </c>
      <c r="X387" s="46">
        <f>IF(VLOOKUP($C387,REV!$C:$AA,22,0)-'TRADE IN'!$F387=0,"",(VLOOKUP($C387,REV!$C:$AA,22,0)-'TRADE IN'!$F387))</f>
        <v>2499</v>
      </c>
      <c r="Y387" s="46">
        <f>IF(VLOOKUP($C387,REV!$C:$AA,23,0)-'TRADE IN'!$F387=0,"",(VLOOKUP($C387,REV!$C:$AA,23,0)-'TRADE IN'!$F387))</f>
        <v>2099</v>
      </c>
      <c r="Z387" s="46">
        <f>IF(VLOOKUP($C387,REV!$C:$AA,24,0)-'TRADE IN'!$F387=0,"",(VLOOKUP($C387,REV!$C:$AA,24,0)-'TRADE IN'!$F387))</f>
        <v>2099</v>
      </c>
      <c r="AA387" s="46">
        <f>IF(VLOOKUP($C387,REV!$C:$AA,25,0)-'TRADE IN'!$F387=0,"",(VLOOKUP($C387,REV!$C:$AA,25,0)-'TRADE IN'!$F387))</f>
        <v>1899</v>
      </c>
      <c r="AB387" s="45">
        <f>IF(VLOOKUP($C387,REV!$C:$AL,27,0)-'TRADE IN'!$F387=0,"",(VLOOKUP($C387,REV!$C:$AL,27,0)-'TRADE IN'!$F387))</f>
        <v>3799</v>
      </c>
      <c r="AC387" s="45">
        <f>IF(VLOOKUP($C387,REV!$C:$AL,28,0)-'TRADE IN'!$F387=0,"",(VLOOKUP($C387,REV!$C:$AL,28,0)-'TRADE IN'!$F387))</f>
        <v>3799</v>
      </c>
      <c r="AD387" s="45">
        <f>IF(VLOOKUP($C387,REV!$C:$AL,29,0)-'TRADE IN'!$F387=0,"",(VLOOKUP($C387,REV!$C:$AL,29,0)-'TRADE IN'!$F387))</f>
        <v>3699</v>
      </c>
      <c r="AE387" s="45">
        <f>IF(VLOOKUP($C387,REV!$C:$AL,30,0)-'TRADE IN'!$F387=0,"",(VLOOKUP($C387,REV!$C:$AL,30,0)-'TRADE IN'!$F387))</f>
        <v>3599</v>
      </c>
      <c r="AF387" s="45">
        <f>IF(VLOOKUP($C387,REV!$C:$AL,31,0)-'TRADE IN'!$F387=0,"",(VLOOKUP($C387,REV!$C:$AL,31,0)-'TRADE IN'!$F387))</f>
        <v>3599</v>
      </c>
      <c r="AG387" s="45">
        <f>IF(VLOOKUP($C387,REV!$C:$AL,31,0)-'TRADE IN'!$F387=0,"",(VLOOKUP($C387,REV!$C:$AL,31,0)-'TRADE IN'!$F387))</f>
        <v>3599</v>
      </c>
      <c r="AH387" s="45">
        <f>IF(VLOOKUP($C387,REV!$C:$AL,32,0)-'TRADE IN'!$F387=0,"",(VLOOKUP($C387,REV!$C:$AL,32,0)-'TRADE IN'!$F387))</f>
        <v>2599</v>
      </c>
      <c r="AI387" s="45">
        <f>IF(VLOOKUP($C387,REV!$C:$AL,33,0)-'TRADE IN'!$F387=0,"",(VLOOKUP($C387,REV!$C:$AL,33,0)-'TRADE IN'!$F387))</f>
        <v>2599</v>
      </c>
      <c r="AJ387" s="45">
        <f>IF(VLOOKUP($C387,REV!$C:$AL,34,0)-'TRADE IN'!$F387=0,"",(VLOOKUP($C387,REV!$C:$AL,34,0)-'TRADE IN'!$F387))</f>
        <v>2599</v>
      </c>
      <c r="AK387" s="45">
        <f>IF(VLOOKUP($C387,REV!$C:$AL,35,0)-'TRADE IN'!$F387=0,"",(VLOOKUP($C387,REV!$C:$AL,35,0)-'TRADE IN'!$F387))</f>
        <v>2599</v>
      </c>
      <c r="AL387" s="45">
        <f>IF(VLOOKUP($C387,REV!$C:$AL,36,0)-'TRADE IN'!$F387=0,"",(VLOOKUP($C387,REV!$C:$AL,36,0)-'TRADE IN'!$F387))</f>
        <v>2099</v>
      </c>
      <c r="AM387" s="45"/>
      <c r="AN387" s="45"/>
      <c r="AO387" s="45"/>
      <c r="AP387" s="45"/>
      <c r="AQ387" s="45"/>
      <c r="AR387" s="45"/>
      <c r="AS387" s="45"/>
      <c r="AT387" s="45"/>
      <c r="AU387" s="45"/>
      <c r="AV387" s="47"/>
      <c r="AW387" s="48" t="str">
        <f>REV!AW387</f>
        <v>13.08.2026</v>
      </c>
      <c r="AX387" s="149" t="s">
        <v>68</v>
      </c>
    </row>
    <row r="388" spans="1:50" ht="22.5" customHeight="1">
      <c r="A388" s="41" t="s">
        <v>63</v>
      </c>
      <c r="B388" s="42" t="s">
        <v>64</v>
      </c>
      <c r="C388" s="43">
        <v>4016895</v>
      </c>
      <c r="D388" s="57" t="s">
        <v>564</v>
      </c>
      <c r="E388" s="56" t="s">
        <v>571</v>
      </c>
      <c r="F388" s="54">
        <v>700</v>
      </c>
      <c r="G388" s="45"/>
      <c r="H388" s="45"/>
      <c r="I388" s="45"/>
      <c r="J388" s="46">
        <f>IF(VLOOKUP($C388,REV!$C:$AA,8,0)-'TRADE IN'!$F388=0,"",(VLOOKUP($C388,REV!$C:$AA,8,0)-'TRADE IN'!$F388))</f>
        <v>3799</v>
      </c>
      <c r="K388" s="46">
        <f>IF(VLOOKUP($C388,REV!$C:$AA,9,0)-'TRADE IN'!$F388=0,"",(VLOOKUP($C388,REV!$C:$AA,9,0)-'TRADE IN'!$F388))</f>
        <v>3799</v>
      </c>
      <c r="L388" s="46">
        <f>IF(VLOOKUP($C388,REV!$C:$AA,10,0)-'TRADE IN'!$F388=0,"",(VLOOKUP($C388,REV!$C:$AA,10,0)-'TRADE IN'!$F388))</f>
        <v>3799</v>
      </c>
      <c r="M388" s="46">
        <f>IF(VLOOKUP($C388,REV!$C:$AA,11,0)-'TRADE IN'!$F388=0,"",(VLOOKUP($C388,REV!$C:$AA,11,0)-'TRADE IN'!$F388))</f>
        <v>3799</v>
      </c>
      <c r="N388" s="46">
        <f>IF(VLOOKUP($C388,REV!$C:$AA,12,0)-'TRADE IN'!$F388=0,"",(VLOOKUP($C388,REV!$C:$AA,12,0)-'TRADE IN'!$F388))</f>
        <v>3799</v>
      </c>
      <c r="O388" s="46">
        <f>IF(VLOOKUP($C388,REV!$C:$AA,13,0)-'TRADE IN'!$F388=0,"",(VLOOKUP($C388,REV!$C:$AA,13,0)-'TRADE IN'!$F388))</f>
        <v>3699</v>
      </c>
      <c r="P388" s="46">
        <f>IF(VLOOKUP($C388,REV!$C:$AA,14,0)-'TRADE IN'!$F388=0,"",(VLOOKUP($C388,REV!$C:$AA,14,0)-'TRADE IN'!$F388))</f>
        <v>3599</v>
      </c>
      <c r="Q388" s="46">
        <f>IF(VLOOKUP($C388,REV!$C:$AA,15,0)-'TRADE IN'!$F388=0,"",(VLOOKUP($C388,REV!$C:$AA,15,0)-'TRADE IN'!$F388))</f>
        <v>2599</v>
      </c>
      <c r="R388" s="46">
        <f>IF(VLOOKUP($C388,REV!$C:$AA,16,0)-'TRADE IN'!$F388=0,"",(VLOOKUP($C388,REV!$C:$AA,16,0)-'TRADE IN'!$F388))</f>
        <v>3699</v>
      </c>
      <c r="S388" s="46">
        <f>IF(VLOOKUP($C388,REV!$C:$AA,17,0)-'TRADE IN'!$F388=0,"",(VLOOKUP($C388,REV!$C:$AA,17,0)-'TRADE IN'!$F388))</f>
        <v>3599</v>
      </c>
      <c r="T388" s="46">
        <f>IF(VLOOKUP($C388,REV!$C:$AA,18,0)-'TRADE IN'!$F388=0,"",(VLOOKUP($C388,REV!$C:$AA,18,0)-'TRADE IN'!$F388))</f>
        <v>2599</v>
      </c>
      <c r="U388" s="46">
        <f>IF(VLOOKUP($C388,REV!$C:$AA,19,0)-'TRADE IN'!$F388=0,"",(VLOOKUP($C388,REV!$C:$AA,19,0)-'TRADE IN'!$F388))</f>
        <v>2599</v>
      </c>
      <c r="V388" s="46">
        <f>IF(VLOOKUP($C388,REV!$C:$AA,20,0)-'TRADE IN'!$F388=0,"",(VLOOKUP($C388,REV!$C:$AA,20,0)-'TRADE IN'!$F388))</f>
        <v>2599</v>
      </c>
      <c r="W388" s="46">
        <f>IF(VLOOKUP($C388,REV!$C:$AA,21,0)-'TRADE IN'!$F388=0,"",(VLOOKUP($C388,REV!$C:$AA,21,0)-'TRADE IN'!$F388))</f>
        <v>2599</v>
      </c>
      <c r="X388" s="46">
        <f>IF(VLOOKUP($C388,REV!$C:$AA,22,0)-'TRADE IN'!$F388=0,"",(VLOOKUP($C388,REV!$C:$AA,22,0)-'TRADE IN'!$F388))</f>
        <v>2499</v>
      </c>
      <c r="Y388" s="46">
        <f>IF(VLOOKUP($C388,REV!$C:$AA,23,0)-'TRADE IN'!$F388=0,"",(VLOOKUP($C388,REV!$C:$AA,23,0)-'TRADE IN'!$F388))</f>
        <v>2099</v>
      </c>
      <c r="Z388" s="46">
        <f>IF(VLOOKUP($C388,REV!$C:$AA,24,0)-'TRADE IN'!$F388=0,"",(VLOOKUP($C388,REV!$C:$AA,24,0)-'TRADE IN'!$F388))</f>
        <v>2099</v>
      </c>
      <c r="AA388" s="46">
        <f>IF(VLOOKUP($C388,REV!$C:$AA,25,0)-'TRADE IN'!$F388=0,"",(VLOOKUP($C388,REV!$C:$AA,25,0)-'TRADE IN'!$F388))</f>
        <v>1899</v>
      </c>
      <c r="AB388" s="45">
        <f>IF(VLOOKUP($C388,REV!$C:$AL,27,0)-'TRADE IN'!$F388=0,"",(VLOOKUP($C388,REV!$C:$AL,27,0)-'TRADE IN'!$F388))</f>
        <v>3799</v>
      </c>
      <c r="AC388" s="45">
        <f>IF(VLOOKUP($C388,REV!$C:$AL,28,0)-'TRADE IN'!$F388=0,"",(VLOOKUP($C388,REV!$C:$AL,28,0)-'TRADE IN'!$F388))</f>
        <v>3799</v>
      </c>
      <c r="AD388" s="45">
        <f>IF(VLOOKUP($C388,REV!$C:$AL,29,0)-'TRADE IN'!$F388=0,"",(VLOOKUP($C388,REV!$C:$AL,29,0)-'TRADE IN'!$F388))</f>
        <v>3699</v>
      </c>
      <c r="AE388" s="45">
        <f>IF(VLOOKUP($C388,REV!$C:$AL,30,0)-'TRADE IN'!$F388=0,"",(VLOOKUP($C388,REV!$C:$AL,30,0)-'TRADE IN'!$F388))</f>
        <v>3599</v>
      </c>
      <c r="AF388" s="45">
        <f>IF(VLOOKUP($C388,REV!$C:$AL,31,0)-'TRADE IN'!$F388=0,"",(VLOOKUP($C388,REV!$C:$AL,31,0)-'TRADE IN'!$F388))</f>
        <v>3599</v>
      </c>
      <c r="AG388" s="45">
        <f>IF(VLOOKUP($C388,REV!$C:$AL,31,0)-'TRADE IN'!$F388=0,"",(VLOOKUP($C388,REV!$C:$AL,31,0)-'TRADE IN'!$F388))</f>
        <v>3599</v>
      </c>
      <c r="AH388" s="45">
        <f>IF(VLOOKUP($C388,REV!$C:$AL,32,0)-'TRADE IN'!$F388=0,"",(VLOOKUP($C388,REV!$C:$AL,32,0)-'TRADE IN'!$F388))</f>
        <v>2599</v>
      </c>
      <c r="AI388" s="45">
        <f>IF(VLOOKUP($C388,REV!$C:$AL,33,0)-'TRADE IN'!$F388=0,"",(VLOOKUP($C388,REV!$C:$AL,33,0)-'TRADE IN'!$F388))</f>
        <v>2599</v>
      </c>
      <c r="AJ388" s="45">
        <f>IF(VLOOKUP($C388,REV!$C:$AL,34,0)-'TRADE IN'!$F388=0,"",(VLOOKUP($C388,REV!$C:$AL,34,0)-'TRADE IN'!$F388))</f>
        <v>2599</v>
      </c>
      <c r="AK388" s="45">
        <f>IF(VLOOKUP($C388,REV!$C:$AL,35,0)-'TRADE IN'!$F388=0,"",(VLOOKUP($C388,REV!$C:$AL,35,0)-'TRADE IN'!$F388))</f>
        <v>2599</v>
      </c>
      <c r="AL388" s="45">
        <f>IF(VLOOKUP($C388,REV!$C:$AL,36,0)-'TRADE IN'!$F388=0,"",(VLOOKUP($C388,REV!$C:$AL,36,0)-'TRADE IN'!$F388))</f>
        <v>2099</v>
      </c>
      <c r="AM388" s="45"/>
      <c r="AN388" s="45"/>
      <c r="AO388" s="45"/>
      <c r="AP388" s="45"/>
      <c r="AQ388" s="45"/>
      <c r="AR388" s="45"/>
      <c r="AS388" s="45"/>
      <c r="AT388" s="45"/>
      <c r="AU388" s="45"/>
      <c r="AV388" s="47"/>
      <c r="AW388" s="48" t="str">
        <f>REV!AW388</f>
        <v>13.08.2026</v>
      </c>
      <c r="AX388" s="149" t="s">
        <v>68</v>
      </c>
    </row>
    <row r="389" spans="1:50" ht="22.5" customHeight="1">
      <c r="A389" s="41" t="s">
        <v>63</v>
      </c>
      <c r="B389" s="42" t="s">
        <v>64</v>
      </c>
      <c r="C389" s="43">
        <v>4016880</v>
      </c>
      <c r="D389" s="57" t="s">
        <v>564</v>
      </c>
      <c r="E389" s="56" t="s">
        <v>572</v>
      </c>
      <c r="F389" s="54">
        <v>700</v>
      </c>
      <c r="G389" s="45"/>
      <c r="H389" s="45"/>
      <c r="I389" s="45"/>
      <c r="J389" s="46">
        <f>IF(VLOOKUP($C389,REV!$C:$AA,8,0)-'TRADE IN'!$F389=0,"",(VLOOKUP($C389,REV!$C:$AA,8,0)-'TRADE IN'!$F389))</f>
        <v>3799</v>
      </c>
      <c r="K389" s="46">
        <f>IF(VLOOKUP($C389,REV!$C:$AA,9,0)-'TRADE IN'!$F389=0,"",(VLOOKUP($C389,REV!$C:$AA,9,0)-'TRADE IN'!$F389))</f>
        <v>3799</v>
      </c>
      <c r="L389" s="46">
        <f>IF(VLOOKUP($C389,REV!$C:$AA,10,0)-'TRADE IN'!$F389=0,"",(VLOOKUP($C389,REV!$C:$AA,10,0)-'TRADE IN'!$F389))</f>
        <v>3799</v>
      </c>
      <c r="M389" s="46">
        <f>IF(VLOOKUP($C389,REV!$C:$AA,11,0)-'TRADE IN'!$F389=0,"",(VLOOKUP($C389,REV!$C:$AA,11,0)-'TRADE IN'!$F389))</f>
        <v>3799</v>
      </c>
      <c r="N389" s="46">
        <f>IF(VLOOKUP($C389,REV!$C:$AA,12,0)-'TRADE IN'!$F389=0,"",(VLOOKUP($C389,REV!$C:$AA,12,0)-'TRADE IN'!$F389))</f>
        <v>3799</v>
      </c>
      <c r="O389" s="46">
        <f>IF(VLOOKUP($C389,REV!$C:$AA,13,0)-'TRADE IN'!$F389=0,"",(VLOOKUP($C389,REV!$C:$AA,13,0)-'TRADE IN'!$F389))</f>
        <v>3699</v>
      </c>
      <c r="P389" s="46">
        <f>IF(VLOOKUP($C389,REV!$C:$AA,14,0)-'TRADE IN'!$F389=0,"",(VLOOKUP($C389,REV!$C:$AA,14,0)-'TRADE IN'!$F389))</f>
        <v>3599</v>
      </c>
      <c r="Q389" s="46">
        <f>IF(VLOOKUP($C389,REV!$C:$AA,15,0)-'TRADE IN'!$F389=0,"",(VLOOKUP($C389,REV!$C:$AA,15,0)-'TRADE IN'!$F389))</f>
        <v>2599</v>
      </c>
      <c r="R389" s="46">
        <f>IF(VLOOKUP($C389,REV!$C:$AA,16,0)-'TRADE IN'!$F389=0,"",(VLOOKUP($C389,REV!$C:$AA,16,0)-'TRADE IN'!$F389))</f>
        <v>3699</v>
      </c>
      <c r="S389" s="46">
        <f>IF(VLOOKUP($C389,REV!$C:$AA,17,0)-'TRADE IN'!$F389=0,"",(VLOOKUP($C389,REV!$C:$AA,17,0)-'TRADE IN'!$F389))</f>
        <v>3599</v>
      </c>
      <c r="T389" s="46">
        <f>IF(VLOOKUP($C389,REV!$C:$AA,18,0)-'TRADE IN'!$F389=0,"",(VLOOKUP($C389,REV!$C:$AA,18,0)-'TRADE IN'!$F389))</f>
        <v>2599</v>
      </c>
      <c r="U389" s="46">
        <f>IF(VLOOKUP($C389,REV!$C:$AA,19,0)-'TRADE IN'!$F389=0,"",(VLOOKUP($C389,REV!$C:$AA,19,0)-'TRADE IN'!$F389))</f>
        <v>2599</v>
      </c>
      <c r="V389" s="46">
        <f>IF(VLOOKUP($C389,REV!$C:$AA,20,0)-'TRADE IN'!$F389=0,"",(VLOOKUP($C389,REV!$C:$AA,20,0)-'TRADE IN'!$F389))</f>
        <v>2599</v>
      </c>
      <c r="W389" s="46">
        <f>IF(VLOOKUP($C389,REV!$C:$AA,21,0)-'TRADE IN'!$F389=0,"",(VLOOKUP($C389,REV!$C:$AA,21,0)-'TRADE IN'!$F389))</f>
        <v>2599</v>
      </c>
      <c r="X389" s="46">
        <f>IF(VLOOKUP($C389,REV!$C:$AA,22,0)-'TRADE IN'!$F389=0,"",(VLOOKUP($C389,REV!$C:$AA,22,0)-'TRADE IN'!$F389))</f>
        <v>2499</v>
      </c>
      <c r="Y389" s="46">
        <f>IF(VLOOKUP($C389,REV!$C:$AA,23,0)-'TRADE IN'!$F389=0,"",(VLOOKUP($C389,REV!$C:$AA,23,0)-'TRADE IN'!$F389))</f>
        <v>2099</v>
      </c>
      <c r="Z389" s="46">
        <f>IF(VLOOKUP($C389,REV!$C:$AA,24,0)-'TRADE IN'!$F389=0,"",(VLOOKUP($C389,REV!$C:$AA,24,0)-'TRADE IN'!$F389))</f>
        <v>2099</v>
      </c>
      <c r="AA389" s="46">
        <f>IF(VLOOKUP($C389,REV!$C:$AA,25,0)-'TRADE IN'!$F389=0,"",(VLOOKUP($C389,REV!$C:$AA,25,0)-'TRADE IN'!$F389))</f>
        <v>1899</v>
      </c>
      <c r="AB389" s="45">
        <f>IF(VLOOKUP($C389,REV!$C:$AL,27,0)-'TRADE IN'!$F389=0,"",(VLOOKUP($C389,REV!$C:$AL,27,0)-'TRADE IN'!$F389))</f>
        <v>3799</v>
      </c>
      <c r="AC389" s="45">
        <f>IF(VLOOKUP($C389,REV!$C:$AL,28,0)-'TRADE IN'!$F389=0,"",(VLOOKUP($C389,REV!$C:$AL,28,0)-'TRADE IN'!$F389))</f>
        <v>3799</v>
      </c>
      <c r="AD389" s="45">
        <f>IF(VLOOKUP($C389,REV!$C:$AL,29,0)-'TRADE IN'!$F389=0,"",(VLOOKUP($C389,REV!$C:$AL,29,0)-'TRADE IN'!$F389))</f>
        <v>3699</v>
      </c>
      <c r="AE389" s="45">
        <f>IF(VLOOKUP($C389,REV!$C:$AL,30,0)-'TRADE IN'!$F389=0,"",(VLOOKUP($C389,REV!$C:$AL,30,0)-'TRADE IN'!$F389))</f>
        <v>3599</v>
      </c>
      <c r="AF389" s="45">
        <f>IF(VLOOKUP($C389,REV!$C:$AL,31,0)-'TRADE IN'!$F389=0,"",(VLOOKUP($C389,REV!$C:$AL,31,0)-'TRADE IN'!$F389))</f>
        <v>3599</v>
      </c>
      <c r="AG389" s="45">
        <f>IF(VLOOKUP($C389,REV!$C:$AL,31,0)-'TRADE IN'!$F389=0,"",(VLOOKUP($C389,REV!$C:$AL,31,0)-'TRADE IN'!$F389))</f>
        <v>3599</v>
      </c>
      <c r="AH389" s="45">
        <f>IF(VLOOKUP($C389,REV!$C:$AL,32,0)-'TRADE IN'!$F389=0,"",(VLOOKUP($C389,REV!$C:$AL,32,0)-'TRADE IN'!$F389))</f>
        <v>2599</v>
      </c>
      <c r="AI389" s="45">
        <f>IF(VLOOKUP($C389,REV!$C:$AL,33,0)-'TRADE IN'!$F389=0,"",(VLOOKUP($C389,REV!$C:$AL,33,0)-'TRADE IN'!$F389))</f>
        <v>2599</v>
      </c>
      <c r="AJ389" s="45">
        <f>IF(VLOOKUP($C389,REV!$C:$AL,34,0)-'TRADE IN'!$F389=0,"",(VLOOKUP($C389,REV!$C:$AL,34,0)-'TRADE IN'!$F389))</f>
        <v>2599</v>
      </c>
      <c r="AK389" s="45">
        <f>IF(VLOOKUP($C389,REV!$C:$AL,35,0)-'TRADE IN'!$F389=0,"",(VLOOKUP($C389,REV!$C:$AL,35,0)-'TRADE IN'!$F389))</f>
        <v>2599</v>
      </c>
      <c r="AL389" s="45">
        <f>IF(VLOOKUP($C389,REV!$C:$AL,36,0)-'TRADE IN'!$F389=0,"",(VLOOKUP($C389,REV!$C:$AL,36,0)-'TRADE IN'!$F389))</f>
        <v>2099</v>
      </c>
      <c r="AM389" s="45"/>
      <c r="AN389" s="45"/>
      <c r="AO389" s="45"/>
      <c r="AP389" s="45"/>
      <c r="AQ389" s="45"/>
      <c r="AR389" s="45"/>
      <c r="AS389" s="45"/>
      <c r="AT389" s="45"/>
      <c r="AU389" s="45"/>
      <c r="AV389" s="47"/>
      <c r="AW389" s="48" t="str">
        <f>REV!AW389</f>
        <v>13.08.2026</v>
      </c>
      <c r="AX389" s="149" t="s">
        <v>68</v>
      </c>
    </row>
    <row r="390" spans="1:50" ht="22.5" customHeight="1">
      <c r="A390" s="41" t="s">
        <v>63</v>
      </c>
      <c r="B390" s="42" t="s">
        <v>64</v>
      </c>
      <c r="C390" s="43">
        <v>4016871</v>
      </c>
      <c r="D390" s="56" t="s">
        <v>573</v>
      </c>
      <c r="E390" s="56" t="s">
        <v>574</v>
      </c>
      <c r="F390" s="45">
        <v>500</v>
      </c>
      <c r="G390" s="45"/>
      <c r="H390" s="45"/>
      <c r="I390" s="45"/>
      <c r="J390" s="46">
        <f>IF(VLOOKUP($C390,REV!$C:$AA,8,0)-'TRADE IN'!$F390=0,"",(VLOOKUP($C390,REV!$C:$AA,8,0)-'TRADE IN'!$F390))</f>
        <v>5099</v>
      </c>
      <c r="K390" s="46">
        <f>IF(VLOOKUP($C390,REV!$C:$AA,9,0)-'TRADE IN'!$F390=0,"",(VLOOKUP($C390,REV!$C:$AA,9,0)-'TRADE IN'!$F390))</f>
        <v>5099</v>
      </c>
      <c r="L390" s="46">
        <f>IF(VLOOKUP($C390,REV!$C:$AA,10,0)-'TRADE IN'!$F390=0,"",(VLOOKUP($C390,REV!$C:$AA,10,0)-'TRADE IN'!$F390))</f>
        <v>5099</v>
      </c>
      <c r="M390" s="46">
        <f>IF(VLOOKUP($C390,REV!$C:$AA,11,0)-'TRADE IN'!$F390=0,"",(VLOOKUP($C390,REV!$C:$AA,11,0)-'TRADE IN'!$F390))</f>
        <v>5099</v>
      </c>
      <c r="N390" s="46">
        <f>IF(VLOOKUP($C390,REV!$C:$AA,12,0)-'TRADE IN'!$F390=0,"",(VLOOKUP($C390,REV!$C:$AA,12,0)-'TRADE IN'!$F390))</f>
        <v>5099</v>
      </c>
      <c r="O390" s="46">
        <f>IF(VLOOKUP($C390,REV!$C:$AA,13,0)-'TRADE IN'!$F390=0,"",(VLOOKUP($C390,REV!$C:$AA,13,0)-'TRADE IN'!$F390))</f>
        <v>4999</v>
      </c>
      <c r="P390" s="46">
        <f>IF(VLOOKUP($C390,REV!$C:$AA,14,0)-'TRADE IN'!$F390=0,"",(VLOOKUP($C390,REV!$C:$AA,14,0)-'TRADE IN'!$F390))</f>
        <v>4899</v>
      </c>
      <c r="Q390" s="46">
        <f>IF(VLOOKUP($C390,REV!$C:$AA,15,0)-'TRADE IN'!$F390=0,"",(VLOOKUP($C390,REV!$C:$AA,15,0)-'TRADE IN'!$F390))</f>
        <v>4299</v>
      </c>
      <c r="R390" s="46">
        <f>IF(VLOOKUP($C390,REV!$C:$AA,16,0)-'TRADE IN'!$F390=0,"",(VLOOKUP($C390,REV!$C:$AA,16,0)-'TRADE IN'!$F390))</f>
        <v>4999</v>
      </c>
      <c r="S390" s="46">
        <f>IF(VLOOKUP($C390,REV!$C:$AA,17,0)-'TRADE IN'!$F390=0,"",(VLOOKUP($C390,REV!$C:$AA,17,0)-'TRADE IN'!$F390))</f>
        <v>4899</v>
      </c>
      <c r="T390" s="46">
        <f>IF(VLOOKUP($C390,REV!$C:$AA,18,0)-'TRADE IN'!$F390=0,"",(VLOOKUP($C390,REV!$C:$AA,18,0)-'TRADE IN'!$F390))</f>
        <v>4299</v>
      </c>
      <c r="U390" s="46">
        <f>IF(VLOOKUP($C390,REV!$C:$AA,19,0)-'TRADE IN'!$F390=0,"",(VLOOKUP($C390,REV!$C:$AA,19,0)-'TRADE IN'!$F390))</f>
        <v>4299</v>
      </c>
      <c r="V390" s="46">
        <f>IF(VLOOKUP($C390,REV!$C:$AA,20,0)-'TRADE IN'!$F390=0,"",(VLOOKUP($C390,REV!$C:$AA,20,0)-'TRADE IN'!$F390))</f>
        <v>4299</v>
      </c>
      <c r="W390" s="46">
        <f>IF(VLOOKUP($C390,REV!$C:$AA,21,0)-'TRADE IN'!$F390=0,"",(VLOOKUP($C390,REV!$C:$AA,21,0)-'TRADE IN'!$F390))</f>
        <v>4299</v>
      </c>
      <c r="X390" s="46">
        <f>IF(VLOOKUP($C390,REV!$C:$AA,22,0)-'TRADE IN'!$F390=0,"",(VLOOKUP($C390,REV!$C:$AA,22,0)-'TRADE IN'!$F390))</f>
        <v>4199</v>
      </c>
      <c r="Y390" s="46">
        <f>IF(VLOOKUP($C390,REV!$C:$AA,23,0)-'TRADE IN'!$F390=0,"",(VLOOKUP($C390,REV!$C:$AA,23,0)-'TRADE IN'!$F390))</f>
        <v>3499</v>
      </c>
      <c r="Z390" s="46">
        <f>IF(VLOOKUP($C390,REV!$C:$AA,24,0)-'TRADE IN'!$F390=0,"",(VLOOKUP($C390,REV!$C:$AA,24,0)-'TRADE IN'!$F390))</f>
        <v>3499</v>
      </c>
      <c r="AA390" s="46">
        <f>IF(VLOOKUP($C390,REV!$C:$AA,25,0)-'TRADE IN'!$F390=0,"",(VLOOKUP($C390,REV!$C:$AA,25,0)-'TRADE IN'!$F390))</f>
        <v>3299</v>
      </c>
      <c r="AB390" s="45"/>
      <c r="AC390" s="45"/>
      <c r="AD390" s="45"/>
      <c r="AE390" s="45"/>
      <c r="AF390" s="45"/>
      <c r="AG390" s="45"/>
      <c r="AH390" s="45"/>
      <c r="AI390" s="45"/>
      <c r="AJ390" s="45"/>
      <c r="AK390" s="45"/>
      <c r="AL390" s="45"/>
      <c r="AM390" s="45"/>
      <c r="AN390" s="45"/>
      <c r="AO390" s="45"/>
      <c r="AP390" s="45"/>
      <c r="AQ390" s="45"/>
      <c r="AR390" s="45"/>
      <c r="AS390" s="45"/>
      <c r="AT390" s="45"/>
      <c r="AU390" s="45"/>
      <c r="AV390" s="47"/>
      <c r="AW390" s="48" t="str">
        <f>REV!AW390</f>
        <v>13.08.2026</v>
      </c>
      <c r="AX390" s="149" t="s">
        <v>68</v>
      </c>
    </row>
    <row r="391" spans="1:50" ht="22.5" customHeight="1">
      <c r="A391" s="41" t="s">
        <v>63</v>
      </c>
      <c r="B391" s="42" t="s">
        <v>64</v>
      </c>
      <c r="C391" s="43">
        <v>4016851</v>
      </c>
      <c r="D391" s="56" t="s">
        <v>573</v>
      </c>
      <c r="E391" s="56" t="s">
        <v>575</v>
      </c>
      <c r="F391" s="45">
        <v>500</v>
      </c>
      <c r="G391" s="45"/>
      <c r="H391" s="45"/>
      <c r="I391" s="45"/>
      <c r="J391" s="46">
        <f>IF(VLOOKUP($C391,REV!$C:$AA,8,0)-'TRADE IN'!$F391=0,"",(VLOOKUP($C391,REV!$C:$AA,8,0)-'TRADE IN'!$F391))</f>
        <v>5099</v>
      </c>
      <c r="K391" s="46">
        <f>IF(VLOOKUP($C391,REV!$C:$AA,9,0)-'TRADE IN'!$F391=0,"",(VLOOKUP($C391,REV!$C:$AA,9,0)-'TRADE IN'!$F391))</f>
        <v>5099</v>
      </c>
      <c r="L391" s="46">
        <f>IF(VLOOKUP($C391,REV!$C:$AA,10,0)-'TRADE IN'!$F391=0,"",(VLOOKUP($C391,REV!$C:$AA,10,0)-'TRADE IN'!$F391))</f>
        <v>5099</v>
      </c>
      <c r="M391" s="46">
        <f>IF(VLOOKUP($C391,REV!$C:$AA,11,0)-'TRADE IN'!$F391=0,"",(VLOOKUP($C391,REV!$C:$AA,11,0)-'TRADE IN'!$F391))</f>
        <v>5099</v>
      </c>
      <c r="N391" s="46">
        <f>IF(VLOOKUP($C391,REV!$C:$AA,12,0)-'TRADE IN'!$F391=0,"",(VLOOKUP($C391,REV!$C:$AA,12,0)-'TRADE IN'!$F391))</f>
        <v>5099</v>
      </c>
      <c r="O391" s="46">
        <f>IF(VLOOKUP($C391,REV!$C:$AA,13,0)-'TRADE IN'!$F391=0,"",(VLOOKUP($C391,REV!$C:$AA,13,0)-'TRADE IN'!$F391))</f>
        <v>4999</v>
      </c>
      <c r="P391" s="46">
        <f>IF(VLOOKUP($C391,REV!$C:$AA,14,0)-'TRADE IN'!$F391=0,"",(VLOOKUP($C391,REV!$C:$AA,14,0)-'TRADE IN'!$F391))</f>
        <v>4899</v>
      </c>
      <c r="Q391" s="46">
        <f>IF(VLOOKUP($C391,REV!$C:$AA,15,0)-'TRADE IN'!$F391=0,"",(VLOOKUP($C391,REV!$C:$AA,15,0)-'TRADE IN'!$F391))</f>
        <v>4299</v>
      </c>
      <c r="R391" s="46">
        <f>IF(VLOOKUP($C391,REV!$C:$AA,16,0)-'TRADE IN'!$F391=0,"",(VLOOKUP($C391,REV!$C:$AA,16,0)-'TRADE IN'!$F391))</f>
        <v>4999</v>
      </c>
      <c r="S391" s="46">
        <f>IF(VLOOKUP($C391,REV!$C:$AA,17,0)-'TRADE IN'!$F391=0,"",(VLOOKUP($C391,REV!$C:$AA,17,0)-'TRADE IN'!$F391))</f>
        <v>4899</v>
      </c>
      <c r="T391" s="46">
        <f>IF(VLOOKUP($C391,REV!$C:$AA,18,0)-'TRADE IN'!$F391=0,"",(VLOOKUP($C391,REV!$C:$AA,18,0)-'TRADE IN'!$F391))</f>
        <v>4299</v>
      </c>
      <c r="U391" s="46">
        <f>IF(VLOOKUP($C391,REV!$C:$AA,19,0)-'TRADE IN'!$F391=0,"",(VLOOKUP($C391,REV!$C:$AA,19,0)-'TRADE IN'!$F391))</f>
        <v>4299</v>
      </c>
      <c r="V391" s="46">
        <f>IF(VLOOKUP($C391,REV!$C:$AA,20,0)-'TRADE IN'!$F391=0,"",(VLOOKUP($C391,REV!$C:$AA,20,0)-'TRADE IN'!$F391))</f>
        <v>4299</v>
      </c>
      <c r="W391" s="46">
        <f>IF(VLOOKUP($C391,REV!$C:$AA,21,0)-'TRADE IN'!$F391=0,"",(VLOOKUP($C391,REV!$C:$AA,21,0)-'TRADE IN'!$F391))</f>
        <v>4299</v>
      </c>
      <c r="X391" s="46">
        <f>IF(VLOOKUP($C391,REV!$C:$AA,22,0)-'TRADE IN'!$F391=0,"",(VLOOKUP($C391,REV!$C:$AA,22,0)-'TRADE IN'!$F391))</f>
        <v>4199</v>
      </c>
      <c r="Y391" s="46">
        <f>IF(VLOOKUP($C391,REV!$C:$AA,23,0)-'TRADE IN'!$F391=0,"",(VLOOKUP($C391,REV!$C:$AA,23,0)-'TRADE IN'!$F391))</f>
        <v>3499</v>
      </c>
      <c r="Z391" s="46">
        <f>IF(VLOOKUP($C391,REV!$C:$AA,24,0)-'TRADE IN'!$F391=0,"",(VLOOKUP($C391,REV!$C:$AA,24,0)-'TRADE IN'!$F391))</f>
        <v>3499</v>
      </c>
      <c r="AA391" s="46">
        <f>IF(VLOOKUP($C391,REV!$C:$AA,25,0)-'TRADE IN'!$F391=0,"",(VLOOKUP($C391,REV!$C:$AA,25,0)-'TRADE IN'!$F391))</f>
        <v>3299</v>
      </c>
      <c r="AB391" s="45"/>
      <c r="AC391" s="45"/>
      <c r="AD391" s="45"/>
      <c r="AE391" s="45"/>
      <c r="AF391" s="45"/>
      <c r="AG391" s="45"/>
      <c r="AH391" s="45"/>
      <c r="AI391" s="45"/>
      <c r="AJ391" s="45"/>
      <c r="AK391" s="45"/>
      <c r="AL391" s="45"/>
      <c r="AM391" s="45"/>
      <c r="AN391" s="45"/>
      <c r="AO391" s="45"/>
      <c r="AP391" s="45"/>
      <c r="AQ391" s="45"/>
      <c r="AR391" s="45"/>
      <c r="AS391" s="45"/>
      <c r="AT391" s="45"/>
      <c r="AU391" s="45"/>
      <c r="AV391" s="47"/>
      <c r="AW391" s="48" t="str">
        <f>REV!AW391</f>
        <v>13.08.2026</v>
      </c>
      <c r="AX391" s="149" t="s">
        <v>68</v>
      </c>
    </row>
    <row r="392" spans="1:50" ht="22.5" customHeight="1">
      <c r="A392" s="41" t="s">
        <v>63</v>
      </c>
      <c r="B392" s="42" t="s">
        <v>64</v>
      </c>
      <c r="C392" s="43">
        <v>4016864</v>
      </c>
      <c r="D392" s="56" t="s">
        <v>573</v>
      </c>
      <c r="E392" s="56" t="s">
        <v>576</v>
      </c>
      <c r="F392" s="45">
        <v>500</v>
      </c>
      <c r="G392" s="45"/>
      <c r="H392" s="45"/>
      <c r="I392" s="45"/>
      <c r="J392" s="46">
        <f>IF(VLOOKUP($C392,REV!$C:$AA,8,0)-'TRADE IN'!$F392=0,"",(VLOOKUP($C392,REV!$C:$AA,8,0)-'TRADE IN'!$F392))</f>
        <v>5099</v>
      </c>
      <c r="K392" s="46">
        <f>IF(VLOOKUP($C392,REV!$C:$AA,9,0)-'TRADE IN'!$F392=0,"",(VLOOKUP($C392,REV!$C:$AA,9,0)-'TRADE IN'!$F392))</f>
        <v>5099</v>
      </c>
      <c r="L392" s="46">
        <f>IF(VLOOKUP($C392,REV!$C:$AA,10,0)-'TRADE IN'!$F392=0,"",(VLOOKUP($C392,REV!$C:$AA,10,0)-'TRADE IN'!$F392))</f>
        <v>5099</v>
      </c>
      <c r="M392" s="46">
        <f>IF(VLOOKUP($C392,REV!$C:$AA,11,0)-'TRADE IN'!$F392=0,"",(VLOOKUP($C392,REV!$C:$AA,11,0)-'TRADE IN'!$F392))</f>
        <v>5099</v>
      </c>
      <c r="N392" s="46">
        <f>IF(VLOOKUP($C392,REV!$C:$AA,12,0)-'TRADE IN'!$F392=0,"",(VLOOKUP($C392,REV!$C:$AA,12,0)-'TRADE IN'!$F392))</f>
        <v>5099</v>
      </c>
      <c r="O392" s="46">
        <f>IF(VLOOKUP($C392,REV!$C:$AA,13,0)-'TRADE IN'!$F392=0,"",(VLOOKUP($C392,REV!$C:$AA,13,0)-'TRADE IN'!$F392))</f>
        <v>4999</v>
      </c>
      <c r="P392" s="46">
        <f>IF(VLOOKUP($C392,REV!$C:$AA,14,0)-'TRADE IN'!$F392=0,"",(VLOOKUP($C392,REV!$C:$AA,14,0)-'TRADE IN'!$F392))</f>
        <v>4899</v>
      </c>
      <c r="Q392" s="46">
        <f>IF(VLOOKUP($C392,REV!$C:$AA,15,0)-'TRADE IN'!$F392=0,"",(VLOOKUP($C392,REV!$C:$AA,15,0)-'TRADE IN'!$F392))</f>
        <v>4299</v>
      </c>
      <c r="R392" s="46">
        <f>IF(VLOOKUP($C392,REV!$C:$AA,16,0)-'TRADE IN'!$F392=0,"",(VLOOKUP($C392,REV!$C:$AA,16,0)-'TRADE IN'!$F392))</f>
        <v>4999</v>
      </c>
      <c r="S392" s="46">
        <f>IF(VLOOKUP($C392,REV!$C:$AA,17,0)-'TRADE IN'!$F392=0,"",(VLOOKUP($C392,REV!$C:$AA,17,0)-'TRADE IN'!$F392))</f>
        <v>4899</v>
      </c>
      <c r="T392" s="46">
        <f>IF(VLOOKUP($C392,REV!$C:$AA,18,0)-'TRADE IN'!$F392=0,"",(VLOOKUP($C392,REV!$C:$AA,18,0)-'TRADE IN'!$F392))</f>
        <v>4299</v>
      </c>
      <c r="U392" s="46">
        <f>IF(VLOOKUP($C392,REV!$C:$AA,19,0)-'TRADE IN'!$F392=0,"",(VLOOKUP($C392,REV!$C:$AA,19,0)-'TRADE IN'!$F392))</f>
        <v>4299</v>
      </c>
      <c r="V392" s="46">
        <f>IF(VLOOKUP($C392,REV!$C:$AA,20,0)-'TRADE IN'!$F392=0,"",(VLOOKUP($C392,REV!$C:$AA,20,0)-'TRADE IN'!$F392))</f>
        <v>4299</v>
      </c>
      <c r="W392" s="46">
        <f>IF(VLOOKUP($C392,REV!$C:$AA,21,0)-'TRADE IN'!$F392=0,"",(VLOOKUP($C392,REV!$C:$AA,21,0)-'TRADE IN'!$F392))</f>
        <v>4299</v>
      </c>
      <c r="X392" s="46">
        <f>IF(VLOOKUP($C392,REV!$C:$AA,22,0)-'TRADE IN'!$F392=0,"",(VLOOKUP($C392,REV!$C:$AA,22,0)-'TRADE IN'!$F392))</f>
        <v>4199</v>
      </c>
      <c r="Y392" s="46">
        <f>IF(VLOOKUP($C392,REV!$C:$AA,23,0)-'TRADE IN'!$F392=0,"",(VLOOKUP($C392,REV!$C:$AA,23,0)-'TRADE IN'!$F392))</f>
        <v>3499</v>
      </c>
      <c r="Z392" s="46">
        <f>IF(VLOOKUP($C392,REV!$C:$AA,24,0)-'TRADE IN'!$F392=0,"",(VLOOKUP($C392,REV!$C:$AA,24,0)-'TRADE IN'!$F392))</f>
        <v>3499</v>
      </c>
      <c r="AA392" s="46">
        <f>IF(VLOOKUP($C392,REV!$C:$AA,25,0)-'TRADE IN'!$F392=0,"",(VLOOKUP($C392,REV!$C:$AA,25,0)-'TRADE IN'!$F392))</f>
        <v>3299</v>
      </c>
      <c r="AB392" s="45"/>
      <c r="AC392" s="45"/>
      <c r="AD392" s="45"/>
      <c r="AE392" s="45"/>
      <c r="AF392" s="45"/>
      <c r="AG392" s="45"/>
      <c r="AH392" s="45"/>
      <c r="AI392" s="45"/>
      <c r="AJ392" s="45"/>
      <c r="AK392" s="45"/>
      <c r="AL392" s="45"/>
      <c r="AM392" s="45"/>
      <c r="AN392" s="45"/>
      <c r="AO392" s="45"/>
      <c r="AP392" s="45"/>
      <c r="AQ392" s="45"/>
      <c r="AR392" s="45"/>
      <c r="AS392" s="45"/>
      <c r="AT392" s="45"/>
      <c r="AU392" s="45"/>
      <c r="AV392" s="47"/>
      <c r="AW392" s="48" t="str">
        <f>REV!AW392</f>
        <v>13.08.2026</v>
      </c>
      <c r="AX392" s="149" t="s">
        <v>68</v>
      </c>
    </row>
    <row r="393" spans="1:50" ht="22.5" customHeight="1">
      <c r="A393" s="41" t="s">
        <v>63</v>
      </c>
      <c r="B393" s="42" t="s">
        <v>64</v>
      </c>
      <c r="C393" s="43">
        <v>4016900</v>
      </c>
      <c r="D393" s="56" t="s">
        <v>573</v>
      </c>
      <c r="E393" s="56" t="s">
        <v>577</v>
      </c>
      <c r="F393" s="45">
        <v>500</v>
      </c>
      <c r="G393" s="45"/>
      <c r="H393" s="45"/>
      <c r="I393" s="45"/>
      <c r="J393" s="46">
        <f>IF(VLOOKUP($C393,REV!$C:$AA,8,0)-'TRADE IN'!$F393=0,"",(VLOOKUP($C393,REV!$C:$AA,8,0)-'TRADE IN'!$F393))</f>
        <v>5099</v>
      </c>
      <c r="K393" s="46">
        <f>IF(VLOOKUP($C393,REV!$C:$AA,9,0)-'TRADE IN'!$F393=0,"",(VLOOKUP($C393,REV!$C:$AA,9,0)-'TRADE IN'!$F393))</f>
        <v>5099</v>
      </c>
      <c r="L393" s="46">
        <f>IF(VLOOKUP($C393,REV!$C:$AA,10,0)-'TRADE IN'!$F393=0,"",(VLOOKUP($C393,REV!$C:$AA,10,0)-'TRADE IN'!$F393))</f>
        <v>5099</v>
      </c>
      <c r="M393" s="46">
        <f>IF(VLOOKUP($C393,REV!$C:$AA,11,0)-'TRADE IN'!$F393=0,"",(VLOOKUP($C393,REV!$C:$AA,11,0)-'TRADE IN'!$F393))</f>
        <v>5099</v>
      </c>
      <c r="N393" s="46">
        <f>IF(VLOOKUP($C393,REV!$C:$AA,12,0)-'TRADE IN'!$F393=0,"",(VLOOKUP($C393,REV!$C:$AA,12,0)-'TRADE IN'!$F393))</f>
        <v>5099</v>
      </c>
      <c r="O393" s="46">
        <f>IF(VLOOKUP($C393,REV!$C:$AA,13,0)-'TRADE IN'!$F393=0,"",(VLOOKUP($C393,REV!$C:$AA,13,0)-'TRADE IN'!$F393))</f>
        <v>4999</v>
      </c>
      <c r="P393" s="46">
        <f>IF(VLOOKUP($C393,REV!$C:$AA,14,0)-'TRADE IN'!$F393=0,"",(VLOOKUP($C393,REV!$C:$AA,14,0)-'TRADE IN'!$F393))</f>
        <v>4899</v>
      </c>
      <c r="Q393" s="46">
        <f>IF(VLOOKUP($C393,REV!$C:$AA,15,0)-'TRADE IN'!$F393=0,"",(VLOOKUP($C393,REV!$C:$AA,15,0)-'TRADE IN'!$F393))</f>
        <v>4299</v>
      </c>
      <c r="R393" s="46">
        <f>IF(VLOOKUP($C393,REV!$C:$AA,16,0)-'TRADE IN'!$F393=0,"",(VLOOKUP($C393,REV!$C:$AA,16,0)-'TRADE IN'!$F393))</f>
        <v>4999</v>
      </c>
      <c r="S393" s="46">
        <f>IF(VLOOKUP($C393,REV!$C:$AA,17,0)-'TRADE IN'!$F393=0,"",(VLOOKUP($C393,REV!$C:$AA,17,0)-'TRADE IN'!$F393))</f>
        <v>4899</v>
      </c>
      <c r="T393" s="46">
        <f>IF(VLOOKUP($C393,REV!$C:$AA,18,0)-'TRADE IN'!$F393=0,"",(VLOOKUP($C393,REV!$C:$AA,18,0)-'TRADE IN'!$F393))</f>
        <v>4299</v>
      </c>
      <c r="U393" s="46">
        <f>IF(VLOOKUP($C393,REV!$C:$AA,19,0)-'TRADE IN'!$F393=0,"",(VLOOKUP($C393,REV!$C:$AA,19,0)-'TRADE IN'!$F393))</f>
        <v>4299</v>
      </c>
      <c r="V393" s="46">
        <f>IF(VLOOKUP($C393,REV!$C:$AA,20,0)-'TRADE IN'!$F393=0,"",(VLOOKUP($C393,REV!$C:$AA,20,0)-'TRADE IN'!$F393))</f>
        <v>4299</v>
      </c>
      <c r="W393" s="46">
        <f>IF(VLOOKUP($C393,REV!$C:$AA,21,0)-'TRADE IN'!$F393=0,"",(VLOOKUP($C393,REV!$C:$AA,21,0)-'TRADE IN'!$F393))</f>
        <v>4299</v>
      </c>
      <c r="X393" s="46">
        <f>IF(VLOOKUP($C393,REV!$C:$AA,22,0)-'TRADE IN'!$F393=0,"",(VLOOKUP($C393,REV!$C:$AA,22,0)-'TRADE IN'!$F393))</f>
        <v>4199</v>
      </c>
      <c r="Y393" s="46">
        <f>IF(VLOOKUP($C393,REV!$C:$AA,23,0)-'TRADE IN'!$F393=0,"",(VLOOKUP($C393,REV!$C:$AA,23,0)-'TRADE IN'!$F393))</f>
        <v>3499</v>
      </c>
      <c r="Z393" s="46">
        <f>IF(VLOOKUP($C393,REV!$C:$AA,24,0)-'TRADE IN'!$F393=0,"",(VLOOKUP($C393,REV!$C:$AA,24,0)-'TRADE IN'!$F393))</f>
        <v>3499</v>
      </c>
      <c r="AA393" s="46">
        <f>IF(VLOOKUP($C393,REV!$C:$AA,25,0)-'TRADE IN'!$F393=0,"",(VLOOKUP($C393,REV!$C:$AA,25,0)-'TRADE IN'!$F393))</f>
        <v>3299</v>
      </c>
      <c r="AB393" s="45"/>
      <c r="AC393" s="45"/>
      <c r="AD393" s="45"/>
      <c r="AE393" s="45"/>
      <c r="AF393" s="45"/>
      <c r="AG393" s="45"/>
      <c r="AH393" s="45"/>
      <c r="AI393" s="45"/>
      <c r="AJ393" s="45"/>
      <c r="AK393" s="45"/>
      <c r="AL393" s="45"/>
      <c r="AM393" s="45"/>
      <c r="AN393" s="45"/>
      <c r="AO393" s="45"/>
      <c r="AP393" s="45"/>
      <c r="AQ393" s="45"/>
      <c r="AR393" s="45"/>
      <c r="AS393" s="45"/>
      <c r="AT393" s="45"/>
      <c r="AU393" s="45"/>
      <c r="AV393" s="47"/>
      <c r="AW393" s="48" t="str">
        <f>REV!AW393</f>
        <v>13.08.2026</v>
      </c>
      <c r="AX393" s="149" t="s">
        <v>68</v>
      </c>
    </row>
    <row r="394" spans="1:50" ht="22.5" customHeight="1">
      <c r="A394" s="41" t="s">
        <v>63</v>
      </c>
      <c r="B394" s="42" t="s">
        <v>64</v>
      </c>
      <c r="C394" s="43">
        <v>4016893</v>
      </c>
      <c r="D394" s="56" t="s">
        <v>573</v>
      </c>
      <c r="E394" s="56" t="s">
        <v>578</v>
      </c>
      <c r="F394" s="45">
        <v>500</v>
      </c>
      <c r="G394" s="45"/>
      <c r="H394" s="45"/>
      <c r="I394" s="45"/>
      <c r="J394" s="46">
        <f>IF(VLOOKUP($C394,REV!$C:$AA,8,0)-'TRADE IN'!$F394=0,"",(VLOOKUP($C394,REV!$C:$AA,8,0)-'TRADE IN'!$F394))</f>
        <v>5099</v>
      </c>
      <c r="K394" s="46">
        <f>IF(VLOOKUP($C394,REV!$C:$AA,9,0)-'TRADE IN'!$F394=0,"",(VLOOKUP($C394,REV!$C:$AA,9,0)-'TRADE IN'!$F394))</f>
        <v>5099</v>
      </c>
      <c r="L394" s="46">
        <f>IF(VLOOKUP($C394,REV!$C:$AA,10,0)-'TRADE IN'!$F394=0,"",(VLOOKUP($C394,REV!$C:$AA,10,0)-'TRADE IN'!$F394))</f>
        <v>5099</v>
      </c>
      <c r="M394" s="46">
        <f>IF(VLOOKUP($C394,REV!$C:$AA,11,0)-'TRADE IN'!$F394=0,"",(VLOOKUP($C394,REV!$C:$AA,11,0)-'TRADE IN'!$F394))</f>
        <v>5099</v>
      </c>
      <c r="N394" s="46">
        <f>IF(VLOOKUP($C394,REV!$C:$AA,12,0)-'TRADE IN'!$F394=0,"",(VLOOKUP($C394,REV!$C:$AA,12,0)-'TRADE IN'!$F394))</f>
        <v>5099</v>
      </c>
      <c r="O394" s="46">
        <f>IF(VLOOKUP($C394,REV!$C:$AA,13,0)-'TRADE IN'!$F394=0,"",(VLOOKUP($C394,REV!$C:$AA,13,0)-'TRADE IN'!$F394))</f>
        <v>4999</v>
      </c>
      <c r="P394" s="46">
        <f>IF(VLOOKUP($C394,REV!$C:$AA,14,0)-'TRADE IN'!$F394=0,"",(VLOOKUP($C394,REV!$C:$AA,14,0)-'TRADE IN'!$F394))</f>
        <v>4899</v>
      </c>
      <c r="Q394" s="46">
        <f>IF(VLOOKUP($C394,REV!$C:$AA,15,0)-'TRADE IN'!$F394=0,"",(VLOOKUP($C394,REV!$C:$AA,15,0)-'TRADE IN'!$F394))</f>
        <v>4299</v>
      </c>
      <c r="R394" s="46">
        <f>IF(VLOOKUP($C394,REV!$C:$AA,16,0)-'TRADE IN'!$F394=0,"",(VLOOKUP($C394,REV!$C:$AA,16,0)-'TRADE IN'!$F394))</f>
        <v>4999</v>
      </c>
      <c r="S394" s="46">
        <f>IF(VLOOKUP($C394,REV!$C:$AA,17,0)-'TRADE IN'!$F394=0,"",(VLOOKUP($C394,REV!$C:$AA,17,0)-'TRADE IN'!$F394))</f>
        <v>4899</v>
      </c>
      <c r="T394" s="46">
        <f>IF(VLOOKUP($C394,REV!$C:$AA,18,0)-'TRADE IN'!$F394=0,"",(VLOOKUP($C394,REV!$C:$AA,18,0)-'TRADE IN'!$F394))</f>
        <v>4299</v>
      </c>
      <c r="U394" s="46">
        <f>IF(VLOOKUP($C394,REV!$C:$AA,19,0)-'TRADE IN'!$F394=0,"",(VLOOKUP($C394,REV!$C:$AA,19,0)-'TRADE IN'!$F394))</f>
        <v>4299</v>
      </c>
      <c r="V394" s="46">
        <f>IF(VLOOKUP($C394,REV!$C:$AA,20,0)-'TRADE IN'!$F394=0,"",(VLOOKUP($C394,REV!$C:$AA,20,0)-'TRADE IN'!$F394))</f>
        <v>4299</v>
      </c>
      <c r="W394" s="46">
        <f>IF(VLOOKUP($C394,REV!$C:$AA,21,0)-'TRADE IN'!$F394=0,"",(VLOOKUP($C394,REV!$C:$AA,21,0)-'TRADE IN'!$F394))</f>
        <v>4299</v>
      </c>
      <c r="X394" s="46">
        <f>IF(VLOOKUP($C394,REV!$C:$AA,22,0)-'TRADE IN'!$F394=0,"",(VLOOKUP($C394,REV!$C:$AA,22,0)-'TRADE IN'!$F394))</f>
        <v>4199</v>
      </c>
      <c r="Y394" s="46">
        <f>IF(VLOOKUP($C394,REV!$C:$AA,23,0)-'TRADE IN'!$F394=0,"",(VLOOKUP($C394,REV!$C:$AA,23,0)-'TRADE IN'!$F394))</f>
        <v>3499</v>
      </c>
      <c r="Z394" s="46">
        <f>IF(VLOOKUP($C394,REV!$C:$AA,24,0)-'TRADE IN'!$F394=0,"",(VLOOKUP($C394,REV!$C:$AA,24,0)-'TRADE IN'!$F394))</f>
        <v>3499</v>
      </c>
      <c r="AA394" s="46">
        <f>IF(VLOOKUP($C394,REV!$C:$AA,25,0)-'TRADE IN'!$F394=0,"",(VLOOKUP($C394,REV!$C:$AA,25,0)-'TRADE IN'!$F394))</f>
        <v>3299</v>
      </c>
      <c r="AB394" s="45"/>
      <c r="AC394" s="45"/>
      <c r="AD394" s="45"/>
      <c r="AE394" s="45"/>
      <c r="AF394" s="45"/>
      <c r="AG394" s="45"/>
      <c r="AH394" s="45"/>
      <c r="AI394" s="45"/>
      <c r="AJ394" s="45"/>
      <c r="AK394" s="45"/>
      <c r="AL394" s="45"/>
      <c r="AM394" s="45"/>
      <c r="AN394" s="45"/>
      <c r="AO394" s="45"/>
      <c r="AP394" s="45"/>
      <c r="AQ394" s="45"/>
      <c r="AR394" s="45"/>
      <c r="AS394" s="45"/>
      <c r="AT394" s="45"/>
      <c r="AU394" s="45"/>
      <c r="AV394" s="47"/>
      <c r="AW394" s="48" t="str">
        <f>REV!AW394</f>
        <v>13.08.2026</v>
      </c>
      <c r="AX394" s="149" t="s">
        <v>68</v>
      </c>
    </row>
    <row r="395" spans="1:50" ht="22.5" customHeight="1">
      <c r="A395" s="41" t="s">
        <v>63</v>
      </c>
      <c r="B395" s="42" t="s">
        <v>64</v>
      </c>
      <c r="C395" s="43">
        <v>4016879</v>
      </c>
      <c r="D395" s="56" t="s">
        <v>573</v>
      </c>
      <c r="E395" s="56" t="s">
        <v>579</v>
      </c>
      <c r="F395" s="45">
        <v>500</v>
      </c>
      <c r="G395" s="45"/>
      <c r="H395" s="45"/>
      <c r="I395" s="45"/>
      <c r="J395" s="46">
        <f>IF(VLOOKUP($C395,REV!$C:$AA,8,0)-'TRADE IN'!$F395=0,"",(VLOOKUP($C395,REV!$C:$AA,8,0)-'TRADE IN'!$F395))</f>
        <v>5099</v>
      </c>
      <c r="K395" s="46">
        <f>IF(VLOOKUP($C395,REV!$C:$AA,9,0)-'TRADE IN'!$F395=0,"",(VLOOKUP($C395,REV!$C:$AA,9,0)-'TRADE IN'!$F395))</f>
        <v>5099</v>
      </c>
      <c r="L395" s="46">
        <f>IF(VLOOKUP($C395,REV!$C:$AA,10,0)-'TRADE IN'!$F395=0,"",(VLOOKUP($C395,REV!$C:$AA,10,0)-'TRADE IN'!$F395))</f>
        <v>5099</v>
      </c>
      <c r="M395" s="46">
        <f>IF(VLOOKUP($C395,REV!$C:$AA,11,0)-'TRADE IN'!$F395=0,"",(VLOOKUP($C395,REV!$C:$AA,11,0)-'TRADE IN'!$F395))</f>
        <v>5099</v>
      </c>
      <c r="N395" s="46">
        <f>IF(VLOOKUP($C395,REV!$C:$AA,12,0)-'TRADE IN'!$F395=0,"",(VLOOKUP($C395,REV!$C:$AA,12,0)-'TRADE IN'!$F395))</f>
        <v>5099</v>
      </c>
      <c r="O395" s="46">
        <f>IF(VLOOKUP($C395,REV!$C:$AA,13,0)-'TRADE IN'!$F395=0,"",(VLOOKUP($C395,REV!$C:$AA,13,0)-'TRADE IN'!$F395))</f>
        <v>4999</v>
      </c>
      <c r="P395" s="46">
        <f>IF(VLOOKUP($C395,REV!$C:$AA,14,0)-'TRADE IN'!$F395=0,"",(VLOOKUP($C395,REV!$C:$AA,14,0)-'TRADE IN'!$F395))</f>
        <v>4899</v>
      </c>
      <c r="Q395" s="46">
        <f>IF(VLOOKUP($C395,REV!$C:$AA,15,0)-'TRADE IN'!$F395=0,"",(VLOOKUP($C395,REV!$C:$AA,15,0)-'TRADE IN'!$F395))</f>
        <v>4299</v>
      </c>
      <c r="R395" s="46">
        <f>IF(VLOOKUP($C395,REV!$C:$AA,16,0)-'TRADE IN'!$F395=0,"",(VLOOKUP($C395,REV!$C:$AA,16,0)-'TRADE IN'!$F395))</f>
        <v>4999</v>
      </c>
      <c r="S395" s="46">
        <f>IF(VLOOKUP($C395,REV!$C:$AA,17,0)-'TRADE IN'!$F395=0,"",(VLOOKUP($C395,REV!$C:$AA,17,0)-'TRADE IN'!$F395))</f>
        <v>4899</v>
      </c>
      <c r="T395" s="46">
        <f>IF(VLOOKUP($C395,REV!$C:$AA,18,0)-'TRADE IN'!$F395=0,"",(VLOOKUP($C395,REV!$C:$AA,18,0)-'TRADE IN'!$F395))</f>
        <v>4299</v>
      </c>
      <c r="U395" s="46">
        <f>IF(VLOOKUP($C395,REV!$C:$AA,19,0)-'TRADE IN'!$F395=0,"",(VLOOKUP($C395,REV!$C:$AA,19,0)-'TRADE IN'!$F395))</f>
        <v>4299</v>
      </c>
      <c r="V395" s="46">
        <f>IF(VLOOKUP($C395,REV!$C:$AA,20,0)-'TRADE IN'!$F395=0,"",(VLOOKUP($C395,REV!$C:$AA,20,0)-'TRADE IN'!$F395))</f>
        <v>4299</v>
      </c>
      <c r="W395" s="46">
        <f>IF(VLOOKUP($C395,REV!$C:$AA,21,0)-'TRADE IN'!$F395=0,"",(VLOOKUP($C395,REV!$C:$AA,21,0)-'TRADE IN'!$F395))</f>
        <v>4299</v>
      </c>
      <c r="X395" s="46">
        <f>IF(VLOOKUP($C395,REV!$C:$AA,22,0)-'TRADE IN'!$F395=0,"",(VLOOKUP($C395,REV!$C:$AA,22,0)-'TRADE IN'!$F395))</f>
        <v>4199</v>
      </c>
      <c r="Y395" s="46">
        <f>IF(VLOOKUP($C395,REV!$C:$AA,23,0)-'TRADE IN'!$F395=0,"",(VLOOKUP($C395,REV!$C:$AA,23,0)-'TRADE IN'!$F395))</f>
        <v>3499</v>
      </c>
      <c r="Z395" s="46">
        <f>IF(VLOOKUP($C395,REV!$C:$AA,24,0)-'TRADE IN'!$F395=0,"",(VLOOKUP($C395,REV!$C:$AA,24,0)-'TRADE IN'!$F395))</f>
        <v>3499</v>
      </c>
      <c r="AA395" s="46">
        <f>IF(VLOOKUP($C395,REV!$C:$AA,25,0)-'TRADE IN'!$F395=0,"",(VLOOKUP($C395,REV!$C:$AA,25,0)-'TRADE IN'!$F395))</f>
        <v>3299</v>
      </c>
      <c r="AB395" s="45"/>
      <c r="AC395" s="45"/>
      <c r="AD395" s="45"/>
      <c r="AE395" s="45"/>
      <c r="AF395" s="45"/>
      <c r="AG395" s="45"/>
      <c r="AH395" s="45"/>
      <c r="AI395" s="45"/>
      <c r="AJ395" s="45"/>
      <c r="AK395" s="45"/>
      <c r="AL395" s="45"/>
      <c r="AM395" s="45"/>
      <c r="AN395" s="45"/>
      <c r="AO395" s="45"/>
      <c r="AP395" s="45"/>
      <c r="AQ395" s="45"/>
      <c r="AR395" s="45"/>
      <c r="AS395" s="45"/>
      <c r="AT395" s="45"/>
      <c r="AU395" s="45"/>
      <c r="AV395" s="47"/>
      <c r="AW395" s="48" t="str">
        <f>REV!AW395</f>
        <v>13.08.2026</v>
      </c>
      <c r="AX395" s="149" t="s">
        <v>68</v>
      </c>
    </row>
    <row r="396" spans="1:50" ht="22.5" customHeight="1">
      <c r="A396" s="41" t="s">
        <v>63</v>
      </c>
      <c r="B396" s="42" t="s">
        <v>64</v>
      </c>
      <c r="C396" s="43">
        <v>4016902</v>
      </c>
      <c r="D396" s="56" t="s">
        <v>580</v>
      </c>
      <c r="E396" s="56" t="s">
        <v>581</v>
      </c>
      <c r="F396" s="45">
        <v>500</v>
      </c>
      <c r="G396" s="45"/>
      <c r="H396" s="45"/>
      <c r="I396" s="45"/>
      <c r="J396" s="46">
        <f>IF(VLOOKUP($C396,REV!$C:$AA,8,0)-'TRADE IN'!$F396=0,"",(VLOOKUP($C396,REV!$C:$AA,8,0)-'TRADE IN'!$F396))</f>
        <v>5799</v>
      </c>
      <c r="K396" s="46">
        <f>IF(VLOOKUP($C396,REV!$C:$AA,9,0)-'TRADE IN'!$F396=0,"",(VLOOKUP($C396,REV!$C:$AA,9,0)-'TRADE IN'!$F396))</f>
        <v>5799</v>
      </c>
      <c r="L396" s="46">
        <f>IF(VLOOKUP($C396,REV!$C:$AA,10,0)-'TRADE IN'!$F396=0,"",(VLOOKUP($C396,REV!$C:$AA,10,0)-'TRADE IN'!$F396))</f>
        <v>5799</v>
      </c>
      <c r="M396" s="46">
        <f>IF(VLOOKUP($C396,REV!$C:$AA,11,0)-'TRADE IN'!$F396=0,"",(VLOOKUP($C396,REV!$C:$AA,11,0)-'TRADE IN'!$F396))</f>
        <v>5799</v>
      </c>
      <c r="N396" s="46">
        <f>IF(VLOOKUP($C396,REV!$C:$AA,12,0)-'TRADE IN'!$F396=0,"",(VLOOKUP($C396,REV!$C:$AA,12,0)-'TRADE IN'!$F396))</f>
        <v>5799</v>
      </c>
      <c r="O396" s="46">
        <f>IF(VLOOKUP($C396,REV!$C:$AA,13,0)-'TRADE IN'!$F396=0,"",(VLOOKUP($C396,REV!$C:$AA,13,0)-'TRADE IN'!$F396))</f>
        <v>5699</v>
      </c>
      <c r="P396" s="46">
        <f>IF(VLOOKUP($C396,REV!$C:$AA,14,0)-'TRADE IN'!$F396=0,"",(VLOOKUP($C396,REV!$C:$AA,14,0)-'TRADE IN'!$F396))</f>
        <v>5599</v>
      </c>
      <c r="Q396" s="46">
        <f>IF(VLOOKUP($C396,REV!$C:$AA,15,0)-'TRADE IN'!$F396=0,"",(VLOOKUP($C396,REV!$C:$AA,15,0)-'TRADE IN'!$F396))</f>
        <v>5299</v>
      </c>
      <c r="R396" s="46">
        <f>IF(VLOOKUP($C396,REV!$C:$AA,16,0)-'TRADE IN'!$F396=0,"",(VLOOKUP($C396,REV!$C:$AA,16,0)-'TRADE IN'!$F396))</f>
        <v>5699</v>
      </c>
      <c r="S396" s="46">
        <f>IF(VLOOKUP($C396,REV!$C:$AA,17,0)-'TRADE IN'!$F396=0,"",(VLOOKUP($C396,REV!$C:$AA,17,0)-'TRADE IN'!$F396))</f>
        <v>5599</v>
      </c>
      <c r="T396" s="46">
        <f>IF(VLOOKUP($C396,REV!$C:$AA,18,0)-'TRADE IN'!$F396=0,"",(VLOOKUP($C396,REV!$C:$AA,18,0)-'TRADE IN'!$F396))</f>
        <v>5299</v>
      </c>
      <c r="U396" s="46">
        <f>IF(VLOOKUP($C396,REV!$C:$AA,19,0)-'TRADE IN'!$F396=0,"",(VLOOKUP($C396,REV!$C:$AA,19,0)-'TRADE IN'!$F396))</f>
        <v>5299</v>
      </c>
      <c r="V396" s="46">
        <f>IF(VLOOKUP($C396,REV!$C:$AA,20,0)-'TRADE IN'!$F396=0,"",(VLOOKUP($C396,REV!$C:$AA,20,0)-'TRADE IN'!$F396))</f>
        <v>5299</v>
      </c>
      <c r="W396" s="46">
        <f>IF(VLOOKUP($C396,REV!$C:$AA,21,0)-'TRADE IN'!$F396=0,"",(VLOOKUP($C396,REV!$C:$AA,21,0)-'TRADE IN'!$F396))</f>
        <v>5299</v>
      </c>
      <c r="X396" s="46">
        <f>IF(VLOOKUP($C396,REV!$C:$AA,22,0)-'TRADE IN'!$F396=0,"",(VLOOKUP($C396,REV!$C:$AA,22,0)-'TRADE IN'!$F396))</f>
        <v>4999</v>
      </c>
      <c r="Y396" s="46">
        <f>IF(VLOOKUP($C396,REV!$C:$AA,23,0)-'TRADE IN'!$F396=0,"",(VLOOKUP($C396,REV!$C:$AA,23,0)-'TRADE IN'!$F396))</f>
        <v>4499</v>
      </c>
      <c r="Z396" s="46">
        <f>IF(VLOOKUP($C396,REV!$C:$AA,24,0)-'TRADE IN'!$F396=0,"",(VLOOKUP($C396,REV!$C:$AA,24,0)-'TRADE IN'!$F396))</f>
        <v>4499</v>
      </c>
      <c r="AA396" s="46">
        <f>IF(VLOOKUP($C396,REV!$C:$AA,25,0)-'TRADE IN'!$F396=0,"",(VLOOKUP($C396,REV!$C:$AA,25,0)-'TRADE IN'!$F396))</f>
        <v>4499</v>
      </c>
      <c r="AB396" s="45"/>
      <c r="AC396" s="45"/>
      <c r="AD396" s="45"/>
      <c r="AE396" s="45"/>
      <c r="AF396" s="45"/>
      <c r="AG396" s="45"/>
      <c r="AH396" s="45"/>
      <c r="AI396" s="45"/>
      <c r="AJ396" s="45"/>
      <c r="AK396" s="45"/>
      <c r="AL396" s="45"/>
      <c r="AM396" s="45"/>
      <c r="AN396" s="45"/>
      <c r="AO396" s="45"/>
      <c r="AP396" s="45"/>
      <c r="AQ396" s="45"/>
      <c r="AR396" s="45"/>
      <c r="AS396" s="45"/>
      <c r="AT396" s="45"/>
      <c r="AU396" s="45"/>
      <c r="AV396" s="47"/>
      <c r="AW396" s="48" t="str">
        <f>REV!AW396</f>
        <v>13.08.2026</v>
      </c>
      <c r="AX396" s="149" t="s">
        <v>68</v>
      </c>
    </row>
    <row r="397" spans="1:50" ht="22.5" customHeight="1">
      <c r="A397" s="41" t="s">
        <v>63</v>
      </c>
      <c r="B397" s="42" t="s">
        <v>64</v>
      </c>
      <c r="C397" s="43">
        <v>4016881</v>
      </c>
      <c r="D397" s="56" t="s">
        <v>580</v>
      </c>
      <c r="E397" s="56" t="s">
        <v>582</v>
      </c>
      <c r="F397" s="45">
        <v>500</v>
      </c>
      <c r="G397" s="45"/>
      <c r="H397" s="45"/>
      <c r="I397" s="45"/>
      <c r="J397" s="46">
        <f>IF(VLOOKUP($C397,REV!$C:$AA,8,0)-'TRADE IN'!$F397=0,"",(VLOOKUP($C397,REV!$C:$AA,8,0)-'TRADE IN'!$F397))</f>
        <v>5799</v>
      </c>
      <c r="K397" s="46">
        <f>IF(VLOOKUP($C397,REV!$C:$AA,9,0)-'TRADE IN'!$F397=0,"",(VLOOKUP($C397,REV!$C:$AA,9,0)-'TRADE IN'!$F397))</f>
        <v>5799</v>
      </c>
      <c r="L397" s="46">
        <f>IF(VLOOKUP($C397,REV!$C:$AA,10,0)-'TRADE IN'!$F397=0,"",(VLOOKUP($C397,REV!$C:$AA,10,0)-'TRADE IN'!$F397))</f>
        <v>5799</v>
      </c>
      <c r="M397" s="46">
        <f>IF(VLOOKUP($C397,REV!$C:$AA,11,0)-'TRADE IN'!$F397=0,"",(VLOOKUP($C397,REV!$C:$AA,11,0)-'TRADE IN'!$F397))</f>
        <v>5799</v>
      </c>
      <c r="N397" s="46">
        <f>IF(VLOOKUP($C397,REV!$C:$AA,12,0)-'TRADE IN'!$F397=0,"",(VLOOKUP($C397,REV!$C:$AA,12,0)-'TRADE IN'!$F397))</f>
        <v>5799</v>
      </c>
      <c r="O397" s="46">
        <f>IF(VLOOKUP($C397,REV!$C:$AA,13,0)-'TRADE IN'!$F397=0,"",(VLOOKUP($C397,REV!$C:$AA,13,0)-'TRADE IN'!$F397))</f>
        <v>5699</v>
      </c>
      <c r="P397" s="46">
        <f>IF(VLOOKUP($C397,REV!$C:$AA,14,0)-'TRADE IN'!$F397=0,"",(VLOOKUP($C397,REV!$C:$AA,14,0)-'TRADE IN'!$F397))</f>
        <v>5599</v>
      </c>
      <c r="Q397" s="46">
        <f>IF(VLOOKUP($C397,REV!$C:$AA,15,0)-'TRADE IN'!$F397=0,"",(VLOOKUP($C397,REV!$C:$AA,15,0)-'TRADE IN'!$F397))</f>
        <v>5299</v>
      </c>
      <c r="R397" s="46">
        <f>IF(VLOOKUP($C397,REV!$C:$AA,16,0)-'TRADE IN'!$F397=0,"",(VLOOKUP($C397,REV!$C:$AA,16,0)-'TRADE IN'!$F397))</f>
        <v>5699</v>
      </c>
      <c r="S397" s="46">
        <f>IF(VLOOKUP($C397,REV!$C:$AA,17,0)-'TRADE IN'!$F397=0,"",(VLOOKUP($C397,REV!$C:$AA,17,0)-'TRADE IN'!$F397))</f>
        <v>5599</v>
      </c>
      <c r="T397" s="46">
        <f>IF(VLOOKUP($C397,REV!$C:$AA,18,0)-'TRADE IN'!$F397=0,"",(VLOOKUP($C397,REV!$C:$AA,18,0)-'TRADE IN'!$F397))</f>
        <v>5299</v>
      </c>
      <c r="U397" s="46">
        <f>IF(VLOOKUP($C397,REV!$C:$AA,19,0)-'TRADE IN'!$F397=0,"",(VLOOKUP($C397,REV!$C:$AA,19,0)-'TRADE IN'!$F397))</f>
        <v>5299</v>
      </c>
      <c r="V397" s="46">
        <f>IF(VLOOKUP($C397,REV!$C:$AA,20,0)-'TRADE IN'!$F397=0,"",(VLOOKUP($C397,REV!$C:$AA,20,0)-'TRADE IN'!$F397))</f>
        <v>5299</v>
      </c>
      <c r="W397" s="46">
        <f>IF(VLOOKUP($C397,REV!$C:$AA,21,0)-'TRADE IN'!$F397=0,"",(VLOOKUP($C397,REV!$C:$AA,21,0)-'TRADE IN'!$F397))</f>
        <v>5299</v>
      </c>
      <c r="X397" s="46">
        <f>IF(VLOOKUP($C397,REV!$C:$AA,22,0)-'TRADE IN'!$F397=0,"",(VLOOKUP($C397,REV!$C:$AA,22,0)-'TRADE IN'!$F397))</f>
        <v>4999</v>
      </c>
      <c r="Y397" s="46">
        <f>IF(VLOOKUP($C397,REV!$C:$AA,23,0)-'TRADE IN'!$F397=0,"",(VLOOKUP($C397,REV!$C:$AA,23,0)-'TRADE IN'!$F397))</f>
        <v>4499</v>
      </c>
      <c r="Z397" s="46">
        <f>IF(VLOOKUP($C397,REV!$C:$AA,24,0)-'TRADE IN'!$F397=0,"",(VLOOKUP($C397,REV!$C:$AA,24,0)-'TRADE IN'!$F397))</f>
        <v>4499</v>
      </c>
      <c r="AA397" s="46">
        <f>IF(VLOOKUP($C397,REV!$C:$AA,25,0)-'TRADE IN'!$F397=0,"",(VLOOKUP($C397,REV!$C:$AA,25,0)-'TRADE IN'!$F397))</f>
        <v>4499</v>
      </c>
      <c r="AB397" s="45"/>
      <c r="AC397" s="45"/>
      <c r="AD397" s="45"/>
      <c r="AE397" s="45"/>
      <c r="AF397" s="45"/>
      <c r="AG397" s="45"/>
      <c r="AH397" s="45"/>
      <c r="AI397" s="45"/>
      <c r="AJ397" s="45"/>
      <c r="AK397" s="45"/>
      <c r="AL397" s="45"/>
      <c r="AM397" s="45"/>
      <c r="AN397" s="45"/>
      <c r="AO397" s="45"/>
      <c r="AP397" s="45"/>
      <c r="AQ397" s="45"/>
      <c r="AR397" s="45"/>
      <c r="AS397" s="45"/>
      <c r="AT397" s="45"/>
      <c r="AU397" s="45"/>
      <c r="AV397" s="47"/>
      <c r="AW397" s="48" t="str">
        <f>REV!AW397</f>
        <v>13.08.2026</v>
      </c>
      <c r="AX397" s="149" t="s">
        <v>68</v>
      </c>
    </row>
    <row r="398" spans="1:50" ht="22.5" customHeight="1">
      <c r="A398" s="41" t="s">
        <v>63</v>
      </c>
      <c r="B398" s="42" t="s">
        <v>64</v>
      </c>
      <c r="C398" s="43">
        <v>4016894</v>
      </c>
      <c r="D398" s="56" t="s">
        <v>580</v>
      </c>
      <c r="E398" s="56" t="s">
        <v>583</v>
      </c>
      <c r="F398" s="45">
        <v>500</v>
      </c>
      <c r="G398" s="45"/>
      <c r="H398" s="45"/>
      <c r="I398" s="45"/>
      <c r="J398" s="46">
        <f>IF(VLOOKUP($C398,REV!$C:$AA,8,0)-'TRADE IN'!$F398=0,"",(VLOOKUP($C398,REV!$C:$AA,8,0)-'TRADE IN'!$F398))</f>
        <v>5799</v>
      </c>
      <c r="K398" s="46">
        <f>IF(VLOOKUP($C398,REV!$C:$AA,9,0)-'TRADE IN'!$F398=0,"",(VLOOKUP($C398,REV!$C:$AA,9,0)-'TRADE IN'!$F398))</f>
        <v>5799</v>
      </c>
      <c r="L398" s="46">
        <f>IF(VLOOKUP($C398,REV!$C:$AA,10,0)-'TRADE IN'!$F398=0,"",(VLOOKUP($C398,REV!$C:$AA,10,0)-'TRADE IN'!$F398))</f>
        <v>5799</v>
      </c>
      <c r="M398" s="46">
        <f>IF(VLOOKUP($C398,REV!$C:$AA,11,0)-'TRADE IN'!$F398=0,"",(VLOOKUP($C398,REV!$C:$AA,11,0)-'TRADE IN'!$F398))</f>
        <v>5799</v>
      </c>
      <c r="N398" s="46">
        <f>IF(VLOOKUP($C398,REV!$C:$AA,12,0)-'TRADE IN'!$F398=0,"",(VLOOKUP($C398,REV!$C:$AA,12,0)-'TRADE IN'!$F398))</f>
        <v>5799</v>
      </c>
      <c r="O398" s="46">
        <f>IF(VLOOKUP($C398,REV!$C:$AA,13,0)-'TRADE IN'!$F398=0,"",(VLOOKUP($C398,REV!$C:$AA,13,0)-'TRADE IN'!$F398))</f>
        <v>5699</v>
      </c>
      <c r="P398" s="46">
        <f>IF(VLOOKUP($C398,REV!$C:$AA,14,0)-'TRADE IN'!$F398=0,"",(VLOOKUP($C398,REV!$C:$AA,14,0)-'TRADE IN'!$F398))</f>
        <v>5599</v>
      </c>
      <c r="Q398" s="46">
        <f>IF(VLOOKUP($C398,REV!$C:$AA,15,0)-'TRADE IN'!$F398=0,"",(VLOOKUP($C398,REV!$C:$AA,15,0)-'TRADE IN'!$F398))</f>
        <v>5299</v>
      </c>
      <c r="R398" s="46">
        <f>IF(VLOOKUP($C398,REV!$C:$AA,16,0)-'TRADE IN'!$F398=0,"",(VLOOKUP($C398,REV!$C:$AA,16,0)-'TRADE IN'!$F398))</f>
        <v>5699</v>
      </c>
      <c r="S398" s="46">
        <f>IF(VLOOKUP($C398,REV!$C:$AA,17,0)-'TRADE IN'!$F398=0,"",(VLOOKUP($C398,REV!$C:$AA,17,0)-'TRADE IN'!$F398))</f>
        <v>5599</v>
      </c>
      <c r="T398" s="46">
        <f>IF(VLOOKUP($C398,REV!$C:$AA,18,0)-'TRADE IN'!$F398=0,"",(VLOOKUP($C398,REV!$C:$AA,18,0)-'TRADE IN'!$F398))</f>
        <v>5299</v>
      </c>
      <c r="U398" s="46">
        <f>IF(VLOOKUP($C398,REV!$C:$AA,19,0)-'TRADE IN'!$F398=0,"",(VLOOKUP($C398,REV!$C:$AA,19,0)-'TRADE IN'!$F398))</f>
        <v>5299</v>
      </c>
      <c r="V398" s="46">
        <f>IF(VLOOKUP($C398,REV!$C:$AA,20,0)-'TRADE IN'!$F398=0,"",(VLOOKUP($C398,REV!$C:$AA,20,0)-'TRADE IN'!$F398))</f>
        <v>5299</v>
      </c>
      <c r="W398" s="46">
        <f>IF(VLOOKUP($C398,REV!$C:$AA,21,0)-'TRADE IN'!$F398=0,"",(VLOOKUP($C398,REV!$C:$AA,21,0)-'TRADE IN'!$F398))</f>
        <v>5299</v>
      </c>
      <c r="X398" s="46">
        <f>IF(VLOOKUP($C398,REV!$C:$AA,22,0)-'TRADE IN'!$F398=0,"",(VLOOKUP($C398,REV!$C:$AA,22,0)-'TRADE IN'!$F398))</f>
        <v>4999</v>
      </c>
      <c r="Y398" s="46">
        <f>IF(VLOOKUP($C398,REV!$C:$AA,23,0)-'TRADE IN'!$F398=0,"",(VLOOKUP($C398,REV!$C:$AA,23,0)-'TRADE IN'!$F398))</f>
        <v>4499</v>
      </c>
      <c r="Z398" s="46">
        <f>IF(VLOOKUP($C398,REV!$C:$AA,24,0)-'TRADE IN'!$F398=0,"",(VLOOKUP($C398,REV!$C:$AA,24,0)-'TRADE IN'!$F398))</f>
        <v>4499</v>
      </c>
      <c r="AA398" s="46">
        <f>IF(VLOOKUP($C398,REV!$C:$AA,25,0)-'TRADE IN'!$F398=0,"",(VLOOKUP($C398,REV!$C:$AA,25,0)-'TRADE IN'!$F398))</f>
        <v>4499</v>
      </c>
      <c r="AB398" s="45"/>
      <c r="AC398" s="45"/>
      <c r="AD398" s="45"/>
      <c r="AE398" s="45"/>
      <c r="AF398" s="45"/>
      <c r="AG398" s="45"/>
      <c r="AH398" s="45"/>
      <c r="AI398" s="45"/>
      <c r="AJ398" s="45"/>
      <c r="AK398" s="45"/>
      <c r="AL398" s="45"/>
      <c r="AM398" s="45"/>
      <c r="AN398" s="45"/>
      <c r="AO398" s="45"/>
      <c r="AP398" s="45"/>
      <c r="AQ398" s="45"/>
      <c r="AR398" s="45"/>
      <c r="AS398" s="45"/>
      <c r="AT398" s="45"/>
      <c r="AU398" s="45"/>
      <c r="AV398" s="47"/>
      <c r="AW398" s="48" t="str">
        <f>REV!AW398</f>
        <v>13.08.2026</v>
      </c>
      <c r="AX398" s="149" t="s">
        <v>68</v>
      </c>
    </row>
    <row r="399" spans="1:50" ht="22.5" customHeight="1">
      <c r="A399" s="41" t="s">
        <v>63</v>
      </c>
      <c r="B399" s="42" t="s">
        <v>64</v>
      </c>
      <c r="C399" s="43">
        <v>4016875</v>
      </c>
      <c r="D399" s="57" t="s">
        <v>584</v>
      </c>
      <c r="E399" s="56" t="s">
        <v>585</v>
      </c>
      <c r="F399" s="54">
        <v>1000</v>
      </c>
      <c r="G399" s="45"/>
      <c r="H399" s="45"/>
      <c r="I399" s="45"/>
      <c r="J399" s="46">
        <f>IF(VLOOKUP($C399,REV!$C:$AA,8,0)-'TRADE IN'!$F399=0,"",(VLOOKUP($C399,REV!$C:$AA,8,0)-'TRADE IN'!$F399))</f>
        <v>5999</v>
      </c>
      <c r="K399" s="46">
        <f>IF(VLOOKUP($C399,REV!$C:$AA,9,0)-'TRADE IN'!$F399=0,"",(VLOOKUP($C399,REV!$C:$AA,9,0)-'TRADE IN'!$F399))</f>
        <v>5999</v>
      </c>
      <c r="L399" s="46">
        <f>IF(VLOOKUP($C399,REV!$C:$AA,10,0)-'TRADE IN'!$F399=0,"",(VLOOKUP($C399,REV!$C:$AA,10,0)-'TRADE IN'!$F399))</f>
        <v>5999</v>
      </c>
      <c r="M399" s="46">
        <f>IF(VLOOKUP($C399,REV!$C:$AA,11,0)-'TRADE IN'!$F399=0,"",(VLOOKUP($C399,REV!$C:$AA,11,0)-'TRADE IN'!$F399))</f>
        <v>5999</v>
      </c>
      <c r="N399" s="46">
        <f>IF(VLOOKUP($C399,REV!$C:$AA,12,0)-'TRADE IN'!$F399=0,"",(VLOOKUP($C399,REV!$C:$AA,12,0)-'TRADE IN'!$F399))</f>
        <v>5999</v>
      </c>
      <c r="O399" s="46">
        <f>IF(VLOOKUP($C399,REV!$C:$AA,13,0)-'TRADE IN'!$F399=0,"",(VLOOKUP($C399,REV!$C:$AA,13,0)-'TRADE IN'!$F399))</f>
        <v>5899</v>
      </c>
      <c r="P399" s="46">
        <f>IF(VLOOKUP($C399,REV!$C:$AA,14,0)-'TRADE IN'!$F399=0,"",(VLOOKUP($C399,REV!$C:$AA,14,0)-'TRADE IN'!$F399))</f>
        <v>5799</v>
      </c>
      <c r="Q399" s="46">
        <f>IF(VLOOKUP($C399,REV!$C:$AA,15,0)-'TRADE IN'!$F399=0,"",(VLOOKUP($C399,REV!$C:$AA,15,0)-'TRADE IN'!$F399))</f>
        <v>4999</v>
      </c>
      <c r="R399" s="46">
        <f>IF(VLOOKUP($C399,REV!$C:$AA,16,0)-'TRADE IN'!$F399=0,"",(VLOOKUP($C399,REV!$C:$AA,16,0)-'TRADE IN'!$F399))</f>
        <v>5899</v>
      </c>
      <c r="S399" s="46">
        <f>IF(VLOOKUP($C399,REV!$C:$AA,17,0)-'TRADE IN'!$F399=0,"",(VLOOKUP($C399,REV!$C:$AA,17,0)-'TRADE IN'!$F399))</f>
        <v>5799</v>
      </c>
      <c r="T399" s="46">
        <f>IF(VLOOKUP($C399,REV!$C:$AA,18,0)-'TRADE IN'!$F399=0,"",(VLOOKUP($C399,REV!$C:$AA,18,0)-'TRADE IN'!$F399))</f>
        <v>4999</v>
      </c>
      <c r="U399" s="46">
        <f>IF(VLOOKUP($C399,REV!$C:$AA,19,0)-'TRADE IN'!$F399=0,"",(VLOOKUP($C399,REV!$C:$AA,19,0)-'TRADE IN'!$F399))</f>
        <v>4999</v>
      </c>
      <c r="V399" s="46">
        <f>IF(VLOOKUP($C399,REV!$C:$AA,20,0)-'TRADE IN'!$F399=0,"",(VLOOKUP($C399,REV!$C:$AA,20,0)-'TRADE IN'!$F399))</f>
        <v>4999</v>
      </c>
      <c r="W399" s="46">
        <f>IF(VLOOKUP($C399,REV!$C:$AA,21,0)-'TRADE IN'!$F399=0,"",(VLOOKUP($C399,REV!$C:$AA,21,0)-'TRADE IN'!$F399))</f>
        <v>4999</v>
      </c>
      <c r="X399" s="46">
        <f>IF(VLOOKUP($C399,REV!$C:$AA,22,0)-'TRADE IN'!$F399=0,"",(VLOOKUP($C399,REV!$C:$AA,22,0)-'TRADE IN'!$F399))</f>
        <v>4899</v>
      </c>
      <c r="Y399" s="46">
        <f>IF(VLOOKUP($C399,REV!$C:$AA,23,0)-'TRADE IN'!$F399=0,"",(VLOOKUP($C399,REV!$C:$AA,23,0)-'TRADE IN'!$F399))</f>
        <v>3799</v>
      </c>
      <c r="Z399" s="46">
        <f>IF(VLOOKUP($C399,REV!$C:$AA,24,0)-'TRADE IN'!$F399=0,"",(VLOOKUP($C399,REV!$C:$AA,24,0)-'TRADE IN'!$F399))</f>
        <v>3799</v>
      </c>
      <c r="AA399" s="46">
        <f>IF(VLOOKUP($C399,REV!$C:$AA,25,0)-'TRADE IN'!$F399=0,"",(VLOOKUP($C399,REV!$C:$AA,25,0)-'TRADE IN'!$F399))</f>
        <v>3499</v>
      </c>
      <c r="AB399" s="45">
        <f>IF(VLOOKUP($C399,REV!$C:$AL,27,0)-'TRADE IN'!$F399=0,"",(VLOOKUP($C399,REV!$C:$AL,27,0)-'TRADE IN'!$F399))</f>
        <v>5999</v>
      </c>
      <c r="AC399" s="45">
        <f>IF(VLOOKUP($C399,REV!$C:$AL,28,0)-'TRADE IN'!$F399=0,"",(VLOOKUP($C399,REV!$C:$AL,28,0)-'TRADE IN'!$F399))</f>
        <v>5999</v>
      </c>
      <c r="AD399" s="45">
        <f>IF(VLOOKUP($C399,REV!$C:$AL,29,0)-'TRADE IN'!$F399=0,"",(VLOOKUP($C399,REV!$C:$AL,29,0)-'TRADE IN'!$F399))</f>
        <v>5899</v>
      </c>
      <c r="AE399" s="45">
        <f>IF(VLOOKUP($C399,REV!$C:$AL,30,0)-'TRADE IN'!$F399=0,"",(VLOOKUP($C399,REV!$C:$AL,30,0)-'TRADE IN'!$F399))</f>
        <v>5799</v>
      </c>
      <c r="AF399" s="45">
        <f>IF(VLOOKUP($C399,REV!$C:$AL,31,0)-'TRADE IN'!$F399=0,"",(VLOOKUP($C399,REV!$C:$AL,31,0)-'TRADE IN'!$F399))</f>
        <v>5799</v>
      </c>
      <c r="AG399" s="45">
        <f>IF(VLOOKUP($C399,REV!$C:$AL,31,0)-'TRADE IN'!$F399=0,"",(VLOOKUP($C399,REV!$C:$AL,31,0)-'TRADE IN'!$F399))</f>
        <v>5799</v>
      </c>
      <c r="AH399" s="45">
        <f>IF(VLOOKUP($C399,REV!$C:$AL,32,0)-'TRADE IN'!$F399=0,"",(VLOOKUP($C399,REV!$C:$AL,32,0)-'TRADE IN'!$F399))</f>
        <v>4999</v>
      </c>
      <c r="AI399" s="45">
        <f>IF(VLOOKUP($C399,REV!$C:$AL,33,0)-'TRADE IN'!$F399=0,"",(VLOOKUP($C399,REV!$C:$AL,33,0)-'TRADE IN'!$F399))</f>
        <v>4999</v>
      </c>
      <c r="AJ399" s="45">
        <f>IF(VLOOKUP($C399,REV!$C:$AL,34,0)-'TRADE IN'!$F399=0,"",(VLOOKUP($C399,REV!$C:$AL,34,0)-'TRADE IN'!$F399))</f>
        <v>4999</v>
      </c>
      <c r="AK399" s="45">
        <f>IF(VLOOKUP($C399,REV!$C:$AL,35,0)-'TRADE IN'!$F399=0,"",(VLOOKUP($C399,REV!$C:$AL,35,0)-'TRADE IN'!$F399))</f>
        <v>4999</v>
      </c>
      <c r="AL399" s="45">
        <f>IF(VLOOKUP($C399,REV!$C:$AL,36,0)-'TRADE IN'!$F399=0,"",(VLOOKUP($C399,REV!$C:$AL,36,0)-'TRADE IN'!$F399))</f>
        <v>3799</v>
      </c>
      <c r="AM399" s="45"/>
      <c r="AN399" s="45"/>
      <c r="AO399" s="45"/>
      <c r="AP399" s="45"/>
      <c r="AQ399" s="45"/>
      <c r="AR399" s="45"/>
      <c r="AS399" s="45"/>
      <c r="AT399" s="45"/>
      <c r="AU399" s="45"/>
      <c r="AV399" s="47"/>
      <c r="AW399" s="48" t="str">
        <f>REV!AW399</f>
        <v>13.08.2026</v>
      </c>
      <c r="AX399" s="149" t="s">
        <v>68</v>
      </c>
    </row>
    <row r="400" spans="1:50" ht="22.5" customHeight="1">
      <c r="A400" s="41" t="s">
        <v>63</v>
      </c>
      <c r="B400" s="42" t="s">
        <v>64</v>
      </c>
      <c r="C400" s="43">
        <v>4016859</v>
      </c>
      <c r="D400" s="57" t="s">
        <v>584</v>
      </c>
      <c r="E400" s="56" t="s">
        <v>586</v>
      </c>
      <c r="F400" s="54">
        <v>1000</v>
      </c>
      <c r="G400" s="45"/>
      <c r="H400" s="45"/>
      <c r="I400" s="45"/>
      <c r="J400" s="46">
        <f>IF(VLOOKUP($C400,REV!$C:$AA,8,0)-'TRADE IN'!$F400=0,"",(VLOOKUP($C400,REV!$C:$AA,8,0)-'TRADE IN'!$F400))</f>
        <v>5999</v>
      </c>
      <c r="K400" s="46">
        <f>IF(VLOOKUP($C400,REV!$C:$AA,9,0)-'TRADE IN'!$F400=0,"",(VLOOKUP($C400,REV!$C:$AA,9,0)-'TRADE IN'!$F400))</f>
        <v>5999</v>
      </c>
      <c r="L400" s="46">
        <f>IF(VLOOKUP($C400,REV!$C:$AA,10,0)-'TRADE IN'!$F400=0,"",(VLOOKUP($C400,REV!$C:$AA,10,0)-'TRADE IN'!$F400))</f>
        <v>5999</v>
      </c>
      <c r="M400" s="46">
        <f>IF(VLOOKUP($C400,REV!$C:$AA,11,0)-'TRADE IN'!$F400=0,"",(VLOOKUP($C400,REV!$C:$AA,11,0)-'TRADE IN'!$F400))</f>
        <v>5999</v>
      </c>
      <c r="N400" s="46">
        <f>IF(VLOOKUP($C400,REV!$C:$AA,12,0)-'TRADE IN'!$F400=0,"",(VLOOKUP($C400,REV!$C:$AA,12,0)-'TRADE IN'!$F400))</f>
        <v>5999</v>
      </c>
      <c r="O400" s="46">
        <f>IF(VLOOKUP($C400,REV!$C:$AA,13,0)-'TRADE IN'!$F400=0,"",(VLOOKUP($C400,REV!$C:$AA,13,0)-'TRADE IN'!$F400))</f>
        <v>5899</v>
      </c>
      <c r="P400" s="46">
        <f>IF(VLOOKUP($C400,REV!$C:$AA,14,0)-'TRADE IN'!$F400=0,"",(VLOOKUP($C400,REV!$C:$AA,14,0)-'TRADE IN'!$F400))</f>
        <v>5799</v>
      </c>
      <c r="Q400" s="46">
        <f>IF(VLOOKUP($C400,REV!$C:$AA,15,0)-'TRADE IN'!$F400=0,"",(VLOOKUP($C400,REV!$C:$AA,15,0)-'TRADE IN'!$F400))</f>
        <v>4999</v>
      </c>
      <c r="R400" s="46">
        <f>IF(VLOOKUP($C400,REV!$C:$AA,16,0)-'TRADE IN'!$F400=0,"",(VLOOKUP($C400,REV!$C:$AA,16,0)-'TRADE IN'!$F400))</f>
        <v>5899</v>
      </c>
      <c r="S400" s="46">
        <f>IF(VLOOKUP($C400,REV!$C:$AA,17,0)-'TRADE IN'!$F400=0,"",(VLOOKUP($C400,REV!$C:$AA,17,0)-'TRADE IN'!$F400))</f>
        <v>5799</v>
      </c>
      <c r="T400" s="46">
        <f>IF(VLOOKUP($C400,REV!$C:$AA,18,0)-'TRADE IN'!$F400=0,"",(VLOOKUP($C400,REV!$C:$AA,18,0)-'TRADE IN'!$F400))</f>
        <v>4999</v>
      </c>
      <c r="U400" s="46">
        <f>IF(VLOOKUP($C400,REV!$C:$AA,19,0)-'TRADE IN'!$F400=0,"",(VLOOKUP($C400,REV!$C:$AA,19,0)-'TRADE IN'!$F400))</f>
        <v>4999</v>
      </c>
      <c r="V400" s="46">
        <f>IF(VLOOKUP($C400,REV!$C:$AA,20,0)-'TRADE IN'!$F400=0,"",(VLOOKUP($C400,REV!$C:$AA,20,0)-'TRADE IN'!$F400))</f>
        <v>4999</v>
      </c>
      <c r="W400" s="46">
        <f>IF(VLOOKUP($C400,REV!$C:$AA,21,0)-'TRADE IN'!$F400=0,"",(VLOOKUP($C400,REV!$C:$AA,21,0)-'TRADE IN'!$F400))</f>
        <v>4999</v>
      </c>
      <c r="X400" s="46">
        <f>IF(VLOOKUP($C400,REV!$C:$AA,22,0)-'TRADE IN'!$F400=0,"",(VLOOKUP($C400,REV!$C:$AA,22,0)-'TRADE IN'!$F400))</f>
        <v>4899</v>
      </c>
      <c r="Y400" s="46">
        <f>IF(VLOOKUP($C400,REV!$C:$AA,23,0)-'TRADE IN'!$F400=0,"",(VLOOKUP($C400,REV!$C:$AA,23,0)-'TRADE IN'!$F400))</f>
        <v>3799</v>
      </c>
      <c r="Z400" s="46">
        <f>IF(VLOOKUP($C400,REV!$C:$AA,24,0)-'TRADE IN'!$F400=0,"",(VLOOKUP($C400,REV!$C:$AA,24,0)-'TRADE IN'!$F400))</f>
        <v>3799</v>
      </c>
      <c r="AA400" s="46">
        <f>IF(VLOOKUP($C400,REV!$C:$AA,25,0)-'TRADE IN'!$F400=0,"",(VLOOKUP($C400,REV!$C:$AA,25,0)-'TRADE IN'!$F400))</f>
        <v>3499</v>
      </c>
      <c r="AB400" s="45">
        <f>IF(VLOOKUP($C400,REV!$C:$AL,27,0)-'TRADE IN'!$F400=0,"",(VLOOKUP($C400,REV!$C:$AL,27,0)-'TRADE IN'!$F400))</f>
        <v>5999</v>
      </c>
      <c r="AC400" s="45">
        <f>IF(VLOOKUP($C400,REV!$C:$AL,28,0)-'TRADE IN'!$F400=0,"",(VLOOKUP($C400,REV!$C:$AL,28,0)-'TRADE IN'!$F400))</f>
        <v>5999</v>
      </c>
      <c r="AD400" s="45">
        <f>IF(VLOOKUP($C400,REV!$C:$AL,29,0)-'TRADE IN'!$F400=0,"",(VLOOKUP($C400,REV!$C:$AL,29,0)-'TRADE IN'!$F400))</f>
        <v>5899</v>
      </c>
      <c r="AE400" s="45">
        <f>IF(VLOOKUP($C400,REV!$C:$AL,30,0)-'TRADE IN'!$F400=0,"",(VLOOKUP($C400,REV!$C:$AL,30,0)-'TRADE IN'!$F400))</f>
        <v>5799</v>
      </c>
      <c r="AF400" s="45">
        <f>IF(VLOOKUP($C400,REV!$C:$AL,31,0)-'TRADE IN'!$F400=0,"",(VLOOKUP($C400,REV!$C:$AL,31,0)-'TRADE IN'!$F400))</f>
        <v>5799</v>
      </c>
      <c r="AG400" s="45">
        <f>IF(VLOOKUP($C400,REV!$C:$AL,31,0)-'TRADE IN'!$F400=0,"",(VLOOKUP($C400,REV!$C:$AL,31,0)-'TRADE IN'!$F400))</f>
        <v>5799</v>
      </c>
      <c r="AH400" s="45">
        <f>IF(VLOOKUP($C400,REV!$C:$AL,32,0)-'TRADE IN'!$F400=0,"",(VLOOKUP($C400,REV!$C:$AL,32,0)-'TRADE IN'!$F400))</f>
        <v>4999</v>
      </c>
      <c r="AI400" s="45">
        <f>IF(VLOOKUP($C400,REV!$C:$AL,33,0)-'TRADE IN'!$F400=0,"",(VLOOKUP($C400,REV!$C:$AL,33,0)-'TRADE IN'!$F400))</f>
        <v>4999</v>
      </c>
      <c r="AJ400" s="45">
        <f>IF(VLOOKUP($C400,REV!$C:$AL,34,0)-'TRADE IN'!$F400=0,"",(VLOOKUP($C400,REV!$C:$AL,34,0)-'TRADE IN'!$F400))</f>
        <v>4999</v>
      </c>
      <c r="AK400" s="45">
        <f>IF(VLOOKUP($C400,REV!$C:$AL,35,0)-'TRADE IN'!$F400=0,"",(VLOOKUP($C400,REV!$C:$AL,35,0)-'TRADE IN'!$F400))</f>
        <v>4999</v>
      </c>
      <c r="AL400" s="45">
        <f>IF(VLOOKUP($C400,REV!$C:$AL,36,0)-'TRADE IN'!$F400=0,"",(VLOOKUP($C400,REV!$C:$AL,36,0)-'TRADE IN'!$F400))</f>
        <v>3799</v>
      </c>
      <c r="AM400" s="45"/>
      <c r="AN400" s="45"/>
      <c r="AO400" s="45"/>
      <c r="AP400" s="45"/>
      <c r="AQ400" s="45"/>
      <c r="AR400" s="45"/>
      <c r="AS400" s="45"/>
      <c r="AT400" s="45"/>
      <c r="AU400" s="45"/>
      <c r="AV400" s="47"/>
      <c r="AW400" s="48" t="str">
        <f>REV!AW400</f>
        <v>13.08.2026</v>
      </c>
      <c r="AX400" s="149" t="s">
        <v>68</v>
      </c>
    </row>
    <row r="401" spans="1:50" ht="22.5" customHeight="1">
      <c r="A401" s="41" t="s">
        <v>63</v>
      </c>
      <c r="B401" s="42" t="s">
        <v>64</v>
      </c>
      <c r="C401" s="43">
        <v>4016852</v>
      </c>
      <c r="D401" s="57" t="s">
        <v>584</v>
      </c>
      <c r="E401" s="56" t="s">
        <v>587</v>
      </c>
      <c r="F401" s="54">
        <v>1000</v>
      </c>
      <c r="G401" s="45"/>
      <c r="H401" s="45"/>
      <c r="I401" s="45"/>
      <c r="J401" s="46">
        <f>IF(VLOOKUP($C401,REV!$C:$AA,8,0)-'TRADE IN'!$F401=0,"",(VLOOKUP($C401,REV!$C:$AA,8,0)-'TRADE IN'!$F401))</f>
        <v>5999</v>
      </c>
      <c r="K401" s="46">
        <f>IF(VLOOKUP($C401,REV!$C:$AA,9,0)-'TRADE IN'!$F401=0,"",(VLOOKUP($C401,REV!$C:$AA,9,0)-'TRADE IN'!$F401))</f>
        <v>5999</v>
      </c>
      <c r="L401" s="46">
        <f>IF(VLOOKUP($C401,REV!$C:$AA,10,0)-'TRADE IN'!$F401=0,"",(VLOOKUP($C401,REV!$C:$AA,10,0)-'TRADE IN'!$F401))</f>
        <v>5999</v>
      </c>
      <c r="M401" s="46">
        <f>IF(VLOOKUP($C401,REV!$C:$AA,11,0)-'TRADE IN'!$F401=0,"",(VLOOKUP($C401,REV!$C:$AA,11,0)-'TRADE IN'!$F401))</f>
        <v>5999</v>
      </c>
      <c r="N401" s="46">
        <f>IF(VLOOKUP($C401,REV!$C:$AA,12,0)-'TRADE IN'!$F401=0,"",(VLOOKUP($C401,REV!$C:$AA,12,0)-'TRADE IN'!$F401))</f>
        <v>5999</v>
      </c>
      <c r="O401" s="46">
        <f>IF(VLOOKUP($C401,REV!$C:$AA,13,0)-'TRADE IN'!$F401=0,"",(VLOOKUP($C401,REV!$C:$AA,13,0)-'TRADE IN'!$F401))</f>
        <v>5899</v>
      </c>
      <c r="P401" s="46">
        <f>IF(VLOOKUP($C401,REV!$C:$AA,14,0)-'TRADE IN'!$F401=0,"",(VLOOKUP($C401,REV!$C:$AA,14,0)-'TRADE IN'!$F401))</f>
        <v>5799</v>
      </c>
      <c r="Q401" s="46">
        <f>IF(VLOOKUP($C401,REV!$C:$AA,15,0)-'TRADE IN'!$F401=0,"",(VLOOKUP($C401,REV!$C:$AA,15,0)-'TRADE IN'!$F401))</f>
        <v>4999</v>
      </c>
      <c r="R401" s="46">
        <f>IF(VLOOKUP($C401,REV!$C:$AA,16,0)-'TRADE IN'!$F401=0,"",(VLOOKUP($C401,REV!$C:$AA,16,0)-'TRADE IN'!$F401))</f>
        <v>5899</v>
      </c>
      <c r="S401" s="46">
        <f>IF(VLOOKUP($C401,REV!$C:$AA,17,0)-'TRADE IN'!$F401=0,"",(VLOOKUP($C401,REV!$C:$AA,17,0)-'TRADE IN'!$F401))</f>
        <v>5799</v>
      </c>
      <c r="T401" s="46">
        <f>IF(VLOOKUP($C401,REV!$C:$AA,18,0)-'TRADE IN'!$F401=0,"",(VLOOKUP($C401,REV!$C:$AA,18,0)-'TRADE IN'!$F401))</f>
        <v>4999</v>
      </c>
      <c r="U401" s="46">
        <f>IF(VLOOKUP($C401,REV!$C:$AA,19,0)-'TRADE IN'!$F401=0,"",(VLOOKUP($C401,REV!$C:$AA,19,0)-'TRADE IN'!$F401))</f>
        <v>4999</v>
      </c>
      <c r="V401" s="46">
        <f>IF(VLOOKUP($C401,REV!$C:$AA,20,0)-'TRADE IN'!$F401=0,"",(VLOOKUP($C401,REV!$C:$AA,20,0)-'TRADE IN'!$F401))</f>
        <v>4999</v>
      </c>
      <c r="W401" s="46">
        <f>IF(VLOOKUP($C401,REV!$C:$AA,21,0)-'TRADE IN'!$F401=0,"",(VLOOKUP($C401,REV!$C:$AA,21,0)-'TRADE IN'!$F401))</f>
        <v>4999</v>
      </c>
      <c r="X401" s="46">
        <f>IF(VLOOKUP($C401,REV!$C:$AA,22,0)-'TRADE IN'!$F401=0,"",(VLOOKUP($C401,REV!$C:$AA,22,0)-'TRADE IN'!$F401))</f>
        <v>4899</v>
      </c>
      <c r="Y401" s="46">
        <f>IF(VLOOKUP($C401,REV!$C:$AA,23,0)-'TRADE IN'!$F401=0,"",(VLOOKUP($C401,REV!$C:$AA,23,0)-'TRADE IN'!$F401))</f>
        <v>3799</v>
      </c>
      <c r="Z401" s="46">
        <f>IF(VLOOKUP($C401,REV!$C:$AA,24,0)-'TRADE IN'!$F401=0,"",(VLOOKUP($C401,REV!$C:$AA,24,0)-'TRADE IN'!$F401))</f>
        <v>3799</v>
      </c>
      <c r="AA401" s="46">
        <f>IF(VLOOKUP($C401,REV!$C:$AA,25,0)-'TRADE IN'!$F401=0,"",(VLOOKUP($C401,REV!$C:$AA,25,0)-'TRADE IN'!$F401))</f>
        <v>3499</v>
      </c>
      <c r="AB401" s="45">
        <f>IF(VLOOKUP($C401,REV!$C:$AL,27,0)-'TRADE IN'!$F401=0,"",(VLOOKUP($C401,REV!$C:$AL,27,0)-'TRADE IN'!$F401))</f>
        <v>5999</v>
      </c>
      <c r="AC401" s="45">
        <f>IF(VLOOKUP($C401,REV!$C:$AL,28,0)-'TRADE IN'!$F401=0,"",(VLOOKUP($C401,REV!$C:$AL,28,0)-'TRADE IN'!$F401))</f>
        <v>5999</v>
      </c>
      <c r="AD401" s="45">
        <f>IF(VLOOKUP($C401,REV!$C:$AL,29,0)-'TRADE IN'!$F401=0,"",(VLOOKUP($C401,REV!$C:$AL,29,0)-'TRADE IN'!$F401))</f>
        <v>5899</v>
      </c>
      <c r="AE401" s="45">
        <f>IF(VLOOKUP($C401,REV!$C:$AL,30,0)-'TRADE IN'!$F401=0,"",(VLOOKUP($C401,REV!$C:$AL,30,0)-'TRADE IN'!$F401))</f>
        <v>5799</v>
      </c>
      <c r="AF401" s="45">
        <f>IF(VLOOKUP($C401,REV!$C:$AL,31,0)-'TRADE IN'!$F401=0,"",(VLOOKUP($C401,REV!$C:$AL,31,0)-'TRADE IN'!$F401))</f>
        <v>5799</v>
      </c>
      <c r="AG401" s="45">
        <f>IF(VLOOKUP($C401,REV!$C:$AL,31,0)-'TRADE IN'!$F401=0,"",(VLOOKUP($C401,REV!$C:$AL,31,0)-'TRADE IN'!$F401))</f>
        <v>5799</v>
      </c>
      <c r="AH401" s="45">
        <f>IF(VLOOKUP($C401,REV!$C:$AL,32,0)-'TRADE IN'!$F401=0,"",(VLOOKUP($C401,REV!$C:$AL,32,0)-'TRADE IN'!$F401))</f>
        <v>4999</v>
      </c>
      <c r="AI401" s="45">
        <f>IF(VLOOKUP($C401,REV!$C:$AL,33,0)-'TRADE IN'!$F401=0,"",(VLOOKUP($C401,REV!$C:$AL,33,0)-'TRADE IN'!$F401))</f>
        <v>4999</v>
      </c>
      <c r="AJ401" s="45">
        <f>IF(VLOOKUP($C401,REV!$C:$AL,34,0)-'TRADE IN'!$F401=0,"",(VLOOKUP($C401,REV!$C:$AL,34,0)-'TRADE IN'!$F401))</f>
        <v>4999</v>
      </c>
      <c r="AK401" s="45">
        <f>IF(VLOOKUP($C401,REV!$C:$AL,35,0)-'TRADE IN'!$F401=0,"",(VLOOKUP($C401,REV!$C:$AL,35,0)-'TRADE IN'!$F401))</f>
        <v>4999</v>
      </c>
      <c r="AL401" s="45">
        <f>IF(VLOOKUP($C401,REV!$C:$AL,36,0)-'TRADE IN'!$F401=0,"",(VLOOKUP($C401,REV!$C:$AL,36,0)-'TRADE IN'!$F401))</f>
        <v>3799</v>
      </c>
      <c r="AM401" s="45"/>
      <c r="AN401" s="45"/>
      <c r="AO401" s="45"/>
      <c r="AP401" s="45"/>
      <c r="AQ401" s="45"/>
      <c r="AR401" s="45"/>
      <c r="AS401" s="45"/>
      <c r="AT401" s="45"/>
      <c r="AU401" s="45"/>
      <c r="AV401" s="47"/>
      <c r="AW401" s="48" t="str">
        <f>REV!AW401</f>
        <v>13.08.2026</v>
      </c>
      <c r="AX401" s="149" t="s">
        <v>68</v>
      </c>
    </row>
    <row r="402" spans="1:50" ht="22.5" customHeight="1">
      <c r="A402" s="41" t="s">
        <v>63</v>
      </c>
      <c r="B402" s="42" t="s">
        <v>64</v>
      </c>
      <c r="C402" s="43">
        <v>4016905</v>
      </c>
      <c r="D402" s="57" t="s">
        <v>584</v>
      </c>
      <c r="E402" s="56" t="s">
        <v>588</v>
      </c>
      <c r="F402" s="54">
        <v>1000</v>
      </c>
      <c r="G402" s="45"/>
      <c r="H402" s="45"/>
      <c r="I402" s="45"/>
      <c r="J402" s="46">
        <f>IF(VLOOKUP($C402,REV!$C:$AA,8,0)-'TRADE IN'!$F402=0,"",(VLOOKUP($C402,REV!$C:$AA,8,0)-'TRADE IN'!$F402))</f>
        <v>5999</v>
      </c>
      <c r="K402" s="46">
        <f>IF(VLOOKUP($C402,REV!$C:$AA,9,0)-'TRADE IN'!$F402=0,"",(VLOOKUP($C402,REV!$C:$AA,9,0)-'TRADE IN'!$F402))</f>
        <v>5999</v>
      </c>
      <c r="L402" s="46">
        <f>IF(VLOOKUP($C402,REV!$C:$AA,10,0)-'TRADE IN'!$F402=0,"",(VLOOKUP($C402,REV!$C:$AA,10,0)-'TRADE IN'!$F402))</f>
        <v>5999</v>
      </c>
      <c r="M402" s="46">
        <f>IF(VLOOKUP($C402,REV!$C:$AA,11,0)-'TRADE IN'!$F402=0,"",(VLOOKUP($C402,REV!$C:$AA,11,0)-'TRADE IN'!$F402))</f>
        <v>5999</v>
      </c>
      <c r="N402" s="46">
        <f>IF(VLOOKUP($C402,REV!$C:$AA,12,0)-'TRADE IN'!$F402=0,"",(VLOOKUP($C402,REV!$C:$AA,12,0)-'TRADE IN'!$F402))</f>
        <v>5999</v>
      </c>
      <c r="O402" s="46">
        <f>IF(VLOOKUP($C402,REV!$C:$AA,13,0)-'TRADE IN'!$F402=0,"",(VLOOKUP($C402,REV!$C:$AA,13,0)-'TRADE IN'!$F402))</f>
        <v>5899</v>
      </c>
      <c r="P402" s="46">
        <f>IF(VLOOKUP($C402,REV!$C:$AA,14,0)-'TRADE IN'!$F402=0,"",(VLOOKUP($C402,REV!$C:$AA,14,0)-'TRADE IN'!$F402))</f>
        <v>5799</v>
      </c>
      <c r="Q402" s="46">
        <f>IF(VLOOKUP($C402,REV!$C:$AA,15,0)-'TRADE IN'!$F402=0,"",(VLOOKUP($C402,REV!$C:$AA,15,0)-'TRADE IN'!$F402))</f>
        <v>4999</v>
      </c>
      <c r="R402" s="46">
        <f>IF(VLOOKUP($C402,REV!$C:$AA,16,0)-'TRADE IN'!$F402=0,"",(VLOOKUP($C402,REV!$C:$AA,16,0)-'TRADE IN'!$F402))</f>
        <v>5899</v>
      </c>
      <c r="S402" s="46">
        <f>IF(VLOOKUP($C402,REV!$C:$AA,17,0)-'TRADE IN'!$F402=0,"",(VLOOKUP($C402,REV!$C:$AA,17,0)-'TRADE IN'!$F402))</f>
        <v>5799</v>
      </c>
      <c r="T402" s="46">
        <f>IF(VLOOKUP($C402,REV!$C:$AA,18,0)-'TRADE IN'!$F402=0,"",(VLOOKUP($C402,REV!$C:$AA,18,0)-'TRADE IN'!$F402))</f>
        <v>4999</v>
      </c>
      <c r="U402" s="46">
        <f>IF(VLOOKUP($C402,REV!$C:$AA,19,0)-'TRADE IN'!$F402=0,"",(VLOOKUP($C402,REV!$C:$AA,19,0)-'TRADE IN'!$F402))</f>
        <v>4999</v>
      </c>
      <c r="V402" s="46">
        <f>IF(VLOOKUP($C402,REV!$C:$AA,20,0)-'TRADE IN'!$F402=0,"",(VLOOKUP($C402,REV!$C:$AA,20,0)-'TRADE IN'!$F402))</f>
        <v>4999</v>
      </c>
      <c r="W402" s="46">
        <f>IF(VLOOKUP($C402,REV!$C:$AA,21,0)-'TRADE IN'!$F402=0,"",(VLOOKUP($C402,REV!$C:$AA,21,0)-'TRADE IN'!$F402))</f>
        <v>4999</v>
      </c>
      <c r="X402" s="46">
        <f>IF(VLOOKUP($C402,REV!$C:$AA,22,0)-'TRADE IN'!$F402=0,"",(VLOOKUP($C402,REV!$C:$AA,22,0)-'TRADE IN'!$F402))</f>
        <v>4899</v>
      </c>
      <c r="Y402" s="46">
        <f>IF(VLOOKUP($C402,REV!$C:$AA,23,0)-'TRADE IN'!$F402=0,"",(VLOOKUP($C402,REV!$C:$AA,23,0)-'TRADE IN'!$F402))</f>
        <v>3799</v>
      </c>
      <c r="Z402" s="46">
        <f>IF(VLOOKUP($C402,REV!$C:$AA,24,0)-'TRADE IN'!$F402=0,"",(VLOOKUP($C402,REV!$C:$AA,24,0)-'TRADE IN'!$F402))</f>
        <v>3799</v>
      </c>
      <c r="AA402" s="46">
        <f>IF(VLOOKUP($C402,REV!$C:$AA,25,0)-'TRADE IN'!$F402=0,"",(VLOOKUP($C402,REV!$C:$AA,25,0)-'TRADE IN'!$F402))</f>
        <v>3499</v>
      </c>
      <c r="AB402" s="45">
        <f>IF(VLOOKUP($C402,REV!$C:$AL,27,0)-'TRADE IN'!$F402=0,"",(VLOOKUP($C402,REV!$C:$AL,27,0)-'TRADE IN'!$F402))</f>
        <v>5999</v>
      </c>
      <c r="AC402" s="45">
        <f>IF(VLOOKUP($C402,REV!$C:$AL,28,0)-'TRADE IN'!$F402=0,"",(VLOOKUP($C402,REV!$C:$AL,28,0)-'TRADE IN'!$F402))</f>
        <v>5999</v>
      </c>
      <c r="AD402" s="45">
        <f>IF(VLOOKUP($C402,REV!$C:$AL,29,0)-'TRADE IN'!$F402=0,"",(VLOOKUP($C402,REV!$C:$AL,29,0)-'TRADE IN'!$F402))</f>
        <v>5899</v>
      </c>
      <c r="AE402" s="45">
        <f>IF(VLOOKUP($C402,REV!$C:$AL,30,0)-'TRADE IN'!$F402=0,"",(VLOOKUP($C402,REV!$C:$AL,30,0)-'TRADE IN'!$F402))</f>
        <v>5799</v>
      </c>
      <c r="AF402" s="45">
        <f>IF(VLOOKUP($C402,REV!$C:$AL,31,0)-'TRADE IN'!$F402=0,"",(VLOOKUP($C402,REV!$C:$AL,31,0)-'TRADE IN'!$F402))</f>
        <v>5799</v>
      </c>
      <c r="AG402" s="45">
        <f>IF(VLOOKUP($C402,REV!$C:$AL,31,0)-'TRADE IN'!$F402=0,"",(VLOOKUP($C402,REV!$C:$AL,31,0)-'TRADE IN'!$F402))</f>
        <v>5799</v>
      </c>
      <c r="AH402" s="45">
        <f>IF(VLOOKUP($C402,REV!$C:$AL,32,0)-'TRADE IN'!$F402=0,"",(VLOOKUP($C402,REV!$C:$AL,32,0)-'TRADE IN'!$F402))</f>
        <v>4999</v>
      </c>
      <c r="AI402" s="45">
        <f>IF(VLOOKUP($C402,REV!$C:$AL,33,0)-'TRADE IN'!$F402=0,"",(VLOOKUP($C402,REV!$C:$AL,33,0)-'TRADE IN'!$F402))</f>
        <v>4999</v>
      </c>
      <c r="AJ402" s="45">
        <f>IF(VLOOKUP($C402,REV!$C:$AL,34,0)-'TRADE IN'!$F402=0,"",(VLOOKUP($C402,REV!$C:$AL,34,0)-'TRADE IN'!$F402))</f>
        <v>4999</v>
      </c>
      <c r="AK402" s="45">
        <f>IF(VLOOKUP($C402,REV!$C:$AL,35,0)-'TRADE IN'!$F402=0,"",(VLOOKUP($C402,REV!$C:$AL,35,0)-'TRADE IN'!$F402))</f>
        <v>4999</v>
      </c>
      <c r="AL402" s="45">
        <f>IF(VLOOKUP($C402,REV!$C:$AL,36,0)-'TRADE IN'!$F402=0,"",(VLOOKUP($C402,REV!$C:$AL,36,0)-'TRADE IN'!$F402))</f>
        <v>3799</v>
      </c>
      <c r="AM402" s="45"/>
      <c r="AN402" s="45"/>
      <c r="AO402" s="45"/>
      <c r="AP402" s="45"/>
      <c r="AQ402" s="45"/>
      <c r="AR402" s="45"/>
      <c r="AS402" s="45"/>
      <c r="AT402" s="45"/>
      <c r="AU402" s="45"/>
      <c r="AV402" s="47"/>
      <c r="AW402" s="48" t="str">
        <f>REV!AW402</f>
        <v>13.08.2026</v>
      </c>
      <c r="AX402" s="149" t="s">
        <v>68</v>
      </c>
    </row>
    <row r="403" spans="1:50" ht="22.5" customHeight="1">
      <c r="A403" s="41" t="s">
        <v>63</v>
      </c>
      <c r="B403" s="42" t="s">
        <v>64</v>
      </c>
      <c r="C403" s="43">
        <v>4016890</v>
      </c>
      <c r="D403" s="57" t="s">
        <v>584</v>
      </c>
      <c r="E403" s="56" t="s">
        <v>589</v>
      </c>
      <c r="F403" s="54">
        <v>1000</v>
      </c>
      <c r="G403" s="45"/>
      <c r="H403" s="45"/>
      <c r="I403" s="45"/>
      <c r="J403" s="46">
        <f>IF(VLOOKUP($C403,REV!$C:$AA,8,0)-'TRADE IN'!$F403=0,"",(VLOOKUP($C403,REV!$C:$AA,8,0)-'TRADE IN'!$F403))</f>
        <v>5999</v>
      </c>
      <c r="K403" s="46">
        <f>IF(VLOOKUP($C403,REV!$C:$AA,9,0)-'TRADE IN'!$F403=0,"",(VLOOKUP($C403,REV!$C:$AA,9,0)-'TRADE IN'!$F403))</f>
        <v>5999</v>
      </c>
      <c r="L403" s="46">
        <f>IF(VLOOKUP($C403,REV!$C:$AA,10,0)-'TRADE IN'!$F403=0,"",(VLOOKUP($C403,REV!$C:$AA,10,0)-'TRADE IN'!$F403))</f>
        <v>5999</v>
      </c>
      <c r="M403" s="46">
        <f>IF(VLOOKUP($C403,REV!$C:$AA,11,0)-'TRADE IN'!$F403=0,"",(VLOOKUP($C403,REV!$C:$AA,11,0)-'TRADE IN'!$F403))</f>
        <v>5999</v>
      </c>
      <c r="N403" s="46">
        <f>IF(VLOOKUP($C403,REV!$C:$AA,12,0)-'TRADE IN'!$F403=0,"",(VLOOKUP($C403,REV!$C:$AA,12,0)-'TRADE IN'!$F403))</f>
        <v>5999</v>
      </c>
      <c r="O403" s="46">
        <f>IF(VLOOKUP($C403,REV!$C:$AA,13,0)-'TRADE IN'!$F403=0,"",(VLOOKUP($C403,REV!$C:$AA,13,0)-'TRADE IN'!$F403))</f>
        <v>5899</v>
      </c>
      <c r="P403" s="46">
        <f>IF(VLOOKUP($C403,REV!$C:$AA,14,0)-'TRADE IN'!$F403=0,"",(VLOOKUP($C403,REV!$C:$AA,14,0)-'TRADE IN'!$F403))</f>
        <v>5799</v>
      </c>
      <c r="Q403" s="46">
        <f>IF(VLOOKUP($C403,REV!$C:$AA,15,0)-'TRADE IN'!$F403=0,"",(VLOOKUP($C403,REV!$C:$AA,15,0)-'TRADE IN'!$F403))</f>
        <v>4999</v>
      </c>
      <c r="R403" s="46">
        <f>IF(VLOOKUP($C403,REV!$C:$AA,16,0)-'TRADE IN'!$F403=0,"",(VLOOKUP($C403,REV!$C:$AA,16,0)-'TRADE IN'!$F403))</f>
        <v>5899</v>
      </c>
      <c r="S403" s="46">
        <f>IF(VLOOKUP($C403,REV!$C:$AA,17,0)-'TRADE IN'!$F403=0,"",(VLOOKUP($C403,REV!$C:$AA,17,0)-'TRADE IN'!$F403))</f>
        <v>5799</v>
      </c>
      <c r="T403" s="46">
        <f>IF(VLOOKUP($C403,REV!$C:$AA,18,0)-'TRADE IN'!$F403=0,"",(VLOOKUP($C403,REV!$C:$AA,18,0)-'TRADE IN'!$F403))</f>
        <v>4999</v>
      </c>
      <c r="U403" s="46">
        <f>IF(VLOOKUP($C403,REV!$C:$AA,19,0)-'TRADE IN'!$F403=0,"",(VLOOKUP($C403,REV!$C:$AA,19,0)-'TRADE IN'!$F403))</f>
        <v>4999</v>
      </c>
      <c r="V403" s="46">
        <f>IF(VLOOKUP($C403,REV!$C:$AA,20,0)-'TRADE IN'!$F403=0,"",(VLOOKUP($C403,REV!$C:$AA,20,0)-'TRADE IN'!$F403))</f>
        <v>4999</v>
      </c>
      <c r="W403" s="46">
        <f>IF(VLOOKUP($C403,REV!$C:$AA,21,0)-'TRADE IN'!$F403=0,"",(VLOOKUP($C403,REV!$C:$AA,21,0)-'TRADE IN'!$F403))</f>
        <v>4999</v>
      </c>
      <c r="X403" s="46">
        <f>IF(VLOOKUP($C403,REV!$C:$AA,22,0)-'TRADE IN'!$F403=0,"",(VLOOKUP($C403,REV!$C:$AA,22,0)-'TRADE IN'!$F403))</f>
        <v>4899</v>
      </c>
      <c r="Y403" s="46">
        <f>IF(VLOOKUP($C403,REV!$C:$AA,23,0)-'TRADE IN'!$F403=0,"",(VLOOKUP($C403,REV!$C:$AA,23,0)-'TRADE IN'!$F403))</f>
        <v>3799</v>
      </c>
      <c r="Z403" s="46">
        <f>IF(VLOOKUP($C403,REV!$C:$AA,24,0)-'TRADE IN'!$F403=0,"",(VLOOKUP($C403,REV!$C:$AA,24,0)-'TRADE IN'!$F403))</f>
        <v>3799</v>
      </c>
      <c r="AA403" s="46">
        <f>IF(VLOOKUP($C403,REV!$C:$AA,25,0)-'TRADE IN'!$F403=0,"",(VLOOKUP($C403,REV!$C:$AA,25,0)-'TRADE IN'!$F403))</f>
        <v>3499</v>
      </c>
      <c r="AB403" s="45">
        <f>IF(VLOOKUP($C403,REV!$C:$AL,27,0)-'TRADE IN'!$F403=0,"",(VLOOKUP($C403,REV!$C:$AL,27,0)-'TRADE IN'!$F403))</f>
        <v>5999</v>
      </c>
      <c r="AC403" s="45">
        <f>IF(VLOOKUP($C403,REV!$C:$AL,28,0)-'TRADE IN'!$F403=0,"",(VLOOKUP($C403,REV!$C:$AL,28,0)-'TRADE IN'!$F403))</f>
        <v>5999</v>
      </c>
      <c r="AD403" s="45">
        <f>IF(VLOOKUP($C403,REV!$C:$AL,29,0)-'TRADE IN'!$F403=0,"",(VLOOKUP($C403,REV!$C:$AL,29,0)-'TRADE IN'!$F403))</f>
        <v>5899</v>
      </c>
      <c r="AE403" s="45">
        <f>IF(VLOOKUP($C403,REV!$C:$AL,30,0)-'TRADE IN'!$F403=0,"",(VLOOKUP($C403,REV!$C:$AL,30,0)-'TRADE IN'!$F403))</f>
        <v>5799</v>
      </c>
      <c r="AF403" s="45">
        <f>IF(VLOOKUP($C403,REV!$C:$AL,31,0)-'TRADE IN'!$F403=0,"",(VLOOKUP($C403,REV!$C:$AL,31,0)-'TRADE IN'!$F403))</f>
        <v>5799</v>
      </c>
      <c r="AG403" s="45">
        <f>IF(VLOOKUP($C403,REV!$C:$AL,31,0)-'TRADE IN'!$F403=0,"",(VLOOKUP($C403,REV!$C:$AL,31,0)-'TRADE IN'!$F403))</f>
        <v>5799</v>
      </c>
      <c r="AH403" s="45">
        <f>IF(VLOOKUP($C403,REV!$C:$AL,32,0)-'TRADE IN'!$F403=0,"",(VLOOKUP($C403,REV!$C:$AL,32,0)-'TRADE IN'!$F403))</f>
        <v>4999</v>
      </c>
      <c r="AI403" s="45">
        <f>IF(VLOOKUP($C403,REV!$C:$AL,33,0)-'TRADE IN'!$F403=0,"",(VLOOKUP($C403,REV!$C:$AL,33,0)-'TRADE IN'!$F403))</f>
        <v>4999</v>
      </c>
      <c r="AJ403" s="45">
        <f>IF(VLOOKUP($C403,REV!$C:$AL,34,0)-'TRADE IN'!$F403=0,"",(VLOOKUP($C403,REV!$C:$AL,34,0)-'TRADE IN'!$F403))</f>
        <v>4999</v>
      </c>
      <c r="AK403" s="45">
        <f>IF(VLOOKUP($C403,REV!$C:$AL,35,0)-'TRADE IN'!$F403=0,"",(VLOOKUP($C403,REV!$C:$AL,35,0)-'TRADE IN'!$F403))</f>
        <v>4999</v>
      </c>
      <c r="AL403" s="45">
        <f>IF(VLOOKUP($C403,REV!$C:$AL,36,0)-'TRADE IN'!$F403=0,"",(VLOOKUP($C403,REV!$C:$AL,36,0)-'TRADE IN'!$F403))</f>
        <v>3799</v>
      </c>
      <c r="AM403" s="45"/>
      <c r="AN403" s="45"/>
      <c r="AO403" s="45"/>
      <c r="AP403" s="45"/>
      <c r="AQ403" s="45"/>
      <c r="AR403" s="45"/>
      <c r="AS403" s="45"/>
      <c r="AT403" s="45"/>
      <c r="AU403" s="45"/>
      <c r="AV403" s="47"/>
      <c r="AW403" s="48" t="str">
        <f>REV!AW403</f>
        <v>13.08.2026</v>
      </c>
      <c r="AX403" s="149" t="s">
        <v>68</v>
      </c>
    </row>
    <row r="404" spans="1:50" ht="22.5" customHeight="1">
      <c r="A404" s="41" t="s">
        <v>63</v>
      </c>
      <c r="B404" s="42" t="s">
        <v>64</v>
      </c>
      <c r="C404" s="43">
        <v>4016883</v>
      </c>
      <c r="D404" s="57" t="s">
        <v>584</v>
      </c>
      <c r="E404" s="56" t="s">
        <v>590</v>
      </c>
      <c r="F404" s="54">
        <v>1000</v>
      </c>
      <c r="G404" s="45"/>
      <c r="H404" s="45"/>
      <c r="I404" s="45"/>
      <c r="J404" s="46">
        <f>IF(VLOOKUP($C404,REV!$C:$AA,8,0)-'TRADE IN'!$F404=0,"",(VLOOKUP($C404,REV!$C:$AA,8,0)-'TRADE IN'!$F404))</f>
        <v>5999</v>
      </c>
      <c r="K404" s="46">
        <f>IF(VLOOKUP($C404,REV!$C:$AA,9,0)-'TRADE IN'!$F404=0,"",(VLOOKUP($C404,REV!$C:$AA,9,0)-'TRADE IN'!$F404))</f>
        <v>5999</v>
      </c>
      <c r="L404" s="46">
        <f>IF(VLOOKUP($C404,REV!$C:$AA,10,0)-'TRADE IN'!$F404=0,"",(VLOOKUP($C404,REV!$C:$AA,10,0)-'TRADE IN'!$F404))</f>
        <v>5999</v>
      </c>
      <c r="M404" s="46">
        <f>IF(VLOOKUP($C404,REV!$C:$AA,11,0)-'TRADE IN'!$F404=0,"",(VLOOKUP($C404,REV!$C:$AA,11,0)-'TRADE IN'!$F404))</f>
        <v>5999</v>
      </c>
      <c r="N404" s="46">
        <f>IF(VLOOKUP($C404,REV!$C:$AA,12,0)-'TRADE IN'!$F404=0,"",(VLOOKUP($C404,REV!$C:$AA,12,0)-'TRADE IN'!$F404))</f>
        <v>5999</v>
      </c>
      <c r="O404" s="46">
        <f>IF(VLOOKUP($C404,REV!$C:$AA,13,0)-'TRADE IN'!$F404=0,"",(VLOOKUP($C404,REV!$C:$AA,13,0)-'TRADE IN'!$F404))</f>
        <v>5899</v>
      </c>
      <c r="P404" s="46">
        <f>IF(VLOOKUP($C404,REV!$C:$AA,14,0)-'TRADE IN'!$F404=0,"",(VLOOKUP($C404,REV!$C:$AA,14,0)-'TRADE IN'!$F404))</f>
        <v>5799</v>
      </c>
      <c r="Q404" s="46">
        <f>IF(VLOOKUP($C404,REV!$C:$AA,15,0)-'TRADE IN'!$F404=0,"",(VLOOKUP($C404,REV!$C:$AA,15,0)-'TRADE IN'!$F404))</f>
        <v>4999</v>
      </c>
      <c r="R404" s="46">
        <f>IF(VLOOKUP($C404,REV!$C:$AA,16,0)-'TRADE IN'!$F404=0,"",(VLOOKUP($C404,REV!$C:$AA,16,0)-'TRADE IN'!$F404))</f>
        <v>5899</v>
      </c>
      <c r="S404" s="46">
        <f>IF(VLOOKUP($C404,REV!$C:$AA,17,0)-'TRADE IN'!$F404=0,"",(VLOOKUP($C404,REV!$C:$AA,17,0)-'TRADE IN'!$F404))</f>
        <v>5799</v>
      </c>
      <c r="T404" s="46">
        <f>IF(VLOOKUP($C404,REV!$C:$AA,18,0)-'TRADE IN'!$F404=0,"",(VLOOKUP($C404,REV!$C:$AA,18,0)-'TRADE IN'!$F404))</f>
        <v>4999</v>
      </c>
      <c r="U404" s="46">
        <f>IF(VLOOKUP($C404,REV!$C:$AA,19,0)-'TRADE IN'!$F404=0,"",(VLOOKUP($C404,REV!$C:$AA,19,0)-'TRADE IN'!$F404))</f>
        <v>4999</v>
      </c>
      <c r="V404" s="46">
        <f>IF(VLOOKUP($C404,REV!$C:$AA,20,0)-'TRADE IN'!$F404=0,"",(VLOOKUP($C404,REV!$C:$AA,20,0)-'TRADE IN'!$F404))</f>
        <v>4999</v>
      </c>
      <c r="W404" s="46">
        <f>IF(VLOOKUP($C404,REV!$C:$AA,21,0)-'TRADE IN'!$F404=0,"",(VLOOKUP($C404,REV!$C:$AA,21,0)-'TRADE IN'!$F404))</f>
        <v>4999</v>
      </c>
      <c r="X404" s="46">
        <f>IF(VLOOKUP($C404,REV!$C:$AA,22,0)-'TRADE IN'!$F404=0,"",(VLOOKUP($C404,REV!$C:$AA,22,0)-'TRADE IN'!$F404))</f>
        <v>4899</v>
      </c>
      <c r="Y404" s="46">
        <f>IF(VLOOKUP($C404,REV!$C:$AA,23,0)-'TRADE IN'!$F404=0,"",(VLOOKUP($C404,REV!$C:$AA,23,0)-'TRADE IN'!$F404))</f>
        <v>3799</v>
      </c>
      <c r="Z404" s="46">
        <f>IF(VLOOKUP($C404,REV!$C:$AA,24,0)-'TRADE IN'!$F404=0,"",(VLOOKUP($C404,REV!$C:$AA,24,0)-'TRADE IN'!$F404))</f>
        <v>3799</v>
      </c>
      <c r="AA404" s="46">
        <f>IF(VLOOKUP($C404,REV!$C:$AA,25,0)-'TRADE IN'!$F404=0,"",(VLOOKUP($C404,REV!$C:$AA,25,0)-'TRADE IN'!$F404))</f>
        <v>3499</v>
      </c>
      <c r="AB404" s="45">
        <f>IF(VLOOKUP($C404,REV!$C:$AL,27,0)-'TRADE IN'!$F404=0,"",(VLOOKUP($C404,REV!$C:$AL,27,0)-'TRADE IN'!$F404))</f>
        <v>5999</v>
      </c>
      <c r="AC404" s="45">
        <f>IF(VLOOKUP($C404,REV!$C:$AL,28,0)-'TRADE IN'!$F404=0,"",(VLOOKUP($C404,REV!$C:$AL,28,0)-'TRADE IN'!$F404))</f>
        <v>5999</v>
      </c>
      <c r="AD404" s="45">
        <f>IF(VLOOKUP($C404,REV!$C:$AL,29,0)-'TRADE IN'!$F404=0,"",(VLOOKUP($C404,REV!$C:$AL,29,0)-'TRADE IN'!$F404))</f>
        <v>5899</v>
      </c>
      <c r="AE404" s="45">
        <f>IF(VLOOKUP($C404,REV!$C:$AL,30,0)-'TRADE IN'!$F404=0,"",(VLOOKUP($C404,REV!$C:$AL,30,0)-'TRADE IN'!$F404))</f>
        <v>5799</v>
      </c>
      <c r="AF404" s="45">
        <f>IF(VLOOKUP($C404,REV!$C:$AL,31,0)-'TRADE IN'!$F404=0,"",(VLOOKUP($C404,REV!$C:$AL,31,0)-'TRADE IN'!$F404))</f>
        <v>5799</v>
      </c>
      <c r="AG404" s="45">
        <f>IF(VLOOKUP($C404,REV!$C:$AL,31,0)-'TRADE IN'!$F404=0,"",(VLOOKUP($C404,REV!$C:$AL,31,0)-'TRADE IN'!$F404))</f>
        <v>5799</v>
      </c>
      <c r="AH404" s="45">
        <f>IF(VLOOKUP($C404,REV!$C:$AL,32,0)-'TRADE IN'!$F404=0,"",(VLOOKUP($C404,REV!$C:$AL,32,0)-'TRADE IN'!$F404))</f>
        <v>4999</v>
      </c>
      <c r="AI404" s="45">
        <f>IF(VLOOKUP($C404,REV!$C:$AL,33,0)-'TRADE IN'!$F404=0,"",(VLOOKUP($C404,REV!$C:$AL,33,0)-'TRADE IN'!$F404))</f>
        <v>4999</v>
      </c>
      <c r="AJ404" s="45">
        <f>IF(VLOOKUP($C404,REV!$C:$AL,34,0)-'TRADE IN'!$F404=0,"",(VLOOKUP($C404,REV!$C:$AL,34,0)-'TRADE IN'!$F404))</f>
        <v>4999</v>
      </c>
      <c r="AK404" s="45">
        <f>IF(VLOOKUP($C404,REV!$C:$AL,35,0)-'TRADE IN'!$F404=0,"",(VLOOKUP($C404,REV!$C:$AL,35,0)-'TRADE IN'!$F404))</f>
        <v>4999</v>
      </c>
      <c r="AL404" s="45">
        <f>IF(VLOOKUP($C404,REV!$C:$AL,36,0)-'TRADE IN'!$F404=0,"",(VLOOKUP($C404,REV!$C:$AL,36,0)-'TRADE IN'!$F404))</f>
        <v>3799</v>
      </c>
      <c r="AM404" s="45"/>
      <c r="AN404" s="45"/>
      <c r="AO404" s="45"/>
      <c r="AP404" s="45"/>
      <c r="AQ404" s="45"/>
      <c r="AR404" s="45"/>
      <c r="AS404" s="45"/>
      <c r="AT404" s="45"/>
      <c r="AU404" s="45"/>
      <c r="AV404" s="47"/>
      <c r="AW404" s="48" t="str">
        <f>REV!AW404</f>
        <v>13.08.2026</v>
      </c>
      <c r="AX404" s="149" t="s">
        <v>68</v>
      </c>
    </row>
    <row r="405" spans="1:50" ht="22.5" customHeight="1">
      <c r="A405" s="41" t="s">
        <v>63</v>
      </c>
      <c r="B405" s="42" t="s">
        <v>64</v>
      </c>
      <c r="C405" s="43">
        <v>4016853</v>
      </c>
      <c r="D405" s="56" t="s">
        <v>591</v>
      </c>
      <c r="E405" s="56" t="s">
        <v>592</v>
      </c>
      <c r="F405" s="45">
        <v>100</v>
      </c>
      <c r="G405" s="45"/>
      <c r="H405" s="45"/>
      <c r="I405" s="45"/>
      <c r="J405" s="46">
        <f>IF(VLOOKUP($C405,REV!$C:$AA,8,0)-'TRADE IN'!$F405=0,"",(VLOOKUP($C405,REV!$C:$AA,8,0)-'TRADE IN'!$F405))</f>
        <v>7299</v>
      </c>
      <c r="K405" s="46">
        <f>IF(VLOOKUP($C405,REV!$C:$AA,9,0)-'TRADE IN'!$F405=0,"",(VLOOKUP($C405,REV!$C:$AA,9,0)-'TRADE IN'!$F405))</f>
        <v>7299</v>
      </c>
      <c r="L405" s="46">
        <f>IF(VLOOKUP($C405,REV!$C:$AA,10,0)-'TRADE IN'!$F405=0,"",(VLOOKUP($C405,REV!$C:$AA,10,0)-'TRADE IN'!$F405))</f>
        <v>7299</v>
      </c>
      <c r="M405" s="46">
        <f>IF(VLOOKUP($C405,REV!$C:$AA,11,0)-'TRADE IN'!$F405=0,"",(VLOOKUP($C405,REV!$C:$AA,11,0)-'TRADE IN'!$F405))</f>
        <v>7299</v>
      </c>
      <c r="N405" s="46">
        <f>IF(VLOOKUP($C405,REV!$C:$AA,12,0)-'TRADE IN'!$F405=0,"",(VLOOKUP($C405,REV!$C:$AA,12,0)-'TRADE IN'!$F405))</f>
        <v>7299</v>
      </c>
      <c r="O405" s="46">
        <f>IF(VLOOKUP($C405,REV!$C:$AA,13,0)-'TRADE IN'!$F405=0,"",(VLOOKUP($C405,REV!$C:$AA,13,0)-'TRADE IN'!$F405))</f>
        <v>7249</v>
      </c>
      <c r="P405" s="46">
        <f>IF(VLOOKUP($C405,REV!$C:$AA,14,0)-'TRADE IN'!$F405=0,"",(VLOOKUP($C405,REV!$C:$AA,14,0)-'TRADE IN'!$F405))</f>
        <v>7199</v>
      </c>
      <c r="Q405" s="46">
        <f>IF(VLOOKUP($C405,REV!$C:$AA,15,0)-'TRADE IN'!$F405=0,"",(VLOOKUP($C405,REV!$C:$AA,15,0)-'TRADE IN'!$F405))</f>
        <v>6799</v>
      </c>
      <c r="R405" s="46">
        <f>IF(VLOOKUP($C405,REV!$C:$AA,16,0)-'TRADE IN'!$F405=0,"",(VLOOKUP($C405,REV!$C:$AA,16,0)-'TRADE IN'!$F405))</f>
        <v>7249</v>
      </c>
      <c r="S405" s="46">
        <f>IF(VLOOKUP($C405,REV!$C:$AA,17,0)-'TRADE IN'!$F405=0,"",(VLOOKUP($C405,REV!$C:$AA,17,0)-'TRADE IN'!$F405))</f>
        <v>7199</v>
      </c>
      <c r="T405" s="46">
        <f>IF(VLOOKUP($C405,REV!$C:$AA,18,0)-'TRADE IN'!$F405=0,"",(VLOOKUP($C405,REV!$C:$AA,18,0)-'TRADE IN'!$F405))</f>
        <v>6799</v>
      </c>
      <c r="U405" s="46">
        <f>IF(VLOOKUP($C405,REV!$C:$AA,19,0)-'TRADE IN'!$F405=0,"",(VLOOKUP($C405,REV!$C:$AA,19,0)-'TRADE IN'!$F405))</f>
        <v>6799</v>
      </c>
      <c r="V405" s="46">
        <f>IF(VLOOKUP($C405,REV!$C:$AA,20,0)-'TRADE IN'!$F405=0,"",(VLOOKUP($C405,REV!$C:$AA,20,0)-'TRADE IN'!$F405))</f>
        <v>6799</v>
      </c>
      <c r="W405" s="46">
        <f>IF(VLOOKUP($C405,REV!$C:$AA,21,0)-'TRADE IN'!$F405=0,"",(VLOOKUP($C405,REV!$C:$AA,21,0)-'TRADE IN'!$F405))</f>
        <v>6799</v>
      </c>
      <c r="X405" s="46">
        <f>IF(VLOOKUP($C405,REV!$C:$AA,22,0)-'TRADE IN'!$F405=0,"",(VLOOKUP($C405,REV!$C:$AA,22,0)-'TRADE IN'!$F405))</f>
        <v>6699</v>
      </c>
      <c r="Y405" s="46">
        <f>IF(VLOOKUP($C405,REV!$C:$AA,23,0)-'TRADE IN'!$F405=0,"",(VLOOKUP($C405,REV!$C:$AA,23,0)-'TRADE IN'!$F405))</f>
        <v>5699</v>
      </c>
      <c r="Z405" s="46">
        <f>IF(VLOOKUP($C405,REV!$C:$AA,24,0)-'TRADE IN'!$F405=0,"",(VLOOKUP($C405,REV!$C:$AA,24,0)-'TRADE IN'!$F405))</f>
        <v>5699</v>
      </c>
      <c r="AA405" s="46">
        <f>IF(VLOOKUP($C405,REV!$C:$AA,25,0)-'TRADE IN'!$F405=0,"",(VLOOKUP($C405,REV!$C:$AA,25,0)-'TRADE IN'!$F405))</f>
        <v>5699</v>
      </c>
      <c r="AB405" s="45"/>
      <c r="AC405" s="45"/>
      <c r="AD405" s="45"/>
      <c r="AE405" s="45"/>
      <c r="AF405" s="45"/>
      <c r="AG405" s="45"/>
      <c r="AH405" s="45"/>
      <c r="AI405" s="45"/>
      <c r="AJ405" s="45"/>
      <c r="AK405" s="45"/>
      <c r="AL405" s="45"/>
      <c r="AM405" s="45"/>
      <c r="AN405" s="45"/>
      <c r="AO405" s="45"/>
      <c r="AP405" s="45"/>
      <c r="AQ405" s="45"/>
      <c r="AR405" s="45"/>
      <c r="AS405" s="45"/>
      <c r="AT405" s="45"/>
      <c r="AU405" s="45"/>
      <c r="AV405" s="47"/>
      <c r="AW405" s="48" t="str">
        <f>REV!AW405</f>
        <v>13.08.2026</v>
      </c>
      <c r="AX405" s="149" t="s">
        <v>68</v>
      </c>
    </row>
    <row r="406" spans="1:50" ht="22.5" customHeight="1">
      <c r="A406" s="41" t="s">
        <v>63</v>
      </c>
      <c r="B406" s="42" t="s">
        <v>64</v>
      </c>
      <c r="C406" s="43">
        <v>4016884</v>
      </c>
      <c r="D406" s="56" t="s">
        <v>591</v>
      </c>
      <c r="E406" s="56" t="s">
        <v>593</v>
      </c>
      <c r="F406" s="45">
        <v>100</v>
      </c>
      <c r="G406" s="45"/>
      <c r="H406" s="45"/>
      <c r="I406" s="45"/>
      <c r="J406" s="46">
        <f>IF(VLOOKUP($C406,REV!$C:$AA,8,0)-'TRADE IN'!$F406=0,"",(VLOOKUP($C406,REV!$C:$AA,8,0)-'TRADE IN'!$F406))</f>
        <v>7299</v>
      </c>
      <c r="K406" s="46">
        <f>IF(VLOOKUP($C406,REV!$C:$AA,9,0)-'TRADE IN'!$F406=0,"",(VLOOKUP($C406,REV!$C:$AA,9,0)-'TRADE IN'!$F406))</f>
        <v>7299</v>
      </c>
      <c r="L406" s="46">
        <f>IF(VLOOKUP($C406,REV!$C:$AA,10,0)-'TRADE IN'!$F406=0,"",(VLOOKUP($C406,REV!$C:$AA,10,0)-'TRADE IN'!$F406))</f>
        <v>7299</v>
      </c>
      <c r="M406" s="46">
        <f>IF(VLOOKUP($C406,REV!$C:$AA,11,0)-'TRADE IN'!$F406=0,"",(VLOOKUP($C406,REV!$C:$AA,11,0)-'TRADE IN'!$F406))</f>
        <v>7299</v>
      </c>
      <c r="N406" s="46">
        <f>IF(VLOOKUP($C406,REV!$C:$AA,12,0)-'TRADE IN'!$F406=0,"",(VLOOKUP($C406,REV!$C:$AA,12,0)-'TRADE IN'!$F406))</f>
        <v>7299</v>
      </c>
      <c r="O406" s="46">
        <f>IF(VLOOKUP($C406,REV!$C:$AA,13,0)-'TRADE IN'!$F406=0,"",(VLOOKUP($C406,REV!$C:$AA,13,0)-'TRADE IN'!$F406))</f>
        <v>7249</v>
      </c>
      <c r="P406" s="46">
        <f>IF(VLOOKUP($C406,REV!$C:$AA,14,0)-'TRADE IN'!$F406=0,"",(VLOOKUP($C406,REV!$C:$AA,14,0)-'TRADE IN'!$F406))</f>
        <v>7199</v>
      </c>
      <c r="Q406" s="46">
        <f>IF(VLOOKUP($C406,REV!$C:$AA,15,0)-'TRADE IN'!$F406=0,"",(VLOOKUP($C406,REV!$C:$AA,15,0)-'TRADE IN'!$F406))</f>
        <v>6799</v>
      </c>
      <c r="R406" s="46">
        <f>IF(VLOOKUP($C406,REV!$C:$AA,16,0)-'TRADE IN'!$F406=0,"",(VLOOKUP($C406,REV!$C:$AA,16,0)-'TRADE IN'!$F406))</f>
        <v>7249</v>
      </c>
      <c r="S406" s="46">
        <f>IF(VLOOKUP($C406,REV!$C:$AA,17,0)-'TRADE IN'!$F406=0,"",(VLOOKUP($C406,REV!$C:$AA,17,0)-'TRADE IN'!$F406))</f>
        <v>7199</v>
      </c>
      <c r="T406" s="46">
        <f>IF(VLOOKUP($C406,REV!$C:$AA,18,0)-'TRADE IN'!$F406=0,"",(VLOOKUP($C406,REV!$C:$AA,18,0)-'TRADE IN'!$F406))</f>
        <v>6799</v>
      </c>
      <c r="U406" s="46">
        <f>IF(VLOOKUP($C406,REV!$C:$AA,19,0)-'TRADE IN'!$F406=0,"",(VLOOKUP($C406,REV!$C:$AA,19,0)-'TRADE IN'!$F406))</f>
        <v>6799</v>
      </c>
      <c r="V406" s="46">
        <f>IF(VLOOKUP($C406,REV!$C:$AA,20,0)-'TRADE IN'!$F406=0,"",(VLOOKUP($C406,REV!$C:$AA,20,0)-'TRADE IN'!$F406))</f>
        <v>6799</v>
      </c>
      <c r="W406" s="46">
        <f>IF(VLOOKUP($C406,REV!$C:$AA,21,0)-'TRADE IN'!$F406=0,"",(VLOOKUP($C406,REV!$C:$AA,21,0)-'TRADE IN'!$F406))</f>
        <v>6799</v>
      </c>
      <c r="X406" s="46">
        <f>IF(VLOOKUP($C406,REV!$C:$AA,22,0)-'TRADE IN'!$F406=0,"",(VLOOKUP($C406,REV!$C:$AA,22,0)-'TRADE IN'!$F406))</f>
        <v>6699</v>
      </c>
      <c r="Y406" s="46">
        <f>IF(VLOOKUP($C406,REV!$C:$AA,23,0)-'TRADE IN'!$F406=0,"",(VLOOKUP($C406,REV!$C:$AA,23,0)-'TRADE IN'!$F406))</f>
        <v>5699</v>
      </c>
      <c r="Z406" s="46">
        <f>IF(VLOOKUP($C406,REV!$C:$AA,24,0)-'TRADE IN'!$F406=0,"",(VLOOKUP($C406,REV!$C:$AA,24,0)-'TRADE IN'!$F406))</f>
        <v>5699</v>
      </c>
      <c r="AA406" s="46">
        <f>IF(VLOOKUP($C406,REV!$C:$AA,25,0)-'TRADE IN'!$F406=0,"",(VLOOKUP($C406,REV!$C:$AA,25,0)-'TRADE IN'!$F406))</f>
        <v>5699</v>
      </c>
      <c r="AB406" s="45"/>
      <c r="AC406" s="45"/>
      <c r="AD406" s="45"/>
      <c r="AE406" s="45"/>
      <c r="AF406" s="45"/>
      <c r="AG406" s="45"/>
      <c r="AH406" s="45"/>
      <c r="AI406" s="45"/>
      <c r="AJ406" s="45"/>
      <c r="AK406" s="45"/>
      <c r="AL406" s="45"/>
      <c r="AM406" s="45"/>
      <c r="AN406" s="45"/>
      <c r="AO406" s="45"/>
      <c r="AP406" s="45"/>
      <c r="AQ406" s="45"/>
      <c r="AR406" s="45"/>
      <c r="AS406" s="45"/>
      <c r="AT406" s="45"/>
      <c r="AU406" s="45"/>
      <c r="AV406" s="47"/>
      <c r="AW406" s="48" t="str">
        <f>REV!AW406</f>
        <v>13.08.2026</v>
      </c>
      <c r="AX406" s="149" t="s">
        <v>68</v>
      </c>
    </row>
    <row r="407" spans="1:50" ht="22.5" customHeight="1">
      <c r="A407" s="41" t="s">
        <v>63</v>
      </c>
      <c r="B407" s="42" t="s">
        <v>64</v>
      </c>
      <c r="C407" s="43">
        <v>4016724</v>
      </c>
      <c r="D407" s="56" t="s">
        <v>594</v>
      </c>
      <c r="E407" s="56" t="s">
        <v>595</v>
      </c>
      <c r="F407" s="45">
        <v>700</v>
      </c>
      <c r="G407" s="45"/>
      <c r="H407" s="45"/>
      <c r="I407" s="45"/>
      <c r="J407" s="46">
        <f>IF(VLOOKUP($C407,REV!$C:$AA,8,0)-'TRADE IN'!$F407=0,"",(VLOOKUP($C407,REV!$C:$AA,8,0)-'TRADE IN'!$F407))</f>
        <v>5699</v>
      </c>
      <c r="K407" s="46">
        <f>IF(VLOOKUP($C407,REV!$C:$AA,9,0)-'TRADE IN'!$F407=0,"",(VLOOKUP($C407,REV!$C:$AA,9,0)-'TRADE IN'!$F407))</f>
        <v>5699</v>
      </c>
      <c r="L407" s="46">
        <f>IF(VLOOKUP($C407,REV!$C:$AA,10,0)-'TRADE IN'!$F407=0,"",(VLOOKUP($C407,REV!$C:$AA,10,0)-'TRADE IN'!$F407))</f>
        <v>5699</v>
      </c>
      <c r="M407" s="46">
        <f>IF(VLOOKUP($C407,REV!$C:$AA,11,0)-'TRADE IN'!$F407=0,"",(VLOOKUP($C407,REV!$C:$AA,11,0)-'TRADE IN'!$F407))</f>
        <v>5699</v>
      </c>
      <c r="N407" s="46">
        <f>IF(VLOOKUP($C407,REV!$C:$AA,12,0)-'TRADE IN'!$F407=0,"",(VLOOKUP($C407,REV!$C:$AA,12,0)-'TRADE IN'!$F407))</f>
        <v>5699</v>
      </c>
      <c r="O407" s="46">
        <f>IF(VLOOKUP($C407,REV!$C:$AA,13,0)-'TRADE IN'!$F407=0,"",(VLOOKUP($C407,REV!$C:$AA,13,0)-'TRADE IN'!$F407))</f>
        <v>5599</v>
      </c>
      <c r="P407" s="46">
        <f>IF(VLOOKUP($C407,REV!$C:$AA,14,0)-'TRADE IN'!$F407=0,"",(VLOOKUP($C407,REV!$C:$AA,14,0)-'TRADE IN'!$F407))</f>
        <v>5499</v>
      </c>
      <c r="Q407" s="46">
        <f>IF(VLOOKUP($C407,REV!$C:$AA,15,0)-'TRADE IN'!$F407=0,"",(VLOOKUP($C407,REV!$C:$AA,15,0)-'TRADE IN'!$F407))</f>
        <v>4599</v>
      </c>
      <c r="R407" s="46">
        <f>IF(VLOOKUP($C407,REV!$C:$AA,16,0)-'TRADE IN'!$F407=0,"",(VLOOKUP($C407,REV!$C:$AA,16,0)-'TRADE IN'!$F407))</f>
        <v>5599</v>
      </c>
      <c r="S407" s="46">
        <f>IF(VLOOKUP($C407,REV!$C:$AA,17,0)-'TRADE IN'!$F407=0,"",(VLOOKUP($C407,REV!$C:$AA,17,0)-'TRADE IN'!$F407))</f>
        <v>5499</v>
      </c>
      <c r="T407" s="46">
        <f>IF(VLOOKUP($C407,REV!$C:$AA,18,0)-'TRADE IN'!$F407=0,"",(VLOOKUP($C407,REV!$C:$AA,18,0)-'TRADE IN'!$F407))</f>
        <v>4599</v>
      </c>
      <c r="U407" s="46">
        <f>IF(VLOOKUP($C407,REV!$C:$AA,19,0)-'TRADE IN'!$F407=0,"",(VLOOKUP($C407,REV!$C:$AA,19,0)-'TRADE IN'!$F407))</f>
        <v>4599</v>
      </c>
      <c r="V407" s="46">
        <f>IF(VLOOKUP($C407,REV!$C:$AA,20,0)-'TRADE IN'!$F407=0,"",(VLOOKUP($C407,REV!$C:$AA,20,0)-'TRADE IN'!$F407))</f>
        <v>4599</v>
      </c>
      <c r="W407" s="46">
        <f>IF(VLOOKUP($C407,REV!$C:$AA,21,0)-'TRADE IN'!$F407=0,"",(VLOOKUP($C407,REV!$C:$AA,21,0)-'TRADE IN'!$F407))</f>
        <v>4599</v>
      </c>
      <c r="X407" s="46">
        <f>IF(VLOOKUP($C407,REV!$C:$AA,22,0)-'TRADE IN'!$F407=0,"",(VLOOKUP($C407,REV!$C:$AA,22,0)-'TRADE IN'!$F407))</f>
        <v>4499</v>
      </c>
      <c r="Y407" s="46">
        <f>IF(VLOOKUP($C407,REV!$C:$AA,23,0)-'TRADE IN'!$F407=0,"",(VLOOKUP($C407,REV!$C:$AA,23,0)-'TRADE IN'!$F407))</f>
        <v>3599</v>
      </c>
      <c r="Z407" s="46">
        <f>IF(VLOOKUP($C407,REV!$C:$AA,24,0)-'TRADE IN'!$F407=0,"",(VLOOKUP($C407,REV!$C:$AA,24,0)-'TRADE IN'!$F407))</f>
        <v>3599</v>
      </c>
      <c r="AA407" s="46">
        <f>IF(VLOOKUP($C407,REV!$C:$AA,25,0)-'TRADE IN'!$F407=0,"",(VLOOKUP($C407,REV!$C:$AA,25,0)-'TRADE IN'!$F407))</f>
        <v>3599</v>
      </c>
      <c r="AB407" s="45"/>
      <c r="AC407" s="45"/>
      <c r="AD407" s="45"/>
      <c r="AE407" s="45"/>
      <c r="AF407" s="45"/>
      <c r="AG407" s="45"/>
      <c r="AH407" s="45"/>
      <c r="AI407" s="45"/>
      <c r="AJ407" s="45"/>
      <c r="AK407" s="45"/>
      <c r="AL407" s="45"/>
      <c r="AM407" s="45"/>
      <c r="AN407" s="45"/>
      <c r="AO407" s="45"/>
      <c r="AP407" s="45"/>
      <c r="AQ407" s="45"/>
      <c r="AR407" s="45"/>
      <c r="AS407" s="45"/>
      <c r="AT407" s="45"/>
      <c r="AU407" s="45"/>
      <c r="AV407" s="47"/>
      <c r="AW407" s="48" t="str">
        <f>REV!AW407</f>
        <v>13.08.2026</v>
      </c>
      <c r="AX407" s="149" t="s">
        <v>68</v>
      </c>
    </row>
    <row r="408" spans="1:50" ht="22.5" customHeight="1">
      <c r="A408" s="41" t="s">
        <v>63</v>
      </c>
      <c r="B408" s="42" t="s">
        <v>64</v>
      </c>
      <c r="C408" s="43">
        <v>4017407</v>
      </c>
      <c r="D408" s="56" t="s">
        <v>596</v>
      </c>
      <c r="E408" s="56" t="s">
        <v>597</v>
      </c>
      <c r="F408" s="45">
        <v>500</v>
      </c>
      <c r="G408" s="45"/>
      <c r="H408" s="45"/>
      <c r="I408" s="45"/>
      <c r="J408" s="46">
        <f>IF(VLOOKUP($C408,REV!$C:$AA,8,0)-'TRADE IN'!$F408=0,"",(VLOOKUP($C408,REV!$C:$AA,8,0)-'TRADE IN'!$F408))</f>
        <v>2699</v>
      </c>
      <c r="K408" s="46">
        <f>IF(VLOOKUP($C408,REV!$C:$AA,9,0)-'TRADE IN'!$F408=0,"",(VLOOKUP($C408,REV!$C:$AA,9,0)-'TRADE IN'!$F408))</f>
        <v>2699</v>
      </c>
      <c r="L408" s="46">
        <f>IF(VLOOKUP($C408,REV!$C:$AA,10,0)-'TRADE IN'!$F408=0,"",(VLOOKUP($C408,REV!$C:$AA,10,0)-'TRADE IN'!$F408))</f>
        <v>2699</v>
      </c>
      <c r="M408" s="46">
        <f>IF(VLOOKUP($C408,REV!$C:$AA,11,0)-'TRADE IN'!$F408=0,"",(VLOOKUP($C408,REV!$C:$AA,11,0)-'TRADE IN'!$F408))</f>
        <v>2699</v>
      </c>
      <c r="N408" s="46">
        <f>IF(VLOOKUP($C408,REV!$C:$AA,12,0)-'TRADE IN'!$F408=0,"",(VLOOKUP($C408,REV!$C:$AA,12,0)-'TRADE IN'!$F408))</f>
        <v>2699</v>
      </c>
      <c r="O408" s="46">
        <f>IF(VLOOKUP($C408,REV!$C:$AA,13,0)-'TRADE IN'!$F408=0,"",(VLOOKUP($C408,REV!$C:$AA,13,0)-'TRADE IN'!$F408))</f>
        <v>2599</v>
      </c>
      <c r="P408" s="46">
        <f>IF(VLOOKUP($C408,REV!$C:$AA,14,0)-'TRADE IN'!$F408=0,"",(VLOOKUP($C408,REV!$C:$AA,14,0)-'TRADE IN'!$F408))</f>
        <v>2549</v>
      </c>
      <c r="Q408" s="46">
        <f>IF(VLOOKUP($C408,REV!$C:$AA,15,0)-'TRADE IN'!$F408=0,"",(VLOOKUP($C408,REV!$C:$AA,15,0)-'TRADE IN'!$F408))</f>
        <v>1799</v>
      </c>
      <c r="R408" s="46">
        <f>IF(VLOOKUP($C408,REV!$C:$AA,16,0)-'TRADE IN'!$F408=0,"",(VLOOKUP($C408,REV!$C:$AA,16,0)-'TRADE IN'!$F408))</f>
        <v>2599</v>
      </c>
      <c r="S408" s="46">
        <f>IF(VLOOKUP($C408,REV!$C:$AA,17,0)-'TRADE IN'!$F408=0,"",(VLOOKUP($C408,REV!$C:$AA,17,0)-'TRADE IN'!$F408))</f>
        <v>2549</v>
      </c>
      <c r="T408" s="46">
        <f>IF(VLOOKUP($C408,REV!$C:$AA,18,0)-'TRADE IN'!$F408=0,"",(VLOOKUP($C408,REV!$C:$AA,18,0)-'TRADE IN'!$F408))</f>
        <v>1799</v>
      </c>
      <c r="U408" s="46">
        <f>IF(VLOOKUP($C408,REV!$C:$AA,19,0)-'TRADE IN'!$F408=0,"",(VLOOKUP($C408,REV!$C:$AA,19,0)-'TRADE IN'!$F408))</f>
        <v>1799</v>
      </c>
      <c r="V408" s="46">
        <f>IF(VLOOKUP($C408,REV!$C:$AA,20,0)-'TRADE IN'!$F408=0,"",(VLOOKUP($C408,REV!$C:$AA,20,0)-'TRADE IN'!$F408))</f>
        <v>1799</v>
      </c>
      <c r="W408" s="46">
        <f>IF(VLOOKUP($C408,REV!$C:$AA,21,0)-'TRADE IN'!$F408=0,"",(VLOOKUP($C408,REV!$C:$AA,21,0)-'TRADE IN'!$F408))</f>
        <v>1799</v>
      </c>
      <c r="X408" s="46">
        <f>IF(VLOOKUP($C408,REV!$C:$AA,22,0)-'TRADE IN'!$F408=0,"",(VLOOKUP($C408,REV!$C:$AA,22,0)-'TRADE IN'!$F408))</f>
        <v>1699</v>
      </c>
      <c r="Y408" s="46">
        <f>IF(VLOOKUP($C408,REV!$C:$AA,23,0)-'TRADE IN'!$F408=0,"",(VLOOKUP($C408,REV!$C:$AA,23,0)-'TRADE IN'!$F408))</f>
        <v>1299</v>
      </c>
      <c r="Z408" s="46">
        <f>IF(VLOOKUP($C408,REV!$C:$AA,24,0)-'TRADE IN'!$F408=0,"",(VLOOKUP($C408,REV!$C:$AA,24,0)-'TRADE IN'!$F408))</f>
        <v>1299</v>
      </c>
      <c r="AA408" s="46">
        <f>IF(VLOOKUP($C408,REV!$C:$AA,25,0)-'TRADE IN'!$F408=0,"",(VLOOKUP($C408,REV!$C:$AA,25,0)-'TRADE IN'!$F408))</f>
        <v>1099</v>
      </c>
      <c r="AB408" s="45"/>
      <c r="AC408" s="45"/>
      <c r="AD408" s="45"/>
      <c r="AE408" s="45"/>
      <c r="AF408" s="45"/>
      <c r="AG408" s="45"/>
      <c r="AH408" s="45"/>
      <c r="AI408" s="45"/>
      <c r="AJ408" s="45"/>
      <c r="AK408" s="45"/>
      <c r="AL408" s="45"/>
      <c r="AM408" s="45"/>
      <c r="AN408" s="45"/>
      <c r="AO408" s="45"/>
      <c r="AP408" s="45"/>
      <c r="AQ408" s="45"/>
      <c r="AR408" s="45"/>
      <c r="AS408" s="45"/>
      <c r="AT408" s="45"/>
      <c r="AU408" s="45"/>
      <c r="AV408" s="47"/>
      <c r="AW408" s="48" t="str">
        <f>REV!AW408</f>
        <v>13.08.2026</v>
      </c>
      <c r="AX408" s="149" t="s">
        <v>68</v>
      </c>
    </row>
    <row r="409" spans="1:50" ht="22.5" customHeight="1">
      <c r="A409" s="41" t="s">
        <v>63</v>
      </c>
      <c r="B409" s="42" t="s">
        <v>64</v>
      </c>
      <c r="C409" s="43">
        <v>4017422</v>
      </c>
      <c r="D409" s="56" t="s">
        <v>596</v>
      </c>
      <c r="E409" s="56" t="s">
        <v>598</v>
      </c>
      <c r="F409" s="45">
        <v>500</v>
      </c>
      <c r="G409" s="45"/>
      <c r="H409" s="45"/>
      <c r="I409" s="45"/>
      <c r="J409" s="46">
        <f>IF(VLOOKUP($C409,REV!$C:$AA,8,0)-'TRADE IN'!$F409=0,"",(VLOOKUP($C409,REV!$C:$AA,8,0)-'TRADE IN'!$F409))</f>
        <v>2699</v>
      </c>
      <c r="K409" s="46">
        <f>IF(VLOOKUP($C409,REV!$C:$AA,9,0)-'TRADE IN'!$F409=0,"",(VLOOKUP($C409,REV!$C:$AA,9,0)-'TRADE IN'!$F409))</f>
        <v>2699</v>
      </c>
      <c r="L409" s="46">
        <f>IF(VLOOKUP($C409,REV!$C:$AA,10,0)-'TRADE IN'!$F409=0,"",(VLOOKUP($C409,REV!$C:$AA,10,0)-'TRADE IN'!$F409))</f>
        <v>2699</v>
      </c>
      <c r="M409" s="46">
        <f>IF(VLOOKUP($C409,REV!$C:$AA,11,0)-'TRADE IN'!$F409=0,"",(VLOOKUP($C409,REV!$C:$AA,11,0)-'TRADE IN'!$F409))</f>
        <v>2699</v>
      </c>
      <c r="N409" s="46">
        <f>IF(VLOOKUP($C409,REV!$C:$AA,12,0)-'TRADE IN'!$F409=0,"",(VLOOKUP($C409,REV!$C:$AA,12,0)-'TRADE IN'!$F409))</f>
        <v>2699</v>
      </c>
      <c r="O409" s="46">
        <f>IF(VLOOKUP($C409,REV!$C:$AA,13,0)-'TRADE IN'!$F409=0,"",(VLOOKUP($C409,REV!$C:$AA,13,0)-'TRADE IN'!$F409))</f>
        <v>2599</v>
      </c>
      <c r="P409" s="46">
        <f>IF(VLOOKUP($C409,REV!$C:$AA,14,0)-'TRADE IN'!$F409=0,"",(VLOOKUP($C409,REV!$C:$AA,14,0)-'TRADE IN'!$F409))</f>
        <v>2549</v>
      </c>
      <c r="Q409" s="46">
        <f>IF(VLOOKUP($C409,REV!$C:$AA,15,0)-'TRADE IN'!$F409=0,"",(VLOOKUP($C409,REV!$C:$AA,15,0)-'TRADE IN'!$F409))</f>
        <v>1799</v>
      </c>
      <c r="R409" s="46">
        <f>IF(VLOOKUP($C409,REV!$C:$AA,16,0)-'TRADE IN'!$F409=0,"",(VLOOKUP($C409,REV!$C:$AA,16,0)-'TRADE IN'!$F409))</f>
        <v>2599</v>
      </c>
      <c r="S409" s="46">
        <f>IF(VLOOKUP($C409,REV!$C:$AA,17,0)-'TRADE IN'!$F409=0,"",(VLOOKUP($C409,REV!$C:$AA,17,0)-'TRADE IN'!$F409))</f>
        <v>2549</v>
      </c>
      <c r="T409" s="46">
        <f>IF(VLOOKUP($C409,REV!$C:$AA,18,0)-'TRADE IN'!$F409=0,"",(VLOOKUP($C409,REV!$C:$AA,18,0)-'TRADE IN'!$F409))</f>
        <v>1799</v>
      </c>
      <c r="U409" s="46">
        <f>IF(VLOOKUP($C409,REV!$C:$AA,19,0)-'TRADE IN'!$F409=0,"",(VLOOKUP($C409,REV!$C:$AA,19,0)-'TRADE IN'!$F409))</f>
        <v>1799</v>
      </c>
      <c r="V409" s="46">
        <f>IF(VLOOKUP($C409,REV!$C:$AA,20,0)-'TRADE IN'!$F409=0,"",(VLOOKUP($C409,REV!$C:$AA,20,0)-'TRADE IN'!$F409))</f>
        <v>1799</v>
      </c>
      <c r="W409" s="46">
        <f>IF(VLOOKUP($C409,REV!$C:$AA,21,0)-'TRADE IN'!$F409=0,"",(VLOOKUP($C409,REV!$C:$AA,21,0)-'TRADE IN'!$F409))</f>
        <v>1799</v>
      </c>
      <c r="X409" s="46">
        <f>IF(VLOOKUP($C409,REV!$C:$AA,22,0)-'TRADE IN'!$F409=0,"",(VLOOKUP($C409,REV!$C:$AA,22,0)-'TRADE IN'!$F409))</f>
        <v>1699</v>
      </c>
      <c r="Y409" s="46">
        <f>IF(VLOOKUP($C409,REV!$C:$AA,23,0)-'TRADE IN'!$F409=0,"",(VLOOKUP($C409,REV!$C:$AA,23,0)-'TRADE IN'!$F409))</f>
        <v>1299</v>
      </c>
      <c r="Z409" s="46">
        <f>IF(VLOOKUP($C409,REV!$C:$AA,24,0)-'TRADE IN'!$F409=0,"",(VLOOKUP($C409,REV!$C:$AA,24,0)-'TRADE IN'!$F409))</f>
        <v>1299</v>
      </c>
      <c r="AA409" s="46">
        <f>IF(VLOOKUP($C409,REV!$C:$AA,25,0)-'TRADE IN'!$F409=0,"",(VLOOKUP($C409,REV!$C:$AA,25,0)-'TRADE IN'!$F409))</f>
        <v>1099</v>
      </c>
      <c r="AB409" s="45"/>
      <c r="AC409" s="45"/>
      <c r="AD409" s="45"/>
      <c r="AE409" s="45"/>
      <c r="AF409" s="45"/>
      <c r="AG409" s="45"/>
      <c r="AH409" s="45"/>
      <c r="AI409" s="45"/>
      <c r="AJ409" s="45"/>
      <c r="AK409" s="45"/>
      <c r="AL409" s="45"/>
      <c r="AM409" s="45"/>
      <c r="AN409" s="45"/>
      <c r="AO409" s="45"/>
      <c r="AP409" s="45"/>
      <c r="AQ409" s="45"/>
      <c r="AR409" s="45"/>
      <c r="AS409" s="45"/>
      <c r="AT409" s="45"/>
      <c r="AU409" s="45"/>
      <c r="AV409" s="47"/>
      <c r="AW409" s="48" t="str">
        <f>REV!AW409</f>
        <v>13.08.2026</v>
      </c>
      <c r="AX409" s="149" t="s">
        <v>68</v>
      </c>
    </row>
    <row r="410" spans="1:50" ht="22.5" customHeight="1">
      <c r="A410" s="41" t="s">
        <v>63</v>
      </c>
      <c r="B410" s="42" t="s">
        <v>64</v>
      </c>
      <c r="C410" s="43">
        <v>4017391</v>
      </c>
      <c r="D410" s="56" t="s">
        <v>599</v>
      </c>
      <c r="E410" s="56" t="s">
        <v>600</v>
      </c>
      <c r="F410" s="45">
        <v>300</v>
      </c>
      <c r="G410" s="45"/>
      <c r="H410" s="45"/>
      <c r="I410" s="45"/>
      <c r="J410" s="46">
        <f>IF(VLOOKUP($C410,REV!$C:$AA,8,0)-'TRADE IN'!$F410=0,"",(VLOOKUP($C410,REV!$C:$AA,8,0)-'TRADE IN'!$F410))</f>
        <v>3499</v>
      </c>
      <c r="K410" s="46">
        <f>IF(VLOOKUP($C410,REV!$C:$AA,9,0)-'TRADE IN'!$F410=0,"",(VLOOKUP($C410,REV!$C:$AA,9,0)-'TRADE IN'!$F410))</f>
        <v>3499</v>
      </c>
      <c r="L410" s="46">
        <f>IF(VLOOKUP($C410,REV!$C:$AA,10,0)-'TRADE IN'!$F410=0,"",(VLOOKUP($C410,REV!$C:$AA,10,0)-'TRADE IN'!$F410))</f>
        <v>3499</v>
      </c>
      <c r="M410" s="46">
        <f>IF(VLOOKUP($C410,REV!$C:$AA,11,0)-'TRADE IN'!$F410=0,"",(VLOOKUP($C410,REV!$C:$AA,11,0)-'TRADE IN'!$F410))</f>
        <v>3499</v>
      </c>
      <c r="N410" s="46">
        <f>IF(VLOOKUP($C410,REV!$C:$AA,12,0)-'TRADE IN'!$F410=0,"",(VLOOKUP($C410,REV!$C:$AA,12,0)-'TRADE IN'!$F410))</f>
        <v>3499</v>
      </c>
      <c r="O410" s="46">
        <f>IF(VLOOKUP($C410,REV!$C:$AA,13,0)-'TRADE IN'!$F410=0,"",(VLOOKUP($C410,REV!$C:$AA,13,0)-'TRADE IN'!$F410))</f>
        <v>3399</v>
      </c>
      <c r="P410" s="46">
        <f>IF(VLOOKUP($C410,REV!$C:$AA,14,0)-'TRADE IN'!$F410=0,"",(VLOOKUP($C410,REV!$C:$AA,14,0)-'TRADE IN'!$F410))</f>
        <v>3299</v>
      </c>
      <c r="Q410" s="46">
        <f>IF(VLOOKUP($C410,REV!$C:$AA,15,0)-'TRADE IN'!$F410=0,"",(VLOOKUP($C410,REV!$C:$AA,15,0)-'TRADE IN'!$F410))</f>
        <v>2199</v>
      </c>
      <c r="R410" s="46">
        <f>IF(VLOOKUP($C410,REV!$C:$AA,16,0)-'TRADE IN'!$F410=0,"",(VLOOKUP($C410,REV!$C:$AA,16,0)-'TRADE IN'!$F410))</f>
        <v>3399</v>
      </c>
      <c r="S410" s="46">
        <f>IF(VLOOKUP($C410,REV!$C:$AA,17,0)-'TRADE IN'!$F410=0,"",(VLOOKUP($C410,REV!$C:$AA,17,0)-'TRADE IN'!$F410))</f>
        <v>3299</v>
      </c>
      <c r="T410" s="46">
        <f>IF(VLOOKUP($C410,REV!$C:$AA,18,0)-'TRADE IN'!$F410=0,"",(VLOOKUP($C410,REV!$C:$AA,18,0)-'TRADE IN'!$F410))</f>
        <v>2199</v>
      </c>
      <c r="U410" s="46">
        <f>IF(VLOOKUP($C410,REV!$C:$AA,19,0)-'TRADE IN'!$F410=0,"",(VLOOKUP($C410,REV!$C:$AA,19,0)-'TRADE IN'!$F410))</f>
        <v>2199</v>
      </c>
      <c r="V410" s="46">
        <f>IF(VLOOKUP($C410,REV!$C:$AA,20,0)-'TRADE IN'!$F410=0,"",(VLOOKUP($C410,REV!$C:$AA,20,0)-'TRADE IN'!$F410))</f>
        <v>2199</v>
      </c>
      <c r="W410" s="46">
        <f>IF(VLOOKUP($C410,REV!$C:$AA,21,0)-'TRADE IN'!$F410=0,"",(VLOOKUP($C410,REV!$C:$AA,21,0)-'TRADE IN'!$F410))</f>
        <v>2199</v>
      </c>
      <c r="X410" s="46">
        <f>IF(VLOOKUP($C410,REV!$C:$AA,22,0)-'TRADE IN'!$F410=0,"",(VLOOKUP($C410,REV!$C:$AA,22,0)-'TRADE IN'!$F410))</f>
        <v>2099</v>
      </c>
      <c r="Y410" s="46">
        <f>IF(VLOOKUP($C410,REV!$C:$AA,23,0)-'TRADE IN'!$F410=0,"",(VLOOKUP($C410,REV!$C:$AA,23,0)-'TRADE IN'!$F410))</f>
        <v>1999</v>
      </c>
      <c r="Z410" s="46">
        <f>IF(VLOOKUP($C410,REV!$C:$AA,24,0)-'TRADE IN'!$F410=0,"",(VLOOKUP($C410,REV!$C:$AA,24,0)-'TRADE IN'!$F410))</f>
        <v>1999</v>
      </c>
      <c r="AA410" s="46">
        <f>IF(VLOOKUP($C410,REV!$C:$AA,25,0)-'TRADE IN'!$F410=0,"",(VLOOKUP($C410,REV!$C:$AA,25,0)-'TRADE IN'!$F410))</f>
        <v>1799</v>
      </c>
      <c r="AB410" s="45">
        <f>IF(VLOOKUP($C410,REV!$C:$AL,27,0)-'TRADE IN'!$F410=0,"",(VLOOKUP($C410,REV!$C:$AL,27,0)-'TRADE IN'!$F410))</f>
        <v>3499</v>
      </c>
      <c r="AC410" s="45">
        <f>IF(VLOOKUP($C410,REV!$C:$AL,28,0)-'TRADE IN'!$F410=0,"",(VLOOKUP($C410,REV!$C:$AL,28,0)-'TRADE IN'!$F410))</f>
        <v>3499</v>
      </c>
      <c r="AD410" s="45">
        <f>IF(VLOOKUP($C410,REV!$C:$AL,29,0)-'TRADE IN'!$F410=0,"",(VLOOKUP($C410,REV!$C:$AL,29,0)-'TRADE IN'!$F410))</f>
        <v>3399</v>
      </c>
      <c r="AE410" s="45">
        <f>IF(VLOOKUP($C410,REV!$C:$AL,30,0)-'TRADE IN'!$F410=0,"",(VLOOKUP($C410,REV!$C:$AL,30,0)-'TRADE IN'!$F410))</f>
        <v>3299</v>
      </c>
      <c r="AF410" s="45">
        <f>IF(VLOOKUP($C410,REV!$C:$AL,31,0)-'TRADE IN'!$F410=0,"",(VLOOKUP($C410,REV!$C:$AL,31,0)-'TRADE IN'!$F410))</f>
        <v>3299</v>
      </c>
      <c r="AG410" s="45">
        <f>IF(VLOOKUP($C410,REV!$C:$AL,31,0)-'TRADE IN'!$F410=0,"",(VLOOKUP($C410,REV!$C:$AL,31,0)-'TRADE IN'!$F410))</f>
        <v>3299</v>
      </c>
      <c r="AH410" s="45">
        <f>IF(VLOOKUP($C410,REV!$C:$AL,32,0)-'TRADE IN'!$F410=0,"",(VLOOKUP($C410,REV!$C:$AL,32,0)-'TRADE IN'!$F410))</f>
        <v>2199</v>
      </c>
      <c r="AI410" s="45">
        <f>IF(VLOOKUP($C410,REV!$C:$AL,33,0)-'TRADE IN'!$F410=0,"",(VLOOKUP($C410,REV!$C:$AL,33,0)-'TRADE IN'!$F410))</f>
        <v>2199</v>
      </c>
      <c r="AJ410" s="45">
        <f>IF(VLOOKUP($C410,REV!$C:$AL,34,0)-'TRADE IN'!$F410=0,"",(VLOOKUP($C410,REV!$C:$AL,34,0)-'TRADE IN'!$F410))</f>
        <v>2199</v>
      </c>
      <c r="AK410" s="45">
        <f>IF(VLOOKUP($C410,REV!$C:$AL,35,0)-'TRADE IN'!$F410=0,"",(VLOOKUP($C410,REV!$C:$AL,35,0)-'TRADE IN'!$F410))</f>
        <v>2199</v>
      </c>
      <c r="AL410" s="45">
        <f>IF(VLOOKUP($C410,REV!$C:$AL,36,0)-'TRADE IN'!$F410=0,"",(VLOOKUP($C410,REV!$C:$AL,36,0)-'TRADE IN'!$F410))</f>
        <v>1999</v>
      </c>
      <c r="AM410" s="45"/>
      <c r="AN410" s="45"/>
      <c r="AO410" s="45"/>
      <c r="AP410" s="45"/>
      <c r="AQ410" s="45"/>
      <c r="AR410" s="45"/>
      <c r="AS410" s="45"/>
      <c r="AT410" s="45"/>
      <c r="AU410" s="45"/>
      <c r="AV410" s="47"/>
      <c r="AW410" s="48" t="str">
        <f>REV!AW410</f>
        <v>13.08.2026</v>
      </c>
      <c r="AX410" s="149" t="s">
        <v>68</v>
      </c>
    </row>
    <row r="411" spans="1:50" ht="22.5" customHeight="1">
      <c r="A411" s="41" t="s">
        <v>63</v>
      </c>
      <c r="B411" s="42" t="s">
        <v>64</v>
      </c>
      <c r="C411" s="43">
        <v>4017406</v>
      </c>
      <c r="D411" s="56" t="s">
        <v>599</v>
      </c>
      <c r="E411" s="56" t="s">
        <v>601</v>
      </c>
      <c r="F411" s="45">
        <v>300</v>
      </c>
      <c r="G411" s="45"/>
      <c r="H411" s="45"/>
      <c r="I411" s="45"/>
      <c r="J411" s="46">
        <f>IF(VLOOKUP($C411,REV!$C:$AA,8,0)-'TRADE IN'!$F411=0,"",(VLOOKUP($C411,REV!$C:$AA,8,0)-'TRADE IN'!$F411))</f>
        <v>3499</v>
      </c>
      <c r="K411" s="46">
        <f>IF(VLOOKUP($C411,REV!$C:$AA,9,0)-'TRADE IN'!$F411=0,"",(VLOOKUP($C411,REV!$C:$AA,9,0)-'TRADE IN'!$F411))</f>
        <v>3499</v>
      </c>
      <c r="L411" s="46">
        <f>IF(VLOOKUP($C411,REV!$C:$AA,10,0)-'TRADE IN'!$F411=0,"",(VLOOKUP($C411,REV!$C:$AA,10,0)-'TRADE IN'!$F411))</f>
        <v>3499</v>
      </c>
      <c r="M411" s="46">
        <f>IF(VLOOKUP($C411,REV!$C:$AA,11,0)-'TRADE IN'!$F411=0,"",(VLOOKUP($C411,REV!$C:$AA,11,0)-'TRADE IN'!$F411))</f>
        <v>3499</v>
      </c>
      <c r="N411" s="46">
        <f>IF(VLOOKUP($C411,REV!$C:$AA,12,0)-'TRADE IN'!$F411=0,"",(VLOOKUP($C411,REV!$C:$AA,12,0)-'TRADE IN'!$F411))</f>
        <v>3499</v>
      </c>
      <c r="O411" s="46">
        <f>IF(VLOOKUP($C411,REV!$C:$AA,13,0)-'TRADE IN'!$F411=0,"",(VLOOKUP($C411,REV!$C:$AA,13,0)-'TRADE IN'!$F411))</f>
        <v>3399</v>
      </c>
      <c r="P411" s="46">
        <f>IF(VLOOKUP($C411,REV!$C:$AA,14,0)-'TRADE IN'!$F411=0,"",(VLOOKUP($C411,REV!$C:$AA,14,0)-'TRADE IN'!$F411))</f>
        <v>3299</v>
      </c>
      <c r="Q411" s="46">
        <f>IF(VLOOKUP($C411,REV!$C:$AA,15,0)-'TRADE IN'!$F411=0,"",(VLOOKUP($C411,REV!$C:$AA,15,0)-'TRADE IN'!$F411))</f>
        <v>2199</v>
      </c>
      <c r="R411" s="46">
        <f>IF(VLOOKUP($C411,REV!$C:$AA,16,0)-'TRADE IN'!$F411=0,"",(VLOOKUP($C411,REV!$C:$AA,16,0)-'TRADE IN'!$F411))</f>
        <v>3399</v>
      </c>
      <c r="S411" s="46">
        <f>IF(VLOOKUP($C411,REV!$C:$AA,17,0)-'TRADE IN'!$F411=0,"",(VLOOKUP($C411,REV!$C:$AA,17,0)-'TRADE IN'!$F411))</f>
        <v>3299</v>
      </c>
      <c r="T411" s="46">
        <f>IF(VLOOKUP($C411,REV!$C:$AA,18,0)-'TRADE IN'!$F411=0,"",(VLOOKUP($C411,REV!$C:$AA,18,0)-'TRADE IN'!$F411))</f>
        <v>2199</v>
      </c>
      <c r="U411" s="46">
        <f>IF(VLOOKUP($C411,REV!$C:$AA,19,0)-'TRADE IN'!$F411=0,"",(VLOOKUP($C411,REV!$C:$AA,19,0)-'TRADE IN'!$F411))</f>
        <v>2199</v>
      </c>
      <c r="V411" s="46">
        <f>IF(VLOOKUP($C411,REV!$C:$AA,20,0)-'TRADE IN'!$F411=0,"",(VLOOKUP($C411,REV!$C:$AA,20,0)-'TRADE IN'!$F411))</f>
        <v>2199</v>
      </c>
      <c r="W411" s="46">
        <f>IF(VLOOKUP($C411,REV!$C:$AA,21,0)-'TRADE IN'!$F411=0,"",(VLOOKUP($C411,REV!$C:$AA,21,0)-'TRADE IN'!$F411))</f>
        <v>2199</v>
      </c>
      <c r="X411" s="46">
        <f>IF(VLOOKUP($C411,REV!$C:$AA,22,0)-'TRADE IN'!$F411=0,"",(VLOOKUP($C411,REV!$C:$AA,22,0)-'TRADE IN'!$F411))</f>
        <v>2099</v>
      </c>
      <c r="Y411" s="46">
        <f>IF(VLOOKUP($C411,REV!$C:$AA,23,0)-'TRADE IN'!$F411=0,"",(VLOOKUP($C411,REV!$C:$AA,23,0)-'TRADE IN'!$F411))</f>
        <v>1999</v>
      </c>
      <c r="Z411" s="46">
        <f>IF(VLOOKUP($C411,REV!$C:$AA,24,0)-'TRADE IN'!$F411=0,"",(VLOOKUP($C411,REV!$C:$AA,24,0)-'TRADE IN'!$F411))</f>
        <v>1999</v>
      </c>
      <c r="AA411" s="46">
        <f>IF(VLOOKUP($C411,REV!$C:$AA,25,0)-'TRADE IN'!$F411=0,"",(VLOOKUP($C411,REV!$C:$AA,25,0)-'TRADE IN'!$F411))</f>
        <v>1799</v>
      </c>
      <c r="AB411" s="45">
        <f>IF(VLOOKUP($C411,REV!$C:$AL,27,0)-'TRADE IN'!$F411=0,"",(VLOOKUP($C411,REV!$C:$AL,27,0)-'TRADE IN'!$F411))</f>
        <v>3499</v>
      </c>
      <c r="AC411" s="45">
        <f>IF(VLOOKUP($C411,REV!$C:$AL,28,0)-'TRADE IN'!$F411=0,"",(VLOOKUP($C411,REV!$C:$AL,28,0)-'TRADE IN'!$F411))</f>
        <v>3499</v>
      </c>
      <c r="AD411" s="45">
        <f>IF(VLOOKUP($C411,REV!$C:$AL,29,0)-'TRADE IN'!$F411=0,"",(VLOOKUP($C411,REV!$C:$AL,29,0)-'TRADE IN'!$F411))</f>
        <v>3399</v>
      </c>
      <c r="AE411" s="45">
        <f>IF(VLOOKUP($C411,REV!$C:$AL,30,0)-'TRADE IN'!$F411=0,"",(VLOOKUP($C411,REV!$C:$AL,30,0)-'TRADE IN'!$F411))</f>
        <v>3299</v>
      </c>
      <c r="AF411" s="45">
        <f>IF(VLOOKUP($C411,REV!$C:$AL,31,0)-'TRADE IN'!$F411=0,"",(VLOOKUP($C411,REV!$C:$AL,31,0)-'TRADE IN'!$F411))</f>
        <v>3299</v>
      </c>
      <c r="AG411" s="45">
        <f>IF(VLOOKUP($C411,REV!$C:$AL,31,0)-'TRADE IN'!$F411=0,"",(VLOOKUP($C411,REV!$C:$AL,31,0)-'TRADE IN'!$F411))</f>
        <v>3299</v>
      </c>
      <c r="AH411" s="45">
        <f>IF(VLOOKUP($C411,REV!$C:$AL,32,0)-'TRADE IN'!$F411=0,"",(VLOOKUP($C411,REV!$C:$AL,32,0)-'TRADE IN'!$F411))</f>
        <v>2199</v>
      </c>
      <c r="AI411" s="45">
        <f>IF(VLOOKUP($C411,REV!$C:$AL,33,0)-'TRADE IN'!$F411=0,"",(VLOOKUP($C411,REV!$C:$AL,33,0)-'TRADE IN'!$F411))</f>
        <v>2199</v>
      </c>
      <c r="AJ411" s="45">
        <f>IF(VLOOKUP($C411,REV!$C:$AL,34,0)-'TRADE IN'!$F411=0,"",(VLOOKUP($C411,REV!$C:$AL,34,0)-'TRADE IN'!$F411))</f>
        <v>2199</v>
      </c>
      <c r="AK411" s="45">
        <f>IF(VLOOKUP($C411,REV!$C:$AL,35,0)-'TRADE IN'!$F411=0,"",(VLOOKUP($C411,REV!$C:$AL,35,0)-'TRADE IN'!$F411))</f>
        <v>2199</v>
      </c>
      <c r="AL411" s="45">
        <f>IF(VLOOKUP($C411,REV!$C:$AL,36,0)-'TRADE IN'!$F411=0,"",(VLOOKUP($C411,REV!$C:$AL,36,0)-'TRADE IN'!$F411))</f>
        <v>1999</v>
      </c>
      <c r="AM411" s="45"/>
      <c r="AN411" s="45"/>
      <c r="AO411" s="45"/>
      <c r="AP411" s="45"/>
      <c r="AQ411" s="45"/>
      <c r="AR411" s="45"/>
      <c r="AS411" s="45"/>
      <c r="AT411" s="45"/>
      <c r="AU411" s="45"/>
      <c r="AV411" s="47"/>
      <c r="AW411" s="48" t="str">
        <f>REV!AW411</f>
        <v>13.08.2026</v>
      </c>
      <c r="AX411" s="149" t="s">
        <v>68</v>
      </c>
    </row>
    <row r="412" spans="1:50" ht="22.5" customHeight="1">
      <c r="A412" s="41" t="s">
        <v>63</v>
      </c>
      <c r="B412" s="42" t="s">
        <v>64</v>
      </c>
      <c r="C412" s="43">
        <v>4017411</v>
      </c>
      <c r="D412" s="56" t="s">
        <v>599</v>
      </c>
      <c r="E412" s="56" t="s">
        <v>602</v>
      </c>
      <c r="F412" s="45">
        <v>300</v>
      </c>
      <c r="G412" s="45"/>
      <c r="H412" s="45"/>
      <c r="I412" s="45"/>
      <c r="J412" s="46">
        <f>IF(VLOOKUP($C412,REV!$C:$AA,8,0)-'TRADE IN'!$F412=0,"",(VLOOKUP($C412,REV!$C:$AA,8,0)-'TRADE IN'!$F412))</f>
        <v>3499</v>
      </c>
      <c r="K412" s="46">
        <f>IF(VLOOKUP($C412,REV!$C:$AA,9,0)-'TRADE IN'!$F412=0,"",(VLOOKUP($C412,REV!$C:$AA,9,0)-'TRADE IN'!$F412))</f>
        <v>3499</v>
      </c>
      <c r="L412" s="46">
        <f>IF(VLOOKUP($C412,REV!$C:$AA,10,0)-'TRADE IN'!$F412=0,"",(VLOOKUP($C412,REV!$C:$AA,10,0)-'TRADE IN'!$F412))</f>
        <v>3499</v>
      </c>
      <c r="M412" s="46">
        <f>IF(VLOOKUP($C412,REV!$C:$AA,11,0)-'TRADE IN'!$F412=0,"",(VLOOKUP($C412,REV!$C:$AA,11,0)-'TRADE IN'!$F412))</f>
        <v>3499</v>
      </c>
      <c r="N412" s="46">
        <f>IF(VLOOKUP($C412,REV!$C:$AA,12,0)-'TRADE IN'!$F412=0,"",(VLOOKUP($C412,REV!$C:$AA,12,0)-'TRADE IN'!$F412))</f>
        <v>3499</v>
      </c>
      <c r="O412" s="46">
        <f>IF(VLOOKUP($C412,REV!$C:$AA,13,0)-'TRADE IN'!$F412=0,"",(VLOOKUP($C412,REV!$C:$AA,13,0)-'TRADE IN'!$F412))</f>
        <v>3399</v>
      </c>
      <c r="P412" s="46">
        <f>IF(VLOOKUP($C412,REV!$C:$AA,14,0)-'TRADE IN'!$F412=0,"",(VLOOKUP($C412,REV!$C:$AA,14,0)-'TRADE IN'!$F412))</f>
        <v>3299</v>
      </c>
      <c r="Q412" s="46">
        <f>IF(VLOOKUP($C412,REV!$C:$AA,15,0)-'TRADE IN'!$F412=0,"",(VLOOKUP($C412,REV!$C:$AA,15,0)-'TRADE IN'!$F412))</f>
        <v>2199</v>
      </c>
      <c r="R412" s="46">
        <f>IF(VLOOKUP($C412,REV!$C:$AA,16,0)-'TRADE IN'!$F412=0,"",(VLOOKUP($C412,REV!$C:$AA,16,0)-'TRADE IN'!$F412))</f>
        <v>3399</v>
      </c>
      <c r="S412" s="46">
        <f>IF(VLOOKUP($C412,REV!$C:$AA,17,0)-'TRADE IN'!$F412=0,"",(VLOOKUP($C412,REV!$C:$AA,17,0)-'TRADE IN'!$F412))</f>
        <v>3299</v>
      </c>
      <c r="T412" s="46">
        <f>IF(VLOOKUP($C412,REV!$C:$AA,18,0)-'TRADE IN'!$F412=0,"",(VLOOKUP($C412,REV!$C:$AA,18,0)-'TRADE IN'!$F412))</f>
        <v>2199</v>
      </c>
      <c r="U412" s="46">
        <f>IF(VLOOKUP($C412,REV!$C:$AA,19,0)-'TRADE IN'!$F412=0,"",(VLOOKUP($C412,REV!$C:$AA,19,0)-'TRADE IN'!$F412))</f>
        <v>2199</v>
      </c>
      <c r="V412" s="46">
        <f>IF(VLOOKUP($C412,REV!$C:$AA,20,0)-'TRADE IN'!$F412=0,"",(VLOOKUP($C412,REV!$C:$AA,20,0)-'TRADE IN'!$F412))</f>
        <v>2199</v>
      </c>
      <c r="W412" s="46">
        <f>IF(VLOOKUP($C412,REV!$C:$AA,21,0)-'TRADE IN'!$F412=0,"",(VLOOKUP($C412,REV!$C:$AA,21,0)-'TRADE IN'!$F412))</f>
        <v>2199</v>
      </c>
      <c r="X412" s="46">
        <f>IF(VLOOKUP($C412,REV!$C:$AA,22,0)-'TRADE IN'!$F412=0,"",(VLOOKUP($C412,REV!$C:$AA,22,0)-'TRADE IN'!$F412))</f>
        <v>2099</v>
      </c>
      <c r="Y412" s="46">
        <f>IF(VLOOKUP($C412,REV!$C:$AA,23,0)-'TRADE IN'!$F412=0,"",(VLOOKUP($C412,REV!$C:$AA,23,0)-'TRADE IN'!$F412))</f>
        <v>1999</v>
      </c>
      <c r="Z412" s="46">
        <f>IF(VLOOKUP($C412,REV!$C:$AA,24,0)-'TRADE IN'!$F412=0,"",(VLOOKUP($C412,REV!$C:$AA,24,0)-'TRADE IN'!$F412))</f>
        <v>1999</v>
      </c>
      <c r="AA412" s="46">
        <f>IF(VLOOKUP($C412,REV!$C:$AA,25,0)-'TRADE IN'!$F412=0,"",(VLOOKUP($C412,REV!$C:$AA,25,0)-'TRADE IN'!$F412))</f>
        <v>1799</v>
      </c>
      <c r="AB412" s="45">
        <f>IF(VLOOKUP($C412,REV!$C:$AL,27,0)-'TRADE IN'!$F412=0,"",(VLOOKUP($C412,REV!$C:$AL,27,0)-'TRADE IN'!$F412))</f>
        <v>3499</v>
      </c>
      <c r="AC412" s="45">
        <f>IF(VLOOKUP($C412,REV!$C:$AL,28,0)-'TRADE IN'!$F412=0,"",(VLOOKUP($C412,REV!$C:$AL,28,0)-'TRADE IN'!$F412))</f>
        <v>3499</v>
      </c>
      <c r="AD412" s="45">
        <f>IF(VLOOKUP($C412,REV!$C:$AL,29,0)-'TRADE IN'!$F412=0,"",(VLOOKUP($C412,REV!$C:$AL,29,0)-'TRADE IN'!$F412))</f>
        <v>3399</v>
      </c>
      <c r="AE412" s="45">
        <f>IF(VLOOKUP($C412,REV!$C:$AL,30,0)-'TRADE IN'!$F412=0,"",(VLOOKUP($C412,REV!$C:$AL,30,0)-'TRADE IN'!$F412))</f>
        <v>3299</v>
      </c>
      <c r="AF412" s="45">
        <f>IF(VLOOKUP($C412,REV!$C:$AL,31,0)-'TRADE IN'!$F412=0,"",(VLOOKUP($C412,REV!$C:$AL,31,0)-'TRADE IN'!$F412))</f>
        <v>3299</v>
      </c>
      <c r="AG412" s="45">
        <f>IF(VLOOKUP($C412,REV!$C:$AL,31,0)-'TRADE IN'!$F412=0,"",(VLOOKUP($C412,REV!$C:$AL,31,0)-'TRADE IN'!$F412))</f>
        <v>3299</v>
      </c>
      <c r="AH412" s="45">
        <f>IF(VLOOKUP($C412,REV!$C:$AL,32,0)-'TRADE IN'!$F412=0,"",(VLOOKUP($C412,REV!$C:$AL,32,0)-'TRADE IN'!$F412))</f>
        <v>2199</v>
      </c>
      <c r="AI412" s="45">
        <f>IF(VLOOKUP($C412,REV!$C:$AL,33,0)-'TRADE IN'!$F412=0,"",(VLOOKUP($C412,REV!$C:$AL,33,0)-'TRADE IN'!$F412))</f>
        <v>2199</v>
      </c>
      <c r="AJ412" s="45">
        <f>IF(VLOOKUP($C412,REV!$C:$AL,34,0)-'TRADE IN'!$F412=0,"",(VLOOKUP($C412,REV!$C:$AL,34,0)-'TRADE IN'!$F412))</f>
        <v>2199</v>
      </c>
      <c r="AK412" s="45">
        <f>IF(VLOOKUP($C412,REV!$C:$AL,35,0)-'TRADE IN'!$F412=0,"",(VLOOKUP($C412,REV!$C:$AL,35,0)-'TRADE IN'!$F412))</f>
        <v>2199</v>
      </c>
      <c r="AL412" s="45">
        <f>IF(VLOOKUP($C412,REV!$C:$AL,36,0)-'TRADE IN'!$F412=0,"",(VLOOKUP($C412,REV!$C:$AL,36,0)-'TRADE IN'!$F412))</f>
        <v>1999</v>
      </c>
      <c r="AM412" s="45"/>
      <c r="AN412" s="45"/>
      <c r="AO412" s="45"/>
      <c r="AP412" s="45"/>
      <c r="AQ412" s="45"/>
      <c r="AR412" s="45"/>
      <c r="AS412" s="45"/>
      <c r="AT412" s="45"/>
      <c r="AU412" s="45"/>
      <c r="AV412" s="47"/>
      <c r="AW412" s="48" t="str">
        <f>REV!AW412</f>
        <v>13.08.2026</v>
      </c>
      <c r="AX412" s="149" t="s">
        <v>68</v>
      </c>
    </row>
    <row r="413" spans="1:50" ht="22.5" customHeight="1">
      <c r="A413" s="41" t="s">
        <v>63</v>
      </c>
      <c r="B413" s="42" t="s">
        <v>64</v>
      </c>
      <c r="C413" s="43">
        <v>4017421</v>
      </c>
      <c r="D413" s="56" t="s">
        <v>599</v>
      </c>
      <c r="E413" s="56" t="s">
        <v>603</v>
      </c>
      <c r="F413" s="45">
        <v>300</v>
      </c>
      <c r="G413" s="45"/>
      <c r="H413" s="45"/>
      <c r="I413" s="45"/>
      <c r="J413" s="46">
        <f>IF(VLOOKUP($C413,REV!$C:$AA,8,0)-'TRADE IN'!$F413=0,"",(VLOOKUP($C413,REV!$C:$AA,8,0)-'TRADE IN'!$F413))</f>
        <v>3499</v>
      </c>
      <c r="K413" s="46">
        <f>IF(VLOOKUP($C413,REV!$C:$AA,9,0)-'TRADE IN'!$F413=0,"",(VLOOKUP($C413,REV!$C:$AA,9,0)-'TRADE IN'!$F413))</f>
        <v>3499</v>
      </c>
      <c r="L413" s="46">
        <f>IF(VLOOKUP($C413,REV!$C:$AA,10,0)-'TRADE IN'!$F413=0,"",(VLOOKUP($C413,REV!$C:$AA,10,0)-'TRADE IN'!$F413))</f>
        <v>3499</v>
      </c>
      <c r="M413" s="46">
        <f>IF(VLOOKUP($C413,REV!$C:$AA,11,0)-'TRADE IN'!$F413=0,"",(VLOOKUP($C413,REV!$C:$AA,11,0)-'TRADE IN'!$F413))</f>
        <v>3499</v>
      </c>
      <c r="N413" s="46">
        <f>IF(VLOOKUP($C413,REV!$C:$AA,12,0)-'TRADE IN'!$F413=0,"",(VLOOKUP($C413,REV!$C:$AA,12,0)-'TRADE IN'!$F413))</f>
        <v>3499</v>
      </c>
      <c r="O413" s="46">
        <f>IF(VLOOKUP($C413,REV!$C:$AA,13,0)-'TRADE IN'!$F413=0,"",(VLOOKUP($C413,REV!$C:$AA,13,0)-'TRADE IN'!$F413))</f>
        <v>3399</v>
      </c>
      <c r="P413" s="46">
        <f>IF(VLOOKUP($C413,REV!$C:$AA,14,0)-'TRADE IN'!$F413=0,"",(VLOOKUP($C413,REV!$C:$AA,14,0)-'TRADE IN'!$F413))</f>
        <v>3299</v>
      </c>
      <c r="Q413" s="46">
        <f>IF(VLOOKUP($C413,REV!$C:$AA,15,0)-'TRADE IN'!$F413=0,"",(VLOOKUP($C413,REV!$C:$AA,15,0)-'TRADE IN'!$F413))</f>
        <v>2199</v>
      </c>
      <c r="R413" s="46">
        <f>IF(VLOOKUP($C413,REV!$C:$AA,16,0)-'TRADE IN'!$F413=0,"",(VLOOKUP($C413,REV!$C:$AA,16,0)-'TRADE IN'!$F413))</f>
        <v>3399</v>
      </c>
      <c r="S413" s="46">
        <f>IF(VLOOKUP($C413,REV!$C:$AA,17,0)-'TRADE IN'!$F413=0,"",(VLOOKUP($C413,REV!$C:$AA,17,0)-'TRADE IN'!$F413))</f>
        <v>3299</v>
      </c>
      <c r="T413" s="46">
        <f>IF(VLOOKUP($C413,REV!$C:$AA,18,0)-'TRADE IN'!$F413=0,"",(VLOOKUP($C413,REV!$C:$AA,18,0)-'TRADE IN'!$F413))</f>
        <v>2199</v>
      </c>
      <c r="U413" s="46">
        <f>IF(VLOOKUP($C413,REV!$C:$AA,19,0)-'TRADE IN'!$F413=0,"",(VLOOKUP($C413,REV!$C:$AA,19,0)-'TRADE IN'!$F413))</f>
        <v>2199</v>
      </c>
      <c r="V413" s="46">
        <f>IF(VLOOKUP($C413,REV!$C:$AA,20,0)-'TRADE IN'!$F413=0,"",(VLOOKUP($C413,REV!$C:$AA,20,0)-'TRADE IN'!$F413))</f>
        <v>2199</v>
      </c>
      <c r="W413" s="46">
        <f>IF(VLOOKUP($C413,REV!$C:$AA,21,0)-'TRADE IN'!$F413=0,"",(VLOOKUP($C413,REV!$C:$AA,21,0)-'TRADE IN'!$F413))</f>
        <v>2199</v>
      </c>
      <c r="X413" s="46">
        <f>IF(VLOOKUP($C413,REV!$C:$AA,22,0)-'TRADE IN'!$F413=0,"",(VLOOKUP($C413,REV!$C:$AA,22,0)-'TRADE IN'!$F413))</f>
        <v>2099</v>
      </c>
      <c r="Y413" s="46">
        <f>IF(VLOOKUP($C413,REV!$C:$AA,23,0)-'TRADE IN'!$F413=0,"",(VLOOKUP($C413,REV!$C:$AA,23,0)-'TRADE IN'!$F413))</f>
        <v>1999</v>
      </c>
      <c r="Z413" s="46">
        <f>IF(VLOOKUP($C413,REV!$C:$AA,24,0)-'TRADE IN'!$F413=0,"",(VLOOKUP($C413,REV!$C:$AA,24,0)-'TRADE IN'!$F413))</f>
        <v>1999</v>
      </c>
      <c r="AA413" s="46">
        <f>IF(VLOOKUP($C413,REV!$C:$AA,25,0)-'TRADE IN'!$F413=0,"",(VLOOKUP($C413,REV!$C:$AA,25,0)-'TRADE IN'!$F413))</f>
        <v>1799</v>
      </c>
      <c r="AB413" s="45">
        <f>IF(VLOOKUP($C413,REV!$C:$AL,27,0)-'TRADE IN'!$F413=0,"",(VLOOKUP($C413,REV!$C:$AL,27,0)-'TRADE IN'!$F413))</f>
        <v>3499</v>
      </c>
      <c r="AC413" s="45">
        <f>IF(VLOOKUP($C413,REV!$C:$AL,28,0)-'TRADE IN'!$F413=0,"",(VLOOKUP($C413,REV!$C:$AL,28,0)-'TRADE IN'!$F413))</f>
        <v>3499</v>
      </c>
      <c r="AD413" s="45">
        <f>IF(VLOOKUP($C413,REV!$C:$AL,29,0)-'TRADE IN'!$F413=0,"",(VLOOKUP($C413,REV!$C:$AL,29,0)-'TRADE IN'!$F413))</f>
        <v>3399</v>
      </c>
      <c r="AE413" s="45">
        <f>IF(VLOOKUP($C413,REV!$C:$AL,30,0)-'TRADE IN'!$F413=0,"",(VLOOKUP($C413,REV!$C:$AL,30,0)-'TRADE IN'!$F413))</f>
        <v>3299</v>
      </c>
      <c r="AF413" s="45">
        <f>IF(VLOOKUP($C413,REV!$C:$AL,31,0)-'TRADE IN'!$F413=0,"",(VLOOKUP($C413,REV!$C:$AL,31,0)-'TRADE IN'!$F413))</f>
        <v>3299</v>
      </c>
      <c r="AG413" s="45">
        <f>IF(VLOOKUP($C413,REV!$C:$AL,31,0)-'TRADE IN'!$F413=0,"",(VLOOKUP($C413,REV!$C:$AL,31,0)-'TRADE IN'!$F413))</f>
        <v>3299</v>
      </c>
      <c r="AH413" s="45">
        <f>IF(VLOOKUP($C413,REV!$C:$AL,32,0)-'TRADE IN'!$F413=0,"",(VLOOKUP($C413,REV!$C:$AL,32,0)-'TRADE IN'!$F413))</f>
        <v>2199</v>
      </c>
      <c r="AI413" s="45">
        <f>IF(VLOOKUP($C413,REV!$C:$AL,33,0)-'TRADE IN'!$F413=0,"",(VLOOKUP($C413,REV!$C:$AL,33,0)-'TRADE IN'!$F413))</f>
        <v>2199</v>
      </c>
      <c r="AJ413" s="45">
        <f>IF(VLOOKUP($C413,REV!$C:$AL,34,0)-'TRADE IN'!$F413=0,"",(VLOOKUP($C413,REV!$C:$AL,34,0)-'TRADE IN'!$F413))</f>
        <v>2199</v>
      </c>
      <c r="AK413" s="45">
        <f>IF(VLOOKUP($C413,REV!$C:$AL,35,0)-'TRADE IN'!$F413=0,"",(VLOOKUP($C413,REV!$C:$AL,35,0)-'TRADE IN'!$F413))</f>
        <v>2199</v>
      </c>
      <c r="AL413" s="45">
        <f>IF(VLOOKUP($C413,REV!$C:$AL,36,0)-'TRADE IN'!$F413=0,"",(VLOOKUP($C413,REV!$C:$AL,36,0)-'TRADE IN'!$F413))</f>
        <v>1999</v>
      </c>
      <c r="AM413" s="45"/>
      <c r="AN413" s="45"/>
      <c r="AO413" s="45"/>
      <c r="AP413" s="45"/>
      <c r="AQ413" s="45"/>
      <c r="AR413" s="45"/>
      <c r="AS413" s="45"/>
      <c r="AT413" s="45"/>
      <c r="AU413" s="45"/>
      <c r="AV413" s="47"/>
      <c r="AW413" s="48" t="str">
        <f>REV!AW413</f>
        <v>13.08.2026</v>
      </c>
      <c r="AX413" s="149" t="s">
        <v>68</v>
      </c>
    </row>
    <row r="414" spans="1:50" ht="22.5" customHeight="1">
      <c r="A414" s="41" t="s">
        <v>63</v>
      </c>
      <c r="B414" s="42" t="s">
        <v>64</v>
      </c>
      <c r="C414" s="43">
        <v>4017416</v>
      </c>
      <c r="D414" s="56" t="s">
        <v>599</v>
      </c>
      <c r="E414" s="56" t="s">
        <v>604</v>
      </c>
      <c r="F414" s="45">
        <v>300</v>
      </c>
      <c r="G414" s="45"/>
      <c r="H414" s="45"/>
      <c r="I414" s="45"/>
      <c r="J414" s="46">
        <f>IF(VLOOKUP($C414,REV!$C:$AA,8,0)-'TRADE IN'!$F414=0,"",(VLOOKUP($C414,REV!$C:$AA,8,0)-'TRADE IN'!$F414))</f>
        <v>3499</v>
      </c>
      <c r="K414" s="46">
        <f>IF(VLOOKUP($C414,REV!$C:$AA,9,0)-'TRADE IN'!$F414=0,"",(VLOOKUP($C414,REV!$C:$AA,9,0)-'TRADE IN'!$F414))</f>
        <v>3499</v>
      </c>
      <c r="L414" s="46">
        <f>IF(VLOOKUP($C414,REV!$C:$AA,10,0)-'TRADE IN'!$F414=0,"",(VLOOKUP($C414,REV!$C:$AA,10,0)-'TRADE IN'!$F414))</f>
        <v>3499</v>
      </c>
      <c r="M414" s="46">
        <f>IF(VLOOKUP($C414,REV!$C:$AA,11,0)-'TRADE IN'!$F414=0,"",(VLOOKUP($C414,REV!$C:$AA,11,0)-'TRADE IN'!$F414))</f>
        <v>3499</v>
      </c>
      <c r="N414" s="46">
        <f>IF(VLOOKUP($C414,REV!$C:$AA,12,0)-'TRADE IN'!$F414=0,"",(VLOOKUP($C414,REV!$C:$AA,12,0)-'TRADE IN'!$F414))</f>
        <v>3499</v>
      </c>
      <c r="O414" s="46">
        <f>IF(VLOOKUP($C414,REV!$C:$AA,13,0)-'TRADE IN'!$F414=0,"",(VLOOKUP($C414,REV!$C:$AA,13,0)-'TRADE IN'!$F414))</f>
        <v>3399</v>
      </c>
      <c r="P414" s="46">
        <f>IF(VLOOKUP($C414,REV!$C:$AA,14,0)-'TRADE IN'!$F414=0,"",(VLOOKUP($C414,REV!$C:$AA,14,0)-'TRADE IN'!$F414))</f>
        <v>3299</v>
      </c>
      <c r="Q414" s="46">
        <f>IF(VLOOKUP($C414,REV!$C:$AA,15,0)-'TRADE IN'!$F414=0,"",(VLOOKUP($C414,REV!$C:$AA,15,0)-'TRADE IN'!$F414))</f>
        <v>2199</v>
      </c>
      <c r="R414" s="46">
        <f>IF(VLOOKUP($C414,REV!$C:$AA,16,0)-'TRADE IN'!$F414=0,"",(VLOOKUP($C414,REV!$C:$AA,16,0)-'TRADE IN'!$F414))</f>
        <v>3399</v>
      </c>
      <c r="S414" s="46">
        <f>IF(VLOOKUP($C414,REV!$C:$AA,17,0)-'TRADE IN'!$F414=0,"",(VLOOKUP($C414,REV!$C:$AA,17,0)-'TRADE IN'!$F414))</f>
        <v>3299</v>
      </c>
      <c r="T414" s="46">
        <f>IF(VLOOKUP($C414,REV!$C:$AA,18,0)-'TRADE IN'!$F414=0,"",(VLOOKUP($C414,REV!$C:$AA,18,0)-'TRADE IN'!$F414))</f>
        <v>2199</v>
      </c>
      <c r="U414" s="46">
        <f>IF(VLOOKUP($C414,REV!$C:$AA,19,0)-'TRADE IN'!$F414=0,"",(VLOOKUP($C414,REV!$C:$AA,19,0)-'TRADE IN'!$F414))</f>
        <v>2199</v>
      </c>
      <c r="V414" s="46">
        <f>IF(VLOOKUP($C414,REV!$C:$AA,20,0)-'TRADE IN'!$F414=0,"",(VLOOKUP($C414,REV!$C:$AA,20,0)-'TRADE IN'!$F414))</f>
        <v>2199</v>
      </c>
      <c r="W414" s="46">
        <f>IF(VLOOKUP($C414,REV!$C:$AA,21,0)-'TRADE IN'!$F414=0,"",(VLOOKUP($C414,REV!$C:$AA,21,0)-'TRADE IN'!$F414))</f>
        <v>2199</v>
      </c>
      <c r="X414" s="46">
        <f>IF(VLOOKUP($C414,REV!$C:$AA,22,0)-'TRADE IN'!$F414=0,"",(VLOOKUP($C414,REV!$C:$AA,22,0)-'TRADE IN'!$F414))</f>
        <v>2099</v>
      </c>
      <c r="Y414" s="46">
        <f>IF(VLOOKUP($C414,REV!$C:$AA,23,0)-'TRADE IN'!$F414=0,"",(VLOOKUP($C414,REV!$C:$AA,23,0)-'TRADE IN'!$F414))</f>
        <v>1999</v>
      </c>
      <c r="Z414" s="46">
        <f>IF(VLOOKUP($C414,REV!$C:$AA,24,0)-'TRADE IN'!$F414=0,"",(VLOOKUP($C414,REV!$C:$AA,24,0)-'TRADE IN'!$F414))</f>
        <v>1999</v>
      </c>
      <c r="AA414" s="46">
        <f>IF(VLOOKUP($C414,REV!$C:$AA,25,0)-'TRADE IN'!$F414=0,"",(VLOOKUP($C414,REV!$C:$AA,25,0)-'TRADE IN'!$F414))</f>
        <v>1799</v>
      </c>
      <c r="AB414" s="45">
        <f>IF(VLOOKUP($C414,REV!$C:$AL,27,0)-'TRADE IN'!$F414=0,"",(VLOOKUP($C414,REV!$C:$AL,27,0)-'TRADE IN'!$F414))</f>
        <v>3499</v>
      </c>
      <c r="AC414" s="45">
        <f>IF(VLOOKUP($C414,REV!$C:$AL,28,0)-'TRADE IN'!$F414=0,"",(VLOOKUP($C414,REV!$C:$AL,28,0)-'TRADE IN'!$F414))</f>
        <v>3499</v>
      </c>
      <c r="AD414" s="45">
        <f>IF(VLOOKUP($C414,REV!$C:$AL,29,0)-'TRADE IN'!$F414=0,"",(VLOOKUP($C414,REV!$C:$AL,29,0)-'TRADE IN'!$F414))</f>
        <v>3399</v>
      </c>
      <c r="AE414" s="45">
        <f>IF(VLOOKUP($C414,REV!$C:$AL,30,0)-'TRADE IN'!$F414=0,"",(VLOOKUP($C414,REV!$C:$AL,30,0)-'TRADE IN'!$F414))</f>
        <v>3299</v>
      </c>
      <c r="AF414" s="45">
        <f>IF(VLOOKUP($C414,REV!$C:$AL,31,0)-'TRADE IN'!$F414=0,"",(VLOOKUP($C414,REV!$C:$AL,31,0)-'TRADE IN'!$F414))</f>
        <v>3299</v>
      </c>
      <c r="AG414" s="45">
        <f>IF(VLOOKUP($C414,REV!$C:$AL,31,0)-'TRADE IN'!$F414=0,"",(VLOOKUP($C414,REV!$C:$AL,31,0)-'TRADE IN'!$F414))</f>
        <v>3299</v>
      </c>
      <c r="AH414" s="45">
        <f>IF(VLOOKUP($C414,REV!$C:$AL,32,0)-'TRADE IN'!$F414=0,"",(VLOOKUP($C414,REV!$C:$AL,32,0)-'TRADE IN'!$F414))</f>
        <v>2199</v>
      </c>
      <c r="AI414" s="45">
        <f>IF(VLOOKUP($C414,REV!$C:$AL,33,0)-'TRADE IN'!$F414=0,"",(VLOOKUP($C414,REV!$C:$AL,33,0)-'TRADE IN'!$F414))</f>
        <v>2199</v>
      </c>
      <c r="AJ414" s="45">
        <f>IF(VLOOKUP($C414,REV!$C:$AL,34,0)-'TRADE IN'!$F414=0,"",(VLOOKUP($C414,REV!$C:$AL,34,0)-'TRADE IN'!$F414))</f>
        <v>2199</v>
      </c>
      <c r="AK414" s="45">
        <f>IF(VLOOKUP($C414,REV!$C:$AL,35,0)-'TRADE IN'!$F414=0,"",(VLOOKUP($C414,REV!$C:$AL,35,0)-'TRADE IN'!$F414))</f>
        <v>2199</v>
      </c>
      <c r="AL414" s="45">
        <f>IF(VLOOKUP($C414,REV!$C:$AL,36,0)-'TRADE IN'!$F414=0,"",(VLOOKUP($C414,REV!$C:$AL,36,0)-'TRADE IN'!$F414))</f>
        <v>1999</v>
      </c>
      <c r="AM414" s="45"/>
      <c r="AN414" s="45"/>
      <c r="AO414" s="45"/>
      <c r="AP414" s="45"/>
      <c r="AQ414" s="45"/>
      <c r="AR414" s="45"/>
      <c r="AS414" s="45"/>
      <c r="AT414" s="45"/>
      <c r="AU414" s="45"/>
      <c r="AV414" s="47"/>
      <c r="AW414" s="48" t="str">
        <f>REV!AW414</f>
        <v>13.08.2026</v>
      </c>
      <c r="AX414" s="149" t="s">
        <v>68</v>
      </c>
    </row>
    <row r="415" spans="1:50" ht="22.5" customHeight="1">
      <c r="A415" s="41" t="s">
        <v>63</v>
      </c>
      <c r="B415" s="42" t="s">
        <v>64</v>
      </c>
      <c r="C415" s="43">
        <v>4017400</v>
      </c>
      <c r="D415" s="56" t="s">
        <v>599</v>
      </c>
      <c r="E415" s="56" t="s">
        <v>605</v>
      </c>
      <c r="F415" s="45">
        <v>300</v>
      </c>
      <c r="G415" s="45"/>
      <c r="H415" s="45"/>
      <c r="I415" s="45"/>
      <c r="J415" s="46">
        <f>IF(VLOOKUP($C415,REV!$C:$AA,8,0)-'TRADE IN'!$F415=0,"",(VLOOKUP($C415,REV!$C:$AA,8,0)-'TRADE IN'!$F415))</f>
        <v>3499</v>
      </c>
      <c r="K415" s="46">
        <f>IF(VLOOKUP($C415,REV!$C:$AA,9,0)-'TRADE IN'!$F415=0,"",(VLOOKUP($C415,REV!$C:$AA,9,0)-'TRADE IN'!$F415))</f>
        <v>3499</v>
      </c>
      <c r="L415" s="46">
        <f>IF(VLOOKUP($C415,REV!$C:$AA,10,0)-'TRADE IN'!$F415=0,"",(VLOOKUP($C415,REV!$C:$AA,10,0)-'TRADE IN'!$F415))</f>
        <v>3499</v>
      </c>
      <c r="M415" s="46">
        <f>IF(VLOOKUP($C415,REV!$C:$AA,11,0)-'TRADE IN'!$F415=0,"",(VLOOKUP($C415,REV!$C:$AA,11,0)-'TRADE IN'!$F415))</f>
        <v>3499</v>
      </c>
      <c r="N415" s="46">
        <f>IF(VLOOKUP($C415,REV!$C:$AA,12,0)-'TRADE IN'!$F415=0,"",(VLOOKUP($C415,REV!$C:$AA,12,0)-'TRADE IN'!$F415))</f>
        <v>3499</v>
      </c>
      <c r="O415" s="46">
        <f>IF(VLOOKUP($C415,REV!$C:$AA,13,0)-'TRADE IN'!$F415=0,"",(VLOOKUP($C415,REV!$C:$AA,13,0)-'TRADE IN'!$F415))</f>
        <v>3399</v>
      </c>
      <c r="P415" s="46">
        <f>IF(VLOOKUP($C415,REV!$C:$AA,14,0)-'TRADE IN'!$F415=0,"",(VLOOKUP($C415,REV!$C:$AA,14,0)-'TRADE IN'!$F415))</f>
        <v>3299</v>
      </c>
      <c r="Q415" s="46">
        <f>IF(VLOOKUP($C415,REV!$C:$AA,15,0)-'TRADE IN'!$F415=0,"",(VLOOKUP($C415,REV!$C:$AA,15,0)-'TRADE IN'!$F415))</f>
        <v>2199</v>
      </c>
      <c r="R415" s="46">
        <f>IF(VLOOKUP($C415,REV!$C:$AA,16,0)-'TRADE IN'!$F415=0,"",(VLOOKUP($C415,REV!$C:$AA,16,0)-'TRADE IN'!$F415))</f>
        <v>3399</v>
      </c>
      <c r="S415" s="46">
        <f>IF(VLOOKUP($C415,REV!$C:$AA,17,0)-'TRADE IN'!$F415=0,"",(VLOOKUP($C415,REV!$C:$AA,17,0)-'TRADE IN'!$F415))</f>
        <v>3299</v>
      </c>
      <c r="T415" s="46">
        <f>IF(VLOOKUP($C415,REV!$C:$AA,18,0)-'TRADE IN'!$F415=0,"",(VLOOKUP($C415,REV!$C:$AA,18,0)-'TRADE IN'!$F415))</f>
        <v>2199</v>
      </c>
      <c r="U415" s="46">
        <f>IF(VLOOKUP($C415,REV!$C:$AA,19,0)-'TRADE IN'!$F415=0,"",(VLOOKUP($C415,REV!$C:$AA,19,0)-'TRADE IN'!$F415))</f>
        <v>2199</v>
      </c>
      <c r="V415" s="46">
        <f>IF(VLOOKUP($C415,REV!$C:$AA,20,0)-'TRADE IN'!$F415=0,"",(VLOOKUP($C415,REV!$C:$AA,20,0)-'TRADE IN'!$F415))</f>
        <v>2199</v>
      </c>
      <c r="W415" s="46">
        <f>IF(VLOOKUP($C415,REV!$C:$AA,21,0)-'TRADE IN'!$F415=0,"",(VLOOKUP($C415,REV!$C:$AA,21,0)-'TRADE IN'!$F415))</f>
        <v>2199</v>
      </c>
      <c r="X415" s="46">
        <f>IF(VLOOKUP($C415,REV!$C:$AA,22,0)-'TRADE IN'!$F415=0,"",(VLOOKUP($C415,REV!$C:$AA,22,0)-'TRADE IN'!$F415))</f>
        <v>2099</v>
      </c>
      <c r="Y415" s="46">
        <f>IF(VLOOKUP($C415,REV!$C:$AA,23,0)-'TRADE IN'!$F415=0,"",(VLOOKUP($C415,REV!$C:$AA,23,0)-'TRADE IN'!$F415))</f>
        <v>1999</v>
      </c>
      <c r="Z415" s="46">
        <f>IF(VLOOKUP($C415,REV!$C:$AA,24,0)-'TRADE IN'!$F415=0,"",(VLOOKUP($C415,REV!$C:$AA,24,0)-'TRADE IN'!$F415))</f>
        <v>1999</v>
      </c>
      <c r="AA415" s="46">
        <f>IF(VLOOKUP($C415,REV!$C:$AA,25,0)-'TRADE IN'!$F415=0,"",(VLOOKUP($C415,REV!$C:$AA,25,0)-'TRADE IN'!$F415))</f>
        <v>1799</v>
      </c>
      <c r="AB415" s="45">
        <f>IF(VLOOKUP($C415,REV!$C:$AL,27,0)-'TRADE IN'!$F415=0,"",(VLOOKUP($C415,REV!$C:$AL,27,0)-'TRADE IN'!$F415))</f>
        <v>3499</v>
      </c>
      <c r="AC415" s="45">
        <f>IF(VLOOKUP($C415,REV!$C:$AL,28,0)-'TRADE IN'!$F415=0,"",(VLOOKUP($C415,REV!$C:$AL,28,0)-'TRADE IN'!$F415))</f>
        <v>3499</v>
      </c>
      <c r="AD415" s="45">
        <f>IF(VLOOKUP($C415,REV!$C:$AL,29,0)-'TRADE IN'!$F415=0,"",(VLOOKUP($C415,REV!$C:$AL,29,0)-'TRADE IN'!$F415))</f>
        <v>3399</v>
      </c>
      <c r="AE415" s="45">
        <f>IF(VLOOKUP($C415,REV!$C:$AL,30,0)-'TRADE IN'!$F415=0,"",(VLOOKUP($C415,REV!$C:$AL,30,0)-'TRADE IN'!$F415))</f>
        <v>3299</v>
      </c>
      <c r="AF415" s="45">
        <f>IF(VLOOKUP($C415,REV!$C:$AL,31,0)-'TRADE IN'!$F415=0,"",(VLOOKUP($C415,REV!$C:$AL,31,0)-'TRADE IN'!$F415))</f>
        <v>3299</v>
      </c>
      <c r="AG415" s="45">
        <f>IF(VLOOKUP($C415,REV!$C:$AL,31,0)-'TRADE IN'!$F415=0,"",(VLOOKUP($C415,REV!$C:$AL,31,0)-'TRADE IN'!$F415))</f>
        <v>3299</v>
      </c>
      <c r="AH415" s="45">
        <f>IF(VLOOKUP($C415,REV!$C:$AL,32,0)-'TRADE IN'!$F415=0,"",(VLOOKUP($C415,REV!$C:$AL,32,0)-'TRADE IN'!$F415))</f>
        <v>2199</v>
      </c>
      <c r="AI415" s="45">
        <f>IF(VLOOKUP($C415,REV!$C:$AL,33,0)-'TRADE IN'!$F415=0,"",(VLOOKUP($C415,REV!$C:$AL,33,0)-'TRADE IN'!$F415))</f>
        <v>2199</v>
      </c>
      <c r="AJ415" s="45">
        <f>IF(VLOOKUP($C415,REV!$C:$AL,34,0)-'TRADE IN'!$F415=0,"",(VLOOKUP($C415,REV!$C:$AL,34,0)-'TRADE IN'!$F415))</f>
        <v>2199</v>
      </c>
      <c r="AK415" s="45">
        <f>IF(VLOOKUP($C415,REV!$C:$AL,35,0)-'TRADE IN'!$F415=0,"",(VLOOKUP($C415,REV!$C:$AL,35,0)-'TRADE IN'!$F415))</f>
        <v>2199</v>
      </c>
      <c r="AL415" s="45">
        <f>IF(VLOOKUP($C415,REV!$C:$AL,36,0)-'TRADE IN'!$F415=0,"",(VLOOKUP($C415,REV!$C:$AL,36,0)-'TRADE IN'!$F415))</f>
        <v>1999</v>
      </c>
      <c r="AM415" s="45"/>
      <c r="AN415" s="45"/>
      <c r="AO415" s="45"/>
      <c r="AP415" s="45"/>
      <c r="AQ415" s="45"/>
      <c r="AR415" s="45"/>
      <c r="AS415" s="45"/>
      <c r="AT415" s="45"/>
      <c r="AU415" s="45"/>
      <c r="AV415" s="47"/>
      <c r="AW415" s="48" t="str">
        <f>REV!AW415</f>
        <v>13.08.2026</v>
      </c>
      <c r="AX415" s="149" t="s">
        <v>68</v>
      </c>
    </row>
    <row r="416" spans="1:50" ht="22.5" customHeight="1">
      <c r="A416" s="41" t="s">
        <v>63</v>
      </c>
      <c r="B416" s="42" t="s">
        <v>64</v>
      </c>
      <c r="C416" s="43">
        <v>4017678</v>
      </c>
      <c r="D416" s="57" t="s">
        <v>606</v>
      </c>
      <c r="E416" s="56" t="s">
        <v>607</v>
      </c>
      <c r="F416" s="54">
        <v>700</v>
      </c>
      <c r="G416" s="45"/>
      <c r="H416" s="45"/>
      <c r="I416" s="45"/>
      <c r="J416" s="46">
        <f>IF(VLOOKUP($C416,REV!$C:$AA,8,0)-'TRADE IN'!$F416=0,"",(VLOOKUP($C416,REV!$C:$AA,8,0)-'TRADE IN'!$F416))</f>
        <v>4499</v>
      </c>
      <c r="K416" s="46">
        <f>IF(VLOOKUP($C416,REV!$C:$AA,9,0)-'TRADE IN'!$F416=0,"",(VLOOKUP($C416,REV!$C:$AA,9,0)-'TRADE IN'!$F416))</f>
        <v>4499</v>
      </c>
      <c r="L416" s="46">
        <f>IF(VLOOKUP($C416,REV!$C:$AA,10,0)-'TRADE IN'!$F416=0,"",(VLOOKUP($C416,REV!$C:$AA,10,0)-'TRADE IN'!$F416))</f>
        <v>4499</v>
      </c>
      <c r="M416" s="46">
        <f>IF(VLOOKUP($C416,REV!$C:$AA,11,0)-'TRADE IN'!$F416=0,"",(VLOOKUP($C416,REV!$C:$AA,11,0)-'TRADE IN'!$F416))</f>
        <v>4499</v>
      </c>
      <c r="N416" s="46">
        <f>IF(VLOOKUP($C416,REV!$C:$AA,12,0)-'TRADE IN'!$F416=0,"",(VLOOKUP($C416,REV!$C:$AA,12,0)-'TRADE IN'!$F416))</f>
        <v>4499</v>
      </c>
      <c r="O416" s="46">
        <f>IF(VLOOKUP($C416,REV!$C:$AA,13,0)-'TRADE IN'!$F416=0,"",(VLOOKUP($C416,REV!$C:$AA,13,0)-'TRADE IN'!$F416))</f>
        <v>4399</v>
      </c>
      <c r="P416" s="46">
        <f>IF(VLOOKUP($C416,REV!$C:$AA,14,0)-'TRADE IN'!$F416=0,"",(VLOOKUP($C416,REV!$C:$AA,14,0)-'TRADE IN'!$F416))</f>
        <v>4349</v>
      </c>
      <c r="Q416" s="46">
        <f>IF(VLOOKUP($C416,REV!$C:$AA,15,0)-'TRADE IN'!$F416=0,"",(VLOOKUP($C416,REV!$C:$AA,15,0)-'TRADE IN'!$F416))</f>
        <v>4299</v>
      </c>
      <c r="R416" s="46">
        <f>IF(VLOOKUP($C416,REV!$C:$AA,16,0)-'TRADE IN'!$F416=0,"",(VLOOKUP($C416,REV!$C:$AA,16,0)-'TRADE IN'!$F416))</f>
        <v>4399</v>
      </c>
      <c r="S416" s="46">
        <f>IF(VLOOKUP($C416,REV!$C:$AA,17,0)-'TRADE IN'!$F416=0,"",(VLOOKUP($C416,REV!$C:$AA,17,0)-'TRADE IN'!$F416))</f>
        <v>4349</v>
      </c>
      <c r="T416" s="46">
        <f>IF(VLOOKUP($C416,REV!$C:$AA,18,0)-'TRADE IN'!$F416=0,"",(VLOOKUP($C416,REV!$C:$AA,18,0)-'TRADE IN'!$F416))</f>
        <v>4299</v>
      </c>
      <c r="U416" s="46">
        <f>IF(VLOOKUP($C416,REV!$C:$AA,19,0)-'TRADE IN'!$F416=0,"",(VLOOKUP($C416,REV!$C:$AA,19,0)-'TRADE IN'!$F416))</f>
        <v>4299</v>
      </c>
      <c r="V416" s="46">
        <f>IF(VLOOKUP($C416,REV!$C:$AA,20,0)-'TRADE IN'!$F416=0,"",(VLOOKUP($C416,REV!$C:$AA,20,0)-'TRADE IN'!$F416))</f>
        <v>4299</v>
      </c>
      <c r="W416" s="46">
        <f>IF(VLOOKUP($C416,REV!$C:$AA,21,0)-'TRADE IN'!$F416=0,"",(VLOOKUP($C416,REV!$C:$AA,21,0)-'TRADE IN'!$F416))</f>
        <v>4299</v>
      </c>
      <c r="X416" s="46">
        <f>IF(VLOOKUP($C416,REV!$C:$AA,22,0)-'TRADE IN'!$F416=0,"",(VLOOKUP($C416,REV!$C:$AA,22,0)-'TRADE IN'!$F416))</f>
        <v>4199</v>
      </c>
      <c r="Y416" s="46">
        <f>IF(VLOOKUP($C416,REV!$C:$AA,23,0)-'TRADE IN'!$F416=0,"",(VLOOKUP($C416,REV!$C:$AA,23,0)-'TRADE IN'!$F416))</f>
        <v>2799</v>
      </c>
      <c r="Z416" s="46">
        <f>IF(VLOOKUP($C416,REV!$C:$AA,24,0)-'TRADE IN'!$F416=0,"",(VLOOKUP($C416,REV!$C:$AA,24,0)-'TRADE IN'!$F416))</f>
        <v>2799</v>
      </c>
      <c r="AA416" s="46">
        <f>IF(VLOOKUP($C416,REV!$C:$AA,25,0)-'TRADE IN'!$F416=0,"",(VLOOKUP($C416,REV!$C:$AA,25,0)-'TRADE IN'!$F416))</f>
        <v>2599</v>
      </c>
      <c r="AB416" s="45">
        <f>IF(VLOOKUP($C416,REV!$C:$AL,27,0)-'TRADE IN'!$F416=0,"",(VLOOKUP($C416,REV!$C:$AL,27,0)-'TRADE IN'!$F416))</f>
        <v>4499</v>
      </c>
      <c r="AC416" s="45">
        <f>IF(VLOOKUP($C416,REV!$C:$AL,28,0)-'TRADE IN'!$F416=0,"",(VLOOKUP($C416,REV!$C:$AL,28,0)-'TRADE IN'!$F416))</f>
        <v>4499</v>
      </c>
      <c r="AD416" s="45">
        <f>IF(VLOOKUP($C416,REV!$C:$AL,29,0)-'TRADE IN'!$F416=0,"",(VLOOKUP($C416,REV!$C:$AL,29,0)-'TRADE IN'!$F416))</f>
        <v>4399</v>
      </c>
      <c r="AE416" s="45">
        <f>IF(VLOOKUP($C416,REV!$C:$AL,30,0)-'TRADE IN'!$F416=0,"",(VLOOKUP($C416,REV!$C:$AL,30,0)-'TRADE IN'!$F416))</f>
        <v>4349</v>
      </c>
      <c r="AF416" s="45">
        <f>IF(VLOOKUP($C416,REV!$C:$AL,31,0)-'TRADE IN'!$F416=0,"",(VLOOKUP($C416,REV!$C:$AL,31,0)-'TRADE IN'!$F416))</f>
        <v>4349</v>
      </c>
      <c r="AG416" s="45">
        <f>IF(VLOOKUP($C416,REV!$C:$AL,31,0)-'TRADE IN'!$F416=0,"",(VLOOKUP($C416,REV!$C:$AL,31,0)-'TRADE IN'!$F416))</f>
        <v>4349</v>
      </c>
      <c r="AH416" s="45">
        <f>IF(VLOOKUP($C416,REV!$C:$AL,32,0)-'TRADE IN'!$F416=0,"",(VLOOKUP($C416,REV!$C:$AL,32,0)-'TRADE IN'!$F416))</f>
        <v>4299</v>
      </c>
      <c r="AI416" s="45">
        <f>IF(VLOOKUP($C416,REV!$C:$AL,33,0)-'TRADE IN'!$F416=0,"",(VLOOKUP($C416,REV!$C:$AL,33,0)-'TRADE IN'!$F416))</f>
        <v>4299</v>
      </c>
      <c r="AJ416" s="45">
        <f>IF(VLOOKUP($C416,REV!$C:$AL,34,0)-'TRADE IN'!$F416=0,"",(VLOOKUP($C416,REV!$C:$AL,34,0)-'TRADE IN'!$F416))</f>
        <v>4299</v>
      </c>
      <c r="AK416" s="45">
        <f>IF(VLOOKUP($C416,REV!$C:$AL,35,0)-'TRADE IN'!$F416=0,"",(VLOOKUP($C416,REV!$C:$AL,35,0)-'TRADE IN'!$F416))</f>
        <v>4299</v>
      </c>
      <c r="AL416" s="45">
        <f>IF(VLOOKUP($C416,REV!$C:$AL,36,0)-'TRADE IN'!$F416=0,"",(VLOOKUP($C416,REV!$C:$AL,36,0)-'TRADE IN'!$F416))</f>
        <v>2799</v>
      </c>
      <c r="AM416" s="45"/>
      <c r="AN416" s="45"/>
      <c r="AO416" s="45"/>
      <c r="AP416" s="45"/>
      <c r="AQ416" s="45"/>
      <c r="AR416" s="45"/>
      <c r="AS416" s="45"/>
      <c r="AT416" s="45"/>
      <c r="AU416" s="45"/>
      <c r="AV416" s="47"/>
      <c r="AW416" s="48" t="str">
        <f>REV!AW416</f>
        <v>13.08.2026</v>
      </c>
      <c r="AX416" s="149" t="s">
        <v>68</v>
      </c>
    </row>
    <row r="417" spans="1:50" ht="22.5" customHeight="1">
      <c r="A417" s="41" t="s">
        <v>63</v>
      </c>
      <c r="B417" s="42" t="s">
        <v>64</v>
      </c>
      <c r="C417" s="43">
        <v>4017679</v>
      </c>
      <c r="D417" s="57" t="s">
        <v>606</v>
      </c>
      <c r="E417" s="56" t="s">
        <v>608</v>
      </c>
      <c r="F417" s="54">
        <v>700</v>
      </c>
      <c r="G417" s="45"/>
      <c r="H417" s="45"/>
      <c r="I417" s="45"/>
      <c r="J417" s="46">
        <f>IF(VLOOKUP($C417,REV!$C:$AA,8,0)-'TRADE IN'!$F417=0,"",(VLOOKUP($C417,REV!$C:$AA,8,0)-'TRADE IN'!$F417))</f>
        <v>4499</v>
      </c>
      <c r="K417" s="46">
        <f>IF(VLOOKUP($C417,REV!$C:$AA,9,0)-'TRADE IN'!$F417=0,"",(VLOOKUP($C417,REV!$C:$AA,9,0)-'TRADE IN'!$F417))</f>
        <v>4499</v>
      </c>
      <c r="L417" s="46">
        <f>IF(VLOOKUP($C417,REV!$C:$AA,10,0)-'TRADE IN'!$F417=0,"",(VLOOKUP($C417,REV!$C:$AA,10,0)-'TRADE IN'!$F417))</f>
        <v>4499</v>
      </c>
      <c r="M417" s="46">
        <f>IF(VLOOKUP($C417,REV!$C:$AA,11,0)-'TRADE IN'!$F417=0,"",(VLOOKUP($C417,REV!$C:$AA,11,0)-'TRADE IN'!$F417))</f>
        <v>4499</v>
      </c>
      <c r="N417" s="46">
        <f>IF(VLOOKUP($C417,REV!$C:$AA,12,0)-'TRADE IN'!$F417=0,"",(VLOOKUP($C417,REV!$C:$AA,12,0)-'TRADE IN'!$F417))</f>
        <v>4499</v>
      </c>
      <c r="O417" s="46">
        <f>IF(VLOOKUP($C417,REV!$C:$AA,13,0)-'TRADE IN'!$F417=0,"",(VLOOKUP($C417,REV!$C:$AA,13,0)-'TRADE IN'!$F417))</f>
        <v>4399</v>
      </c>
      <c r="P417" s="46">
        <f>IF(VLOOKUP($C417,REV!$C:$AA,14,0)-'TRADE IN'!$F417=0,"",(VLOOKUP($C417,REV!$C:$AA,14,0)-'TRADE IN'!$F417))</f>
        <v>4349</v>
      </c>
      <c r="Q417" s="46">
        <f>IF(VLOOKUP($C417,REV!$C:$AA,15,0)-'TRADE IN'!$F417=0,"",(VLOOKUP($C417,REV!$C:$AA,15,0)-'TRADE IN'!$F417))</f>
        <v>4299</v>
      </c>
      <c r="R417" s="46">
        <f>IF(VLOOKUP($C417,REV!$C:$AA,16,0)-'TRADE IN'!$F417=0,"",(VLOOKUP($C417,REV!$C:$AA,16,0)-'TRADE IN'!$F417))</f>
        <v>4399</v>
      </c>
      <c r="S417" s="46">
        <f>IF(VLOOKUP($C417,REV!$C:$AA,17,0)-'TRADE IN'!$F417=0,"",(VLOOKUP($C417,REV!$C:$AA,17,0)-'TRADE IN'!$F417))</f>
        <v>4349</v>
      </c>
      <c r="T417" s="46">
        <f>IF(VLOOKUP($C417,REV!$C:$AA,18,0)-'TRADE IN'!$F417=0,"",(VLOOKUP($C417,REV!$C:$AA,18,0)-'TRADE IN'!$F417))</f>
        <v>4299</v>
      </c>
      <c r="U417" s="46">
        <f>IF(VLOOKUP($C417,REV!$C:$AA,19,0)-'TRADE IN'!$F417=0,"",(VLOOKUP($C417,REV!$C:$AA,19,0)-'TRADE IN'!$F417))</f>
        <v>4299</v>
      </c>
      <c r="V417" s="46">
        <f>IF(VLOOKUP($C417,REV!$C:$AA,20,0)-'TRADE IN'!$F417=0,"",(VLOOKUP($C417,REV!$C:$AA,20,0)-'TRADE IN'!$F417))</f>
        <v>4299</v>
      </c>
      <c r="W417" s="46">
        <f>IF(VLOOKUP($C417,REV!$C:$AA,21,0)-'TRADE IN'!$F417=0,"",(VLOOKUP($C417,REV!$C:$AA,21,0)-'TRADE IN'!$F417))</f>
        <v>4299</v>
      </c>
      <c r="X417" s="46">
        <f>IF(VLOOKUP($C417,REV!$C:$AA,22,0)-'TRADE IN'!$F417=0,"",(VLOOKUP($C417,REV!$C:$AA,22,0)-'TRADE IN'!$F417))</f>
        <v>4199</v>
      </c>
      <c r="Y417" s="46">
        <f>IF(VLOOKUP($C417,REV!$C:$AA,23,0)-'TRADE IN'!$F417=0,"",(VLOOKUP($C417,REV!$C:$AA,23,0)-'TRADE IN'!$F417))</f>
        <v>2799</v>
      </c>
      <c r="Z417" s="46">
        <f>IF(VLOOKUP($C417,REV!$C:$AA,24,0)-'TRADE IN'!$F417=0,"",(VLOOKUP($C417,REV!$C:$AA,24,0)-'TRADE IN'!$F417))</f>
        <v>2799</v>
      </c>
      <c r="AA417" s="46">
        <f>IF(VLOOKUP($C417,REV!$C:$AA,25,0)-'TRADE IN'!$F417=0,"",(VLOOKUP($C417,REV!$C:$AA,25,0)-'TRADE IN'!$F417))</f>
        <v>2599</v>
      </c>
      <c r="AB417" s="45">
        <f>IF(VLOOKUP($C417,REV!$C:$AL,27,0)-'TRADE IN'!$F417=0,"",(VLOOKUP($C417,REV!$C:$AL,27,0)-'TRADE IN'!$F417))</f>
        <v>4499</v>
      </c>
      <c r="AC417" s="45">
        <f>IF(VLOOKUP($C417,REV!$C:$AL,28,0)-'TRADE IN'!$F417=0,"",(VLOOKUP($C417,REV!$C:$AL,28,0)-'TRADE IN'!$F417))</f>
        <v>4499</v>
      </c>
      <c r="AD417" s="45">
        <f>IF(VLOOKUP($C417,REV!$C:$AL,29,0)-'TRADE IN'!$F417=0,"",(VLOOKUP($C417,REV!$C:$AL,29,0)-'TRADE IN'!$F417))</f>
        <v>4399</v>
      </c>
      <c r="AE417" s="45">
        <f>IF(VLOOKUP($C417,REV!$C:$AL,30,0)-'TRADE IN'!$F417=0,"",(VLOOKUP($C417,REV!$C:$AL,30,0)-'TRADE IN'!$F417))</f>
        <v>4349</v>
      </c>
      <c r="AF417" s="45">
        <f>IF(VLOOKUP($C417,REV!$C:$AL,31,0)-'TRADE IN'!$F417=0,"",(VLOOKUP($C417,REV!$C:$AL,31,0)-'TRADE IN'!$F417))</f>
        <v>4349</v>
      </c>
      <c r="AG417" s="45">
        <f>IF(VLOOKUP($C417,REV!$C:$AL,31,0)-'TRADE IN'!$F417=0,"",(VLOOKUP($C417,REV!$C:$AL,31,0)-'TRADE IN'!$F417))</f>
        <v>4349</v>
      </c>
      <c r="AH417" s="45">
        <f>IF(VLOOKUP($C417,REV!$C:$AL,32,0)-'TRADE IN'!$F417=0,"",(VLOOKUP($C417,REV!$C:$AL,32,0)-'TRADE IN'!$F417))</f>
        <v>4299</v>
      </c>
      <c r="AI417" s="45">
        <f>IF(VLOOKUP($C417,REV!$C:$AL,33,0)-'TRADE IN'!$F417=0,"",(VLOOKUP($C417,REV!$C:$AL,33,0)-'TRADE IN'!$F417))</f>
        <v>4299</v>
      </c>
      <c r="AJ417" s="45">
        <f>IF(VLOOKUP($C417,REV!$C:$AL,34,0)-'TRADE IN'!$F417=0,"",(VLOOKUP($C417,REV!$C:$AL,34,0)-'TRADE IN'!$F417))</f>
        <v>4299</v>
      </c>
      <c r="AK417" s="45">
        <f>IF(VLOOKUP($C417,REV!$C:$AL,35,0)-'TRADE IN'!$F417=0,"",(VLOOKUP($C417,REV!$C:$AL,35,0)-'TRADE IN'!$F417))</f>
        <v>4299</v>
      </c>
      <c r="AL417" s="45">
        <f>IF(VLOOKUP($C417,REV!$C:$AL,36,0)-'TRADE IN'!$F417=0,"",(VLOOKUP($C417,REV!$C:$AL,36,0)-'TRADE IN'!$F417))</f>
        <v>2799</v>
      </c>
      <c r="AM417" s="45"/>
      <c r="AN417" s="45"/>
      <c r="AO417" s="45"/>
      <c r="AP417" s="45"/>
      <c r="AQ417" s="45"/>
      <c r="AR417" s="45"/>
      <c r="AS417" s="45"/>
      <c r="AT417" s="45"/>
      <c r="AU417" s="45"/>
      <c r="AV417" s="47"/>
      <c r="AW417" s="48" t="str">
        <f>REV!AW417</f>
        <v>13.08.2026</v>
      </c>
      <c r="AX417" s="149" t="s">
        <v>68</v>
      </c>
    </row>
    <row r="418" spans="1:50" ht="22.5" customHeight="1">
      <c r="A418" s="41" t="s">
        <v>63</v>
      </c>
      <c r="B418" s="42" t="s">
        <v>64</v>
      </c>
      <c r="C418" s="43">
        <v>4017750</v>
      </c>
      <c r="D418" s="57" t="s">
        <v>606</v>
      </c>
      <c r="E418" s="56" t="s">
        <v>609</v>
      </c>
      <c r="F418" s="54">
        <v>700</v>
      </c>
      <c r="G418" s="45"/>
      <c r="H418" s="45"/>
      <c r="I418" s="45"/>
      <c r="J418" s="46">
        <f>IF(VLOOKUP($C418,REV!$C:$AA,8,0)-'TRADE IN'!$F418=0,"",(VLOOKUP($C418,REV!$C:$AA,8,0)-'TRADE IN'!$F418))</f>
        <v>4499</v>
      </c>
      <c r="K418" s="46">
        <f>IF(VLOOKUP($C418,REV!$C:$AA,9,0)-'TRADE IN'!$F418=0,"",(VLOOKUP($C418,REV!$C:$AA,9,0)-'TRADE IN'!$F418))</f>
        <v>4499</v>
      </c>
      <c r="L418" s="46">
        <f>IF(VLOOKUP($C418,REV!$C:$AA,10,0)-'TRADE IN'!$F418=0,"",(VLOOKUP($C418,REV!$C:$AA,10,0)-'TRADE IN'!$F418))</f>
        <v>4499</v>
      </c>
      <c r="M418" s="46">
        <f>IF(VLOOKUP($C418,REV!$C:$AA,11,0)-'TRADE IN'!$F418=0,"",(VLOOKUP($C418,REV!$C:$AA,11,0)-'TRADE IN'!$F418))</f>
        <v>4499</v>
      </c>
      <c r="N418" s="46">
        <f>IF(VLOOKUP($C418,REV!$C:$AA,12,0)-'TRADE IN'!$F418=0,"",(VLOOKUP($C418,REV!$C:$AA,12,0)-'TRADE IN'!$F418))</f>
        <v>4499</v>
      </c>
      <c r="O418" s="46">
        <f>IF(VLOOKUP($C418,REV!$C:$AA,13,0)-'TRADE IN'!$F418=0,"",(VLOOKUP($C418,REV!$C:$AA,13,0)-'TRADE IN'!$F418))</f>
        <v>4399</v>
      </c>
      <c r="P418" s="46">
        <f>IF(VLOOKUP($C418,REV!$C:$AA,14,0)-'TRADE IN'!$F418=0,"",(VLOOKUP($C418,REV!$C:$AA,14,0)-'TRADE IN'!$F418))</f>
        <v>4349</v>
      </c>
      <c r="Q418" s="46">
        <f>IF(VLOOKUP($C418,REV!$C:$AA,15,0)-'TRADE IN'!$F418=0,"",(VLOOKUP($C418,REV!$C:$AA,15,0)-'TRADE IN'!$F418))</f>
        <v>4299</v>
      </c>
      <c r="R418" s="46">
        <f>IF(VLOOKUP($C418,REV!$C:$AA,16,0)-'TRADE IN'!$F418=0,"",(VLOOKUP($C418,REV!$C:$AA,16,0)-'TRADE IN'!$F418))</f>
        <v>4399</v>
      </c>
      <c r="S418" s="46">
        <f>IF(VLOOKUP($C418,REV!$C:$AA,17,0)-'TRADE IN'!$F418=0,"",(VLOOKUP($C418,REV!$C:$AA,17,0)-'TRADE IN'!$F418))</f>
        <v>4349</v>
      </c>
      <c r="T418" s="46">
        <f>IF(VLOOKUP($C418,REV!$C:$AA,18,0)-'TRADE IN'!$F418=0,"",(VLOOKUP($C418,REV!$C:$AA,18,0)-'TRADE IN'!$F418))</f>
        <v>4299</v>
      </c>
      <c r="U418" s="46">
        <f>IF(VLOOKUP($C418,REV!$C:$AA,19,0)-'TRADE IN'!$F418=0,"",(VLOOKUP($C418,REV!$C:$AA,19,0)-'TRADE IN'!$F418))</f>
        <v>4299</v>
      </c>
      <c r="V418" s="46">
        <f>IF(VLOOKUP($C418,REV!$C:$AA,20,0)-'TRADE IN'!$F418=0,"",(VLOOKUP($C418,REV!$C:$AA,20,0)-'TRADE IN'!$F418))</f>
        <v>4299</v>
      </c>
      <c r="W418" s="46">
        <f>IF(VLOOKUP($C418,REV!$C:$AA,21,0)-'TRADE IN'!$F418=0,"",(VLOOKUP($C418,REV!$C:$AA,21,0)-'TRADE IN'!$F418))</f>
        <v>4299</v>
      </c>
      <c r="X418" s="46">
        <f>IF(VLOOKUP($C418,REV!$C:$AA,22,0)-'TRADE IN'!$F418=0,"",(VLOOKUP($C418,REV!$C:$AA,22,0)-'TRADE IN'!$F418))</f>
        <v>4199</v>
      </c>
      <c r="Y418" s="46">
        <f>IF(VLOOKUP($C418,REV!$C:$AA,23,0)-'TRADE IN'!$F418=0,"",(VLOOKUP($C418,REV!$C:$AA,23,0)-'TRADE IN'!$F418))</f>
        <v>2799</v>
      </c>
      <c r="Z418" s="46">
        <f>IF(VLOOKUP($C418,REV!$C:$AA,24,0)-'TRADE IN'!$F418=0,"",(VLOOKUP($C418,REV!$C:$AA,24,0)-'TRADE IN'!$F418))</f>
        <v>2799</v>
      </c>
      <c r="AA418" s="46">
        <f>IF(VLOOKUP($C418,REV!$C:$AA,25,0)-'TRADE IN'!$F418=0,"",(VLOOKUP($C418,REV!$C:$AA,25,0)-'TRADE IN'!$F418))</f>
        <v>2599</v>
      </c>
      <c r="AB418" s="45">
        <f>IF(VLOOKUP($C418,REV!$C:$AL,27,0)-'TRADE IN'!$F418=0,"",(VLOOKUP($C418,REV!$C:$AL,27,0)-'TRADE IN'!$F418))</f>
        <v>4499</v>
      </c>
      <c r="AC418" s="45">
        <f>IF(VLOOKUP($C418,REV!$C:$AL,28,0)-'TRADE IN'!$F418=0,"",(VLOOKUP($C418,REV!$C:$AL,28,0)-'TRADE IN'!$F418))</f>
        <v>4499</v>
      </c>
      <c r="AD418" s="45">
        <f>IF(VLOOKUP($C418,REV!$C:$AL,29,0)-'TRADE IN'!$F418=0,"",(VLOOKUP($C418,REV!$C:$AL,29,0)-'TRADE IN'!$F418))</f>
        <v>4399</v>
      </c>
      <c r="AE418" s="45">
        <f>IF(VLOOKUP($C418,REV!$C:$AL,30,0)-'TRADE IN'!$F418=0,"",(VLOOKUP($C418,REV!$C:$AL,30,0)-'TRADE IN'!$F418))</f>
        <v>4349</v>
      </c>
      <c r="AF418" s="45">
        <f>IF(VLOOKUP($C418,REV!$C:$AL,31,0)-'TRADE IN'!$F418=0,"",(VLOOKUP($C418,REV!$C:$AL,31,0)-'TRADE IN'!$F418))</f>
        <v>4349</v>
      </c>
      <c r="AG418" s="45">
        <f>IF(VLOOKUP($C418,REV!$C:$AL,31,0)-'TRADE IN'!$F418=0,"",(VLOOKUP($C418,REV!$C:$AL,31,0)-'TRADE IN'!$F418))</f>
        <v>4349</v>
      </c>
      <c r="AH418" s="45">
        <f>IF(VLOOKUP($C418,REV!$C:$AL,32,0)-'TRADE IN'!$F418=0,"",(VLOOKUP($C418,REV!$C:$AL,32,0)-'TRADE IN'!$F418))</f>
        <v>4299</v>
      </c>
      <c r="AI418" s="45">
        <f>IF(VLOOKUP($C418,REV!$C:$AL,33,0)-'TRADE IN'!$F418=0,"",(VLOOKUP($C418,REV!$C:$AL,33,0)-'TRADE IN'!$F418))</f>
        <v>4299</v>
      </c>
      <c r="AJ418" s="45">
        <f>IF(VLOOKUP($C418,REV!$C:$AL,34,0)-'TRADE IN'!$F418=0,"",(VLOOKUP($C418,REV!$C:$AL,34,0)-'TRADE IN'!$F418))</f>
        <v>4299</v>
      </c>
      <c r="AK418" s="45">
        <f>IF(VLOOKUP($C418,REV!$C:$AL,35,0)-'TRADE IN'!$F418=0,"",(VLOOKUP($C418,REV!$C:$AL,35,0)-'TRADE IN'!$F418))</f>
        <v>4299</v>
      </c>
      <c r="AL418" s="45">
        <f>IF(VLOOKUP($C418,REV!$C:$AL,36,0)-'TRADE IN'!$F418=0,"",(VLOOKUP($C418,REV!$C:$AL,36,0)-'TRADE IN'!$F418))</f>
        <v>2799</v>
      </c>
      <c r="AM418" s="45"/>
      <c r="AN418" s="45"/>
      <c r="AO418" s="45"/>
      <c r="AP418" s="45"/>
      <c r="AQ418" s="45"/>
      <c r="AR418" s="45"/>
      <c r="AS418" s="45"/>
      <c r="AT418" s="45"/>
      <c r="AU418" s="45"/>
      <c r="AV418" s="47"/>
      <c r="AW418" s="48" t="str">
        <f>REV!AW418</f>
        <v>13.08.2026</v>
      </c>
      <c r="AX418" s="149" t="s">
        <v>68</v>
      </c>
    </row>
    <row r="419" spans="1:50" ht="22.5" customHeight="1">
      <c r="A419" s="41" t="s">
        <v>63</v>
      </c>
      <c r="B419" s="42" t="s">
        <v>64</v>
      </c>
      <c r="C419" s="43">
        <v>4017751</v>
      </c>
      <c r="D419" s="57" t="s">
        <v>606</v>
      </c>
      <c r="E419" s="56" t="s">
        <v>610</v>
      </c>
      <c r="F419" s="54">
        <v>700</v>
      </c>
      <c r="G419" s="45"/>
      <c r="H419" s="45"/>
      <c r="I419" s="45"/>
      <c r="J419" s="46">
        <f>IF(VLOOKUP($C419,REV!$C:$AA,8,0)-'TRADE IN'!$F419=0,"",(VLOOKUP($C419,REV!$C:$AA,8,0)-'TRADE IN'!$F419))</f>
        <v>4499</v>
      </c>
      <c r="K419" s="46">
        <f>IF(VLOOKUP($C419,REV!$C:$AA,9,0)-'TRADE IN'!$F419=0,"",(VLOOKUP($C419,REV!$C:$AA,9,0)-'TRADE IN'!$F419))</f>
        <v>4499</v>
      </c>
      <c r="L419" s="46">
        <f>IF(VLOOKUP($C419,REV!$C:$AA,10,0)-'TRADE IN'!$F419=0,"",(VLOOKUP($C419,REV!$C:$AA,10,0)-'TRADE IN'!$F419))</f>
        <v>4499</v>
      </c>
      <c r="M419" s="46">
        <f>IF(VLOOKUP($C419,REV!$C:$AA,11,0)-'TRADE IN'!$F419=0,"",(VLOOKUP($C419,REV!$C:$AA,11,0)-'TRADE IN'!$F419))</f>
        <v>4499</v>
      </c>
      <c r="N419" s="46">
        <f>IF(VLOOKUP($C419,REV!$C:$AA,12,0)-'TRADE IN'!$F419=0,"",(VLOOKUP($C419,REV!$C:$AA,12,0)-'TRADE IN'!$F419))</f>
        <v>4499</v>
      </c>
      <c r="O419" s="46">
        <f>IF(VLOOKUP($C419,REV!$C:$AA,13,0)-'TRADE IN'!$F419=0,"",(VLOOKUP($C419,REV!$C:$AA,13,0)-'TRADE IN'!$F419))</f>
        <v>4399</v>
      </c>
      <c r="P419" s="46">
        <f>IF(VLOOKUP($C419,REV!$C:$AA,14,0)-'TRADE IN'!$F419=0,"",(VLOOKUP($C419,REV!$C:$AA,14,0)-'TRADE IN'!$F419))</f>
        <v>4349</v>
      </c>
      <c r="Q419" s="46">
        <f>IF(VLOOKUP($C419,REV!$C:$AA,15,0)-'TRADE IN'!$F419=0,"",(VLOOKUP($C419,REV!$C:$AA,15,0)-'TRADE IN'!$F419))</f>
        <v>4299</v>
      </c>
      <c r="R419" s="46">
        <f>IF(VLOOKUP($C419,REV!$C:$AA,16,0)-'TRADE IN'!$F419=0,"",(VLOOKUP($C419,REV!$C:$AA,16,0)-'TRADE IN'!$F419))</f>
        <v>4399</v>
      </c>
      <c r="S419" s="46">
        <f>IF(VLOOKUP($C419,REV!$C:$AA,17,0)-'TRADE IN'!$F419=0,"",(VLOOKUP($C419,REV!$C:$AA,17,0)-'TRADE IN'!$F419))</f>
        <v>4349</v>
      </c>
      <c r="T419" s="46">
        <f>IF(VLOOKUP($C419,REV!$C:$AA,18,0)-'TRADE IN'!$F419=0,"",(VLOOKUP($C419,REV!$C:$AA,18,0)-'TRADE IN'!$F419))</f>
        <v>4299</v>
      </c>
      <c r="U419" s="46">
        <f>IF(VLOOKUP($C419,REV!$C:$AA,19,0)-'TRADE IN'!$F419=0,"",(VLOOKUP($C419,REV!$C:$AA,19,0)-'TRADE IN'!$F419))</f>
        <v>4299</v>
      </c>
      <c r="V419" s="46">
        <f>IF(VLOOKUP($C419,REV!$C:$AA,20,0)-'TRADE IN'!$F419=0,"",(VLOOKUP($C419,REV!$C:$AA,20,0)-'TRADE IN'!$F419))</f>
        <v>4299</v>
      </c>
      <c r="W419" s="46">
        <f>IF(VLOOKUP($C419,REV!$C:$AA,21,0)-'TRADE IN'!$F419=0,"",(VLOOKUP($C419,REV!$C:$AA,21,0)-'TRADE IN'!$F419))</f>
        <v>4299</v>
      </c>
      <c r="X419" s="46">
        <f>IF(VLOOKUP($C419,REV!$C:$AA,22,0)-'TRADE IN'!$F419=0,"",(VLOOKUP($C419,REV!$C:$AA,22,0)-'TRADE IN'!$F419))</f>
        <v>4199</v>
      </c>
      <c r="Y419" s="46">
        <f>IF(VLOOKUP($C419,REV!$C:$AA,23,0)-'TRADE IN'!$F419=0,"",(VLOOKUP($C419,REV!$C:$AA,23,0)-'TRADE IN'!$F419))</f>
        <v>2799</v>
      </c>
      <c r="Z419" s="46">
        <f>IF(VLOOKUP($C419,REV!$C:$AA,24,0)-'TRADE IN'!$F419=0,"",(VLOOKUP($C419,REV!$C:$AA,24,0)-'TRADE IN'!$F419))</f>
        <v>2799</v>
      </c>
      <c r="AA419" s="46">
        <f>IF(VLOOKUP($C419,REV!$C:$AA,25,0)-'TRADE IN'!$F419=0,"",(VLOOKUP($C419,REV!$C:$AA,25,0)-'TRADE IN'!$F419))</f>
        <v>2599</v>
      </c>
      <c r="AB419" s="45">
        <f>IF(VLOOKUP($C419,REV!$C:$AL,27,0)-'TRADE IN'!$F419=0,"",(VLOOKUP($C419,REV!$C:$AL,27,0)-'TRADE IN'!$F419))</f>
        <v>4499</v>
      </c>
      <c r="AC419" s="45">
        <f>IF(VLOOKUP($C419,REV!$C:$AL,28,0)-'TRADE IN'!$F419=0,"",(VLOOKUP($C419,REV!$C:$AL,28,0)-'TRADE IN'!$F419))</f>
        <v>4499</v>
      </c>
      <c r="AD419" s="45">
        <f>IF(VLOOKUP($C419,REV!$C:$AL,29,0)-'TRADE IN'!$F419=0,"",(VLOOKUP($C419,REV!$C:$AL,29,0)-'TRADE IN'!$F419))</f>
        <v>4399</v>
      </c>
      <c r="AE419" s="45">
        <f>IF(VLOOKUP($C419,REV!$C:$AL,30,0)-'TRADE IN'!$F419=0,"",(VLOOKUP($C419,REV!$C:$AL,30,0)-'TRADE IN'!$F419))</f>
        <v>4349</v>
      </c>
      <c r="AF419" s="45">
        <f>IF(VLOOKUP($C419,REV!$C:$AL,31,0)-'TRADE IN'!$F419=0,"",(VLOOKUP($C419,REV!$C:$AL,31,0)-'TRADE IN'!$F419))</f>
        <v>4349</v>
      </c>
      <c r="AG419" s="45">
        <f>IF(VLOOKUP($C419,REV!$C:$AL,31,0)-'TRADE IN'!$F419=0,"",(VLOOKUP($C419,REV!$C:$AL,31,0)-'TRADE IN'!$F419))</f>
        <v>4349</v>
      </c>
      <c r="AH419" s="45">
        <f>IF(VLOOKUP($C419,REV!$C:$AL,32,0)-'TRADE IN'!$F419=0,"",(VLOOKUP($C419,REV!$C:$AL,32,0)-'TRADE IN'!$F419))</f>
        <v>4299</v>
      </c>
      <c r="AI419" s="45">
        <f>IF(VLOOKUP($C419,REV!$C:$AL,33,0)-'TRADE IN'!$F419=0,"",(VLOOKUP($C419,REV!$C:$AL,33,0)-'TRADE IN'!$F419))</f>
        <v>4299</v>
      </c>
      <c r="AJ419" s="45">
        <f>IF(VLOOKUP($C419,REV!$C:$AL,34,0)-'TRADE IN'!$F419=0,"",(VLOOKUP($C419,REV!$C:$AL,34,0)-'TRADE IN'!$F419))</f>
        <v>4299</v>
      </c>
      <c r="AK419" s="45">
        <f>IF(VLOOKUP($C419,REV!$C:$AL,35,0)-'TRADE IN'!$F419=0,"",(VLOOKUP($C419,REV!$C:$AL,35,0)-'TRADE IN'!$F419))</f>
        <v>4299</v>
      </c>
      <c r="AL419" s="45">
        <f>IF(VLOOKUP($C419,REV!$C:$AL,36,0)-'TRADE IN'!$F419=0,"",(VLOOKUP($C419,REV!$C:$AL,36,0)-'TRADE IN'!$F419))</f>
        <v>2799</v>
      </c>
      <c r="AM419" s="45"/>
      <c r="AN419" s="45"/>
      <c r="AO419" s="45"/>
      <c r="AP419" s="45"/>
      <c r="AQ419" s="45"/>
      <c r="AR419" s="45"/>
      <c r="AS419" s="45"/>
      <c r="AT419" s="45"/>
      <c r="AU419" s="45"/>
      <c r="AV419" s="47"/>
      <c r="AW419" s="48" t="str">
        <f>REV!AW419</f>
        <v>13.08.2026</v>
      </c>
      <c r="AX419" s="149" t="s">
        <v>68</v>
      </c>
    </row>
    <row r="420" spans="1:50" ht="22.5" customHeight="1">
      <c r="A420" s="41" t="s">
        <v>63</v>
      </c>
      <c r="B420" s="42" t="s">
        <v>64</v>
      </c>
      <c r="C420" s="43">
        <v>4017756</v>
      </c>
      <c r="D420" s="57" t="s">
        <v>606</v>
      </c>
      <c r="E420" s="56" t="s">
        <v>611</v>
      </c>
      <c r="F420" s="54">
        <v>700</v>
      </c>
      <c r="G420" s="45"/>
      <c r="H420" s="45"/>
      <c r="I420" s="45"/>
      <c r="J420" s="46">
        <f>IF(VLOOKUP($C420,REV!$C:$AA,8,0)-'TRADE IN'!$F420=0,"",(VLOOKUP($C420,REV!$C:$AA,8,0)-'TRADE IN'!$F420))</f>
        <v>4499</v>
      </c>
      <c r="K420" s="46">
        <f>IF(VLOOKUP($C420,REV!$C:$AA,9,0)-'TRADE IN'!$F420=0,"",(VLOOKUP($C420,REV!$C:$AA,9,0)-'TRADE IN'!$F420))</f>
        <v>4499</v>
      </c>
      <c r="L420" s="46">
        <f>IF(VLOOKUP($C420,REV!$C:$AA,10,0)-'TRADE IN'!$F420=0,"",(VLOOKUP($C420,REV!$C:$AA,10,0)-'TRADE IN'!$F420))</f>
        <v>4499</v>
      </c>
      <c r="M420" s="46">
        <f>IF(VLOOKUP($C420,REV!$C:$AA,11,0)-'TRADE IN'!$F420=0,"",(VLOOKUP($C420,REV!$C:$AA,11,0)-'TRADE IN'!$F420))</f>
        <v>4499</v>
      </c>
      <c r="N420" s="46">
        <f>IF(VLOOKUP($C420,REV!$C:$AA,12,0)-'TRADE IN'!$F420=0,"",(VLOOKUP($C420,REV!$C:$AA,12,0)-'TRADE IN'!$F420))</f>
        <v>4499</v>
      </c>
      <c r="O420" s="46">
        <f>IF(VLOOKUP($C420,REV!$C:$AA,13,0)-'TRADE IN'!$F420=0,"",(VLOOKUP($C420,REV!$C:$AA,13,0)-'TRADE IN'!$F420))</f>
        <v>4399</v>
      </c>
      <c r="P420" s="46">
        <f>IF(VLOOKUP($C420,REV!$C:$AA,14,0)-'TRADE IN'!$F420=0,"",(VLOOKUP($C420,REV!$C:$AA,14,0)-'TRADE IN'!$F420))</f>
        <v>4349</v>
      </c>
      <c r="Q420" s="46">
        <f>IF(VLOOKUP($C420,REV!$C:$AA,15,0)-'TRADE IN'!$F420=0,"",(VLOOKUP($C420,REV!$C:$AA,15,0)-'TRADE IN'!$F420))</f>
        <v>4299</v>
      </c>
      <c r="R420" s="46">
        <f>IF(VLOOKUP($C420,REV!$C:$AA,16,0)-'TRADE IN'!$F420=0,"",(VLOOKUP($C420,REV!$C:$AA,16,0)-'TRADE IN'!$F420))</f>
        <v>4399</v>
      </c>
      <c r="S420" s="46">
        <f>IF(VLOOKUP($C420,REV!$C:$AA,17,0)-'TRADE IN'!$F420=0,"",(VLOOKUP($C420,REV!$C:$AA,17,0)-'TRADE IN'!$F420))</f>
        <v>4349</v>
      </c>
      <c r="T420" s="46">
        <f>IF(VLOOKUP($C420,REV!$C:$AA,18,0)-'TRADE IN'!$F420=0,"",(VLOOKUP($C420,REV!$C:$AA,18,0)-'TRADE IN'!$F420))</f>
        <v>4299</v>
      </c>
      <c r="U420" s="46">
        <f>IF(VLOOKUP($C420,REV!$C:$AA,19,0)-'TRADE IN'!$F420=0,"",(VLOOKUP($C420,REV!$C:$AA,19,0)-'TRADE IN'!$F420))</f>
        <v>4299</v>
      </c>
      <c r="V420" s="46">
        <f>IF(VLOOKUP($C420,REV!$C:$AA,20,0)-'TRADE IN'!$F420=0,"",(VLOOKUP($C420,REV!$C:$AA,20,0)-'TRADE IN'!$F420))</f>
        <v>4299</v>
      </c>
      <c r="W420" s="46">
        <f>IF(VLOOKUP($C420,REV!$C:$AA,21,0)-'TRADE IN'!$F420=0,"",(VLOOKUP($C420,REV!$C:$AA,21,0)-'TRADE IN'!$F420))</f>
        <v>4299</v>
      </c>
      <c r="X420" s="46">
        <f>IF(VLOOKUP($C420,REV!$C:$AA,22,0)-'TRADE IN'!$F420=0,"",(VLOOKUP($C420,REV!$C:$AA,22,0)-'TRADE IN'!$F420))</f>
        <v>4199</v>
      </c>
      <c r="Y420" s="46">
        <f>IF(VLOOKUP($C420,REV!$C:$AA,23,0)-'TRADE IN'!$F420=0,"",(VLOOKUP($C420,REV!$C:$AA,23,0)-'TRADE IN'!$F420))</f>
        <v>2799</v>
      </c>
      <c r="Z420" s="46">
        <f>IF(VLOOKUP($C420,REV!$C:$AA,24,0)-'TRADE IN'!$F420=0,"",(VLOOKUP($C420,REV!$C:$AA,24,0)-'TRADE IN'!$F420))</f>
        <v>2799</v>
      </c>
      <c r="AA420" s="46">
        <f>IF(VLOOKUP($C420,REV!$C:$AA,25,0)-'TRADE IN'!$F420=0,"",(VLOOKUP($C420,REV!$C:$AA,25,0)-'TRADE IN'!$F420))</f>
        <v>2599</v>
      </c>
      <c r="AB420" s="45">
        <f>IF(VLOOKUP($C420,REV!$C:$AL,27,0)-'TRADE IN'!$F420=0,"",(VLOOKUP($C420,REV!$C:$AL,27,0)-'TRADE IN'!$F420))</f>
        <v>4499</v>
      </c>
      <c r="AC420" s="45">
        <f>IF(VLOOKUP($C420,REV!$C:$AL,28,0)-'TRADE IN'!$F420=0,"",(VLOOKUP($C420,REV!$C:$AL,28,0)-'TRADE IN'!$F420))</f>
        <v>4499</v>
      </c>
      <c r="AD420" s="45">
        <f>IF(VLOOKUP($C420,REV!$C:$AL,29,0)-'TRADE IN'!$F420=0,"",(VLOOKUP($C420,REV!$C:$AL,29,0)-'TRADE IN'!$F420))</f>
        <v>4399</v>
      </c>
      <c r="AE420" s="45">
        <f>IF(VLOOKUP($C420,REV!$C:$AL,30,0)-'TRADE IN'!$F420=0,"",(VLOOKUP($C420,REV!$C:$AL,30,0)-'TRADE IN'!$F420))</f>
        <v>4349</v>
      </c>
      <c r="AF420" s="45">
        <f>IF(VLOOKUP($C420,REV!$C:$AL,31,0)-'TRADE IN'!$F420=0,"",(VLOOKUP($C420,REV!$C:$AL,31,0)-'TRADE IN'!$F420))</f>
        <v>4349</v>
      </c>
      <c r="AG420" s="45">
        <f>IF(VLOOKUP($C420,REV!$C:$AL,31,0)-'TRADE IN'!$F420=0,"",(VLOOKUP($C420,REV!$C:$AL,31,0)-'TRADE IN'!$F420))</f>
        <v>4349</v>
      </c>
      <c r="AH420" s="45">
        <f>IF(VLOOKUP($C420,REV!$C:$AL,32,0)-'TRADE IN'!$F420=0,"",(VLOOKUP($C420,REV!$C:$AL,32,0)-'TRADE IN'!$F420))</f>
        <v>4299</v>
      </c>
      <c r="AI420" s="45">
        <f>IF(VLOOKUP($C420,REV!$C:$AL,33,0)-'TRADE IN'!$F420=0,"",(VLOOKUP($C420,REV!$C:$AL,33,0)-'TRADE IN'!$F420))</f>
        <v>4299</v>
      </c>
      <c r="AJ420" s="45">
        <f>IF(VLOOKUP($C420,REV!$C:$AL,34,0)-'TRADE IN'!$F420=0,"",(VLOOKUP($C420,REV!$C:$AL,34,0)-'TRADE IN'!$F420))</f>
        <v>4299</v>
      </c>
      <c r="AK420" s="45">
        <f>IF(VLOOKUP($C420,REV!$C:$AL,35,0)-'TRADE IN'!$F420=0,"",(VLOOKUP($C420,REV!$C:$AL,35,0)-'TRADE IN'!$F420))</f>
        <v>4299</v>
      </c>
      <c r="AL420" s="45">
        <f>IF(VLOOKUP($C420,REV!$C:$AL,36,0)-'TRADE IN'!$F420=0,"",(VLOOKUP($C420,REV!$C:$AL,36,0)-'TRADE IN'!$F420))</f>
        <v>2799</v>
      </c>
      <c r="AM420" s="45"/>
      <c r="AN420" s="45"/>
      <c r="AO420" s="45"/>
      <c r="AP420" s="45"/>
      <c r="AQ420" s="45"/>
      <c r="AR420" s="45"/>
      <c r="AS420" s="45"/>
      <c r="AT420" s="45"/>
      <c r="AU420" s="45"/>
      <c r="AV420" s="47"/>
      <c r="AW420" s="48" t="str">
        <f>REV!AW420</f>
        <v>13.08.2026</v>
      </c>
      <c r="AX420" s="149" t="s">
        <v>68</v>
      </c>
    </row>
    <row r="421" spans="1:50" ht="22.5" customHeight="1">
      <c r="A421" s="41" t="s">
        <v>63</v>
      </c>
      <c r="B421" s="42" t="s">
        <v>64</v>
      </c>
      <c r="C421" s="43">
        <v>4017757</v>
      </c>
      <c r="D421" s="57" t="s">
        <v>606</v>
      </c>
      <c r="E421" s="56" t="s">
        <v>612</v>
      </c>
      <c r="F421" s="54">
        <v>700</v>
      </c>
      <c r="G421" s="45"/>
      <c r="H421" s="45"/>
      <c r="I421" s="45"/>
      <c r="J421" s="46">
        <f>IF(VLOOKUP($C421,REV!$C:$AA,8,0)-'TRADE IN'!$F421=0,"",(VLOOKUP($C421,REV!$C:$AA,8,0)-'TRADE IN'!$F421))</f>
        <v>4499</v>
      </c>
      <c r="K421" s="46">
        <f>IF(VLOOKUP($C421,REV!$C:$AA,9,0)-'TRADE IN'!$F421=0,"",(VLOOKUP($C421,REV!$C:$AA,9,0)-'TRADE IN'!$F421))</f>
        <v>4499</v>
      </c>
      <c r="L421" s="46">
        <f>IF(VLOOKUP($C421,REV!$C:$AA,10,0)-'TRADE IN'!$F421=0,"",(VLOOKUP($C421,REV!$C:$AA,10,0)-'TRADE IN'!$F421))</f>
        <v>4499</v>
      </c>
      <c r="M421" s="46">
        <f>IF(VLOOKUP($C421,REV!$C:$AA,11,0)-'TRADE IN'!$F421=0,"",(VLOOKUP($C421,REV!$C:$AA,11,0)-'TRADE IN'!$F421))</f>
        <v>4499</v>
      </c>
      <c r="N421" s="46">
        <f>IF(VLOOKUP($C421,REV!$C:$AA,12,0)-'TRADE IN'!$F421=0,"",(VLOOKUP($C421,REV!$C:$AA,12,0)-'TRADE IN'!$F421))</f>
        <v>4499</v>
      </c>
      <c r="O421" s="46">
        <f>IF(VLOOKUP($C421,REV!$C:$AA,13,0)-'TRADE IN'!$F421=0,"",(VLOOKUP($C421,REV!$C:$AA,13,0)-'TRADE IN'!$F421))</f>
        <v>4399</v>
      </c>
      <c r="P421" s="46">
        <f>IF(VLOOKUP($C421,REV!$C:$AA,14,0)-'TRADE IN'!$F421=0,"",(VLOOKUP($C421,REV!$C:$AA,14,0)-'TRADE IN'!$F421))</f>
        <v>4349</v>
      </c>
      <c r="Q421" s="46">
        <f>IF(VLOOKUP($C421,REV!$C:$AA,15,0)-'TRADE IN'!$F421=0,"",(VLOOKUP($C421,REV!$C:$AA,15,0)-'TRADE IN'!$F421))</f>
        <v>4299</v>
      </c>
      <c r="R421" s="46">
        <f>IF(VLOOKUP($C421,REV!$C:$AA,16,0)-'TRADE IN'!$F421=0,"",(VLOOKUP($C421,REV!$C:$AA,16,0)-'TRADE IN'!$F421))</f>
        <v>4399</v>
      </c>
      <c r="S421" s="46">
        <f>IF(VLOOKUP($C421,REV!$C:$AA,17,0)-'TRADE IN'!$F421=0,"",(VLOOKUP($C421,REV!$C:$AA,17,0)-'TRADE IN'!$F421))</f>
        <v>4349</v>
      </c>
      <c r="T421" s="46">
        <f>IF(VLOOKUP($C421,REV!$C:$AA,18,0)-'TRADE IN'!$F421=0,"",(VLOOKUP($C421,REV!$C:$AA,18,0)-'TRADE IN'!$F421))</f>
        <v>4299</v>
      </c>
      <c r="U421" s="46">
        <f>IF(VLOOKUP($C421,REV!$C:$AA,19,0)-'TRADE IN'!$F421=0,"",(VLOOKUP($C421,REV!$C:$AA,19,0)-'TRADE IN'!$F421))</f>
        <v>4299</v>
      </c>
      <c r="V421" s="46">
        <f>IF(VLOOKUP($C421,REV!$C:$AA,20,0)-'TRADE IN'!$F421=0,"",(VLOOKUP($C421,REV!$C:$AA,20,0)-'TRADE IN'!$F421))</f>
        <v>4299</v>
      </c>
      <c r="W421" s="46">
        <f>IF(VLOOKUP($C421,REV!$C:$AA,21,0)-'TRADE IN'!$F421=0,"",(VLOOKUP($C421,REV!$C:$AA,21,0)-'TRADE IN'!$F421))</f>
        <v>4299</v>
      </c>
      <c r="X421" s="46">
        <f>IF(VLOOKUP($C421,REV!$C:$AA,22,0)-'TRADE IN'!$F421=0,"",(VLOOKUP($C421,REV!$C:$AA,22,0)-'TRADE IN'!$F421))</f>
        <v>4199</v>
      </c>
      <c r="Y421" s="46">
        <f>IF(VLOOKUP($C421,REV!$C:$AA,23,0)-'TRADE IN'!$F421=0,"",(VLOOKUP($C421,REV!$C:$AA,23,0)-'TRADE IN'!$F421))</f>
        <v>2799</v>
      </c>
      <c r="Z421" s="46">
        <f>IF(VLOOKUP($C421,REV!$C:$AA,24,0)-'TRADE IN'!$F421=0,"",(VLOOKUP($C421,REV!$C:$AA,24,0)-'TRADE IN'!$F421))</f>
        <v>2799</v>
      </c>
      <c r="AA421" s="46">
        <f>IF(VLOOKUP($C421,REV!$C:$AA,25,0)-'TRADE IN'!$F421=0,"",(VLOOKUP($C421,REV!$C:$AA,25,0)-'TRADE IN'!$F421))</f>
        <v>2599</v>
      </c>
      <c r="AB421" s="45">
        <f>IF(VLOOKUP($C421,REV!$C:$AL,27,0)-'TRADE IN'!$F421=0,"",(VLOOKUP($C421,REV!$C:$AL,27,0)-'TRADE IN'!$F421))</f>
        <v>4499</v>
      </c>
      <c r="AC421" s="45">
        <f>IF(VLOOKUP($C421,REV!$C:$AL,28,0)-'TRADE IN'!$F421=0,"",(VLOOKUP($C421,REV!$C:$AL,28,0)-'TRADE IN'!$F421))</f>
        <v>4499</v>
      </c>
      <c r="AD421" s="45">
        <f>IF(VLOOKUP($C421,REV!$C:$AL,29,0)-'TRADE IN'!$F421=0,"",(VLOOKUP($C421,REV!$C:$AL,29,0)-'TRADE IN'!$F421))</f>
        <v>4399</v>
      </c>
      <c r="AE421" s="45">
        <f>IF(VLOOKUP($C421,REV!$C:$AL,30,0)-'TRADE IN'!$F421=0,"",(VLOOKUP($C421,REV!$C:$AL,30,0)-'TRADE IN'!$F421))</f>
        <v>4349</v>
      </c>
      <c r="AF421" s="45">
        <f>IF(VLOOKUP($C421,REV!$C:$AL,31,0)-'TRADE IN'!$F421=0,"",(VLOOKUP($C421,REV!$C:$AL,31,0)-'TRADE IN'!$F421))</f>
        <v>4349</v>
      </c>
      <c r="AG421" s="45">
        <f>IF(VLOOKUP($C421,REV!$C:$AL,31,0)-'TRADE IN'!$F421=0,"",(VLOOKUP($C421,REV!$C:$AL,31,0)-'TRADE IN'!$F421))</f>
        <v>4349</v>
      </c>
      <c r="AH421" s="45">
        <f>IF(VLOOKUP($C421,REV!$C:$AL,32,0)-'TRADE IN'!$F421=0,"",(VLOOKUP($C421,REV!$C:$AL,32,0)-'TRADE IN'!$F421))</f>
        <v>4299</v>
      </c>
      <c r="AI421" s="45">
        <f>IF(VLOOKUP($C421,REV!$C:$AL,33,0)-'TRADE IN'!$F421=0,"",(VLOOKUP($C421,REV!$C:$AL,33,0)-'TRADE IN'!$F421))</f>
        <v>4299</v>
      </c>
      <c r="AJ421" s="45">
        <f>IF(VLOOKUP($C421,REV!$C:$AL,34,0)-'TRADE IN'!$F421=0,"",(VLOOKUP($C421,REV!$C:$AL,34,0)-'TRADE IN'!$F421))</f>
        <v>4299</v>
      </c>
      <c r="AK421" s="45">
        <f>IF(VLOOKUP($C421,REV!$C:$AL,35,0)-'TRADE IN'!$F421=0,"",(VLOOKUP($C421,REV!$C:$AL,35,0)-'TRADE IN'!$F421))</f>
        <v>4299</v>
      </c>
      <c r="AL421" s="45">
        <f>IF(VLOOKUP($C421,REV!$C:$AL,36,0)-'TRADE IN'!$F421=0,"",(VLOOKUP($C421,REV!$C:$AL,36,0)-'TRADE IN'!$F421))</f>
        <v>2799</v>
      </c>
      <c r="AM421" s="45"/>
      <c r="AN421" s="45"/>
      <c r="AO421" s="45"/>
      <c r="AP421" s="45"/>
      <c r="AQ421" s="45"/>
      <c r="AR421" s="45"/>
      <c r="AS421" s="45"/>
      <c r="AT421" s="45"/>
      <c r="AU421" s="45"/>
      <c r="AV421" s="47"/>
      <c r="AW421" s="48" t="str">
        <f>REV!AW421</f>
        <v>13.08.2026</v>
      </c>
      <c r="AX421" s="149" t="s">
        <v>68</v>
      </c>
    </row>
    <row r="422" spans="1:50" ht="22.5" customHeight="1">
      <c r="A422" s="41" t="s">
        <v>63</v>
      </c>
      <c r="B422" s="42" t="s">
        <v>64</v>
      </c>
      <c r="C422" s="43">
        <v>4017746</v>
      </c>
      <c r="D422" s="56" t="s">
        <v>613</v>
      </c>
      <c r="E422" s="56" t="s">
        <v>614</v>
      </c>
      <c r="F422" s="45">
        <v>100</v>
      </c>
      <c r="G422" s="45"/>
      <c r="H422" s="45"/>
      <c r="I422" s="45"/>
      <c r="J422" s="46">
        <f>IF(VLOOKUP($C422,REV!$C:$AA,8,0)-'TRADE IN'!$F422=0,"",(VLOOKUP($C422,REV!$C:$AA,8,0)-'TRADE IN'!$F422))</f>
        <v>6999</v>
      </c>
      <c r="K422" s="46">
        <f>IF(VLOOKUP($C422,REV!$C:$AA,9,0)-'TRADE IN'!$F422=0,"",(VLOOKUP($C422,REV!$C:$AA,9,0)-'TRADE IN'!$F422))</f>
        <v>6999</v>
      </c>
      <c r="L422" s="46">
        <f>IF(VLOOKUP($C422,REV!$C:$AA,10,0)-'TRADE IN'!$F422=0,"",(VLOOKUP($C422,REV!$C:$AA,10,0)-'TRADE IN'!$F422))</f>
        <v>6999</v>
      </c>
      <c r="M422" s="46">
        <f>IF(VLOOKUP($C422,REV!$C:$AA,11,0)-'TRADE IN'!$F422=0,"",(VLOOKUP($C422,REV!$C:$AA,11,0)-'TRADE IN'!$F422))</f>
        <v>6999</v>
      </c>
      <c r="N422" s="46">
        <f>IF(VLOOKUP($C422,REV!$C:$AA,12,0)-'TRADE IN'!$F422=0,"",(VLOOKUP($C422,REV!$C:$AA,12,0)-'TRADE IN'!$F422))</f>
        <v>6999</v>
      </c>
      <c r="O422" s="46">
        <f>IF(VLOOKUP($C422,REV!$C:$AA,13,0)-'TRADE IN'!$F422=0,"",(VLOOKUP($C422,REV!$C:$AA,13,0)-'TRADE IN'!$F422))</f>
        <v>6899</v>
      </c>
      <c r="P422" s="46">
        <f>IF(VLOOKUP($C422,REV!$C:$AA,14,0)-'TRADE IN'!$F422=0,"",(VLOOKUP($C422,REV!$C:$AA,14,0)-'TRADE IN'!$F422))</f>
        <v>6799</v>
      </c>
      <c r="Q422" s="46">
        <f>IF(VLOOKUP($C422,REV!$C:$AA,15,0)-'TRADE IN'!$F422=0,"",(VLOOKUP($C422,REV!$C:$AA,15,0)-'TRADE IN'!$F422))</f>
        <v>6399</v>
      </c>
      <c r="R422" s="46">
        <f>IF(VLOOKUP($C422,REV!$C:$AA,16,0)-'TRADE IN'!$F422=0,"",(VLOOKUP($C422,REV!$C:$AA,16,0)-'TRADE IN'!$F422))</f>
        <v>6899</v>
      </c>
      <c r="S422" s="46">
        <f>IF(VLOOKUP($C422,REV!$C:$AA,17,0)-'TRADE IN'!$F422=0,"",(VLOOKUP($C422,REV!$C:$AA,17,0)-'TRADE IN'!$F422))</f>
        <v>6799</v>
      </c>
      <c r="T422" s="46">
        <f>IF(VLOOKUP($C422,REV!$C:$AA,18,0)-'TRADE IN'!$F422=0,"",(VLOOKUP($C422,REV!$C:$AA,18,0)-'TRADE IN'!$F422))</f>
        <v>6399</v>
      </c>
      <c r="U422" s="46">
        <f>IF(VLOOKUP($C422,REV!$C:$AA,19,0)-'TRADE IN'!$F422=0,"",(VLOOKUP($C422,REV!$C:$AA,19,0)-'TRADE IN'!$F422))</f>
        <v>6399</v>
      </c>
      <c r="V422" s="46">
        <f>IF(VLOOKUP($C422,REV!$C:$AA,20,0)-'TRADE IN'!$F422=0,"",(VLOOKUP($C422,REV!$C:$AA,20,0)-'TRADE IN'!$F422))</f>
        <v>6399</v>
      </c>
      <c r="W422" s="46">
        <f>IF(VLOOKUP($C422,REV!$C:$AA,21,0)-'TRADE IN'!$F422=0,"",(VLOOKUP($C422,REV!$C:$AA,21,0)-'TRADE IN'!$F422))</f>
        <v>6399</v>
      </c>
      <c r="X422" s="46">
        <f>IF(VLOOKUP($C422,REV!$C:$AA,22,0)-'TRADE IN'!$F422=0,"",(VLOOKUP($C422,REV!$C:$AA,22,0)-'TRADE IN'!$F422))</f>
        <v>6299</v>
      </c>
      <c r="Y422" s="46">
        <f>IF(VLOOKUP($C422,REV!$C:$AA,23,0)-'TRADE IN'!$F422=0,"",(VLOOKUP($C422,REV!$C:$AA,23,0)-'TRADE IN'!$F422))</f>
        <v>4699</v>
      </c>
      <c r="Z422" s="46">
        <f>IF(VLOOKUP($C422,REV!$C:$AA,24,0)-'TRADE IN'!$F422=0,"",(VLOOKUP($C422,REV!$C:$AA,24,0)-'TRADE IN'!$F422))</f>
        <v>4699</v>
      </c>
      <c r="AA422" s="46">
        <f>IF(VLOOKUP($C422,REV!$C:$AA,25,0)-'TRADE IN'!$F422=0,"",(VLOOKUP($C422,REV!$C:$AA,25,0)-'TRADE IN'!$F422))</f>
        <v>4599</v>
      </c>
      <c r="AB422" s="45"/>
      <c r="AC422" s="45"/>
      <c r="AD422" s="45"/>
      <c r="AE422" s="45"/>
      <c r="AF422" s="45"/>
      <c r="AG422" s="45"/>
      <c r="AH422" s="45"/>
      <c r="AI422" s="45"/>
      <c r="AJ422" s="45"/>
      <c r="AK422" s="45"/>
      <c r="AL422" s="45"/>
      <c r="AM422" s="45"/>
      <c r="AN422" s="45"/>
      <c r="AO422" s="45"/>
      <c r="AP422" s="45"/>
      <c r="AQ422" s="45"/>
      <c r="AR422" s="45"/>
      <c r="AS422" s="45"/>
      <c r="AT422" s="45"/>
      <c r="AU422" s="45"/>
      <c r="AV422" s="47"/>
      <c r="AW422" s="48" t="str">
        <f>REV!AW422</f>
        <v>13.08.2026</v>
      </c>
      <c r="AX422" s="149" t="s">
        <v>68</v>
      </c>
    </row>
    <row r="423" spans="1:50" ht="22.5" customHeight="1">
      <c r="A423" s="41" t="s">
        <v>63</v>
      </c>
      <c r="B423" s="42" t="s">
        <v>64</v>
      </c>
      <c r="C423" s="43">
        <v>4017748</v>
      </c>
      <c r="D423" s="56" t="s">
        <v>613</v>
      </c>
      <c r="E423" s="56" t="s">
        <v>615</v>
      </c>
      <c r="F423" s="45">
        <v>100</v>
      </c>
      <c r="G423" s="45"/>
      <c r="H423" s="45"/>
      <c r="I423" s="45"/>
      <c r="J423" s="46">
        <f>IF(VLOOKUP($C423,REV!$C:$AA,8,0)-'TRADE IN'!$F423=0,"",(VLOOKUP($C423,REV!$C:$AA,8,0)-'TRADE IN'!$F423))</f>
        <v>6999</v>
      </c>
      <c r="K423" s="46">
        <f>IF(VLOOKUP($C423,REV!$C:$AA,9,0)-'TRADE IN'!$F423=0,"",(VLOOKUP($C423,REV!$C:$AA,9,0)-'TRADE IN'!$F423))</f>
        <v>6999</v>
      </c>
      <c r="L423" s="46">
        <f>IF(VLOOKUP($C423,REV!$C:$AA,10,0)-'TRADE IN'!$F423=0,"",(VLOOKUP($C423,REV!$C:$AA,10,0)-'TRADE IN'!$F423))</f>
        <v>6999</v>
      </c>
      <c r="M423" s="46">
        <f>IF(VLOOKUP($C423,REV!$C:$AA,11,0)-'TRADE IN'!$F423=0,"",(VLOOKUP($C423,REV!$C:$AA,11,0)-'TRADE IN'!$F423))</f>
        <v>6999</v>
      </c>
      <c r="N423" s="46">
        <f>IF(VLOOKUP($C423,REV!$C:$AA,12,0)-'TRADE IN'!$F423=0,"",(VLOOKUP($C423,REV!$C:$AA,12,0)-'TRADE IN'!$F423))</f>
        <v>6999</v>
      </c>
      <c r="O423" s="46">
        <f>IF(VLOOKUP($C423,REV!$C:$AA,13,0)-'TRADE IN'!$F423=0,"",(VLOOKUP($C423,REV!$C:$AA,13,0)-'TRADE IN'!$F423))</f>
        <v>6899</v>
      </c>
      <c r="P423" s="46">
        <f>IF(VLOOKUP($C423,REV!$C:$AA,14,0)-'TRADE IN'!$F423=0,"",(VLOOKUP($C423,REV!$C:$AA,14,0)-'TRADE IN'!$F423))</f>
        <v>6799</v>
      </c>
      <c r="Q423" s="46">
        <f>IF(VLOOKUP($C423,REV!$C:$AA,15,0)-'TRADE IN'!$F423=0,"",(VLOOKUP($C423,REV!$C:$AA,15,0)-'TRADE IN'!$F423))</f>
        <v>6399</v>
      </c>
      <c r="R423" s="46">
        <f>IF(VLOOKUP($C423,REV!$C:$AA,16,0)-'TRADE IN'!$F423=0,"",(VLOOKUP($C423,REV!$C:$AA,16,0)-'TRADE IN'!$F423))</f>
        <v>6899</v>
      </c>
      <c r="S423" s="46">
        <f>IF(VLOOKUP($C423,REV!$C:$AA,17,0)-'TRADE IN'!$F423=0,"",(VLOOKUP($C423,REV!$C:$AA,17,0)-'TRADE IN'!$F423))</f>
        <v>6799</v>
      </c>
      <c r="T423" s="46">
        <f>IF(VLOOKUP($C423,REV!$C:$AA,18,0)-'TRADE IN'!$F423=0,"",(VLOOKUP($C423,REV!$C:$AA,18,0)-'TRADE IN'!$F423))</f>
        <v>6399</v>
      </c>
      <c r="U423" s="46">
        <f>IF(VLOOKUP($C423,REV!$C:$AA,19,0)-'TRADE IN'!$F423=0,"",(VLOOKUP($C423,REV!$C:$AA,19,0)-'TRADE IN'!$F423))</f>
        <v>6399</v>
      </c>
      <c r="V423" s="46">
        <f>IF(VLOOKUP($C423,REV!$C:$AA,20,0)-'TRADE IN'!$F423=0,"",(VLOOKUP($C423,REV!$C:$AA,20,0)-'TRADE IN'!$F423))</f>
        <v>6399</v>
      </c>
      <c r="W423" s="46">
        <f>IF(VLOOKUP($C423,REV!$C:$AA,21,0)-'TRADE IN'!$F423=0,"",(VLOOKUP($C423,REV!$C:$AA,21,0)-'TRADE IN'!$F423))</f>
        <v>6399</v>
      </c>
      <c r="X423" s="46">
        <f>IF(VLOOKUP($C423,REV!$C:$AA,22,0)-'TRADE IN'!$F423=0,"",(VLOOKUP($C423,REV!$C:$AA,22,0)-'TRADE IN'!$F423))</f>
        <v>6299</v>
      </c>
      <c r="Y423" s="46">
        <f>IF(VLOOKUP($C423,REV!$C:$AA,23,0)-'TRADE IN'!$F423=0,"",(VLOOKUP($C423,REV!$C:$AA,23,0)-'TRADE IN'!$F423))</f>
        <v>4699</v>
      </c>
      <c r="Z423" s="46">
        <f>IF(VLOOKUP($C423,REV!$C:$AA,24,0)-'TRADE IN'!$F423=0,"",(VLOOKUP($C423,REV!$C:$AA,24,0)-'TRADE IN'!$F423))</f>
        <v>4699</v>
      </c>
      <c r="AA423" s="46">
        <f>IF(VLOOKUP($C423,REV!$C:$AA,25,0)-'TRADE IN'!$F423=0,"",(VLOOKUP($C423,REV!$C:$AA,25,0)-'TRADE IN'!$F423))</f>
        <v>4599</v>
      </c>
      <c r="AB423" s="45"/>
      <c r="AC423" s="45"/>
      <c r="AD423" s="45"/>
      <c r="AE423" s="45"/>
      <c r="AF423" s="45"/>
      <c r="AG423" s="45"/>
      <c r="AH423" s="45"/>
      <c r="AI423" s="45"/>
      <c r="AJ423" s="45"/>
      <c r="AK423" s="45"/>
      <c r="AL423" s="45"/>
      <c r="AM423" s="45"/>
      <c r="AN423" s="45"/>
      <c r="AO423" s="45"/>
      <c r="AP423" s="45"/>
      <c r="AQ423" s="45"/>
      <c r="AR423" s="45"/>
      <c r="AS423" s="45"/>
      <c r="AT423" s="45"/>
      <c r="AU423" s="45"/>
      <c r="AV423" s="47"/>
      <c r="AW423" s="48" t="str">
        <f>REV!AW423</f>
        <v>13.08.2026</v>
      </c>
      <c r="AX423" s="149" t="s">
        <v>68</v>
      </c>
    </row>
    <row r="424" spans="1:50" ht="22.5" customHeight="1">
      <c r="A424" s="41" t="s">
        <v>63</v>
      </c>
      <c r="B424" s="42" t="s">
        <v>64</v>
      </c>
      <c r="C424" s="43">
        <v>4017752</v>
      </c>
      <c r="D424" s="56" t="s">
        <v>613</v>
      </c>
      <c r="E424" s="56" t="s">
        <v>616</v>
      </c>
      <c r="F424" s="45">
        <v>100</v>
      </c>
      <c r="G424" s="45"/>
      <c r="H424" s="45"/>
      <c r="I424" s="45"/>
      <c r="J424" s="46">
        <f>IF(VLOOKUP($C424,REV!$C:$AA,8,0)-'TRADE IN'!$F424=0,"",(VLOOKUP($C424,REV!$C:$AA,8,0)-'TRADE IN'!$F424))</f>
        <v>6999</v>
      </c>
      <c r="K424" s="46">
        <f>IF(VLOOKUP($C424,REV!$C:$AA,9,0)-'TRADE IN'!$F424=0,"",(VLOOKUP($C424,REV!$C:$AA,9,0)-'TRADE IN'!$F424))</f>
        <v>6999</v>
      </c>
      <c r="L424" s="46">
        <f>IF(VLOOKUP($C424,REV!$C:$AA,10,0)-'TRADE IN'!$F424=0,"",(VLOOKUP($C424,REV!$C:$AA,10,0)-'TRADE IN'!$F424))</f>
        <v>6999</v>
      </c>
      <c r="M424" s="46">
        <f>IF(VLOOKUP($C424,REV!$C:$AA,11,0)-'TRADE IN'!$F424=0,"",(VLOOKUP($C424,REV!$C:$AA,11,0)-'TRADE IN'!$F424))</f>
        <v>6999</v>
      </c>
      <c r="N424" s="46">
        <f>IF(VLOOKUP($C424,REV!$C:$AA,12,0)-'TRADE IN'!$F424=0,"",(VLOOKUP($C424,REV!$C:$AA,12,0)-'TRADE IN'!$F424))</f>
        <v>6999</v>
      </c>
      <c r="O424" s="46">
        <f>IF(VLOOKUP($C424,REV!$C:$AA,13,0)-'TRADE IN'!$F424=0,"",(VLOOKUP($C424,REV!$C:$AA,13,0)-'TRADE IN'!$F424))</f>
        <v>6899</v>
      </c>
      <c r="P424" s="46">
        <f>IF(VLOOKUP($C424,REV!$C:$AA,14,0)-'TRADE IN'!$F424=0,"",(VLOOKUP($C424,REV!$C:$AA,14,0)-'TRADE IN'!$F424))</f>
        <v>6799</v>
      </c>
      <c r="Q424" s="46">
        <f>IF(VLOOKUP($C424,REV!$C:$AA,15,0)-'TRADE IN'!$F424=0,"",(VLOOKUP($C424,REV!$C:$AA,15,0)-'TRADE IN'!$F424))</f>
        <v>6399</v>
      </c>
      <c r="R424" s="46">
        <f>IF(VLOOKUP($C424,REV!$C:$AA,16,0)-'TRADE IN'!$F424=0,"",(VLOOKUP($C424,REV!$C:$AA,16,0)-'TRADE IN'!$F424))</f>
        <v>6899</v>
      </c>
      <c r="S424" s="46">
        <f>IF(VLOOKUP($C424,REV!$C:$AA,17,0)-'TRADE IN'!$F424=0,"",(VLOOKUP($C424,REV!$C:$AA,17,0)-'TRADE IN'!$F424))</f>
        <v>6799</v>
      </c>
      <c r="T424" s="46">
        <f>IF(VLOOKUP($C424,REV!$C:$AA,18,0)-'TRADE IN'!$F424=0,"",(VLOOKUP($C424,REV!$C:$AA,18,0)-'TRADE IN'!$F424))</f>
        <v>6399</v>
      </c>
      <c r="U424" s="46">
        <f>IF(VLOOKUP($C424,REV!$C:$AA,19,0)-'TRADE IN'!$F424=0,"",(VLOOKUP($C424,REV!$C:$AA,19,0)-'TRADE IN'!$F424))</f>
        <v>6399</v>
      </c>
      <c r="V424" s="46">
        <f>IF(VLOOKUP($C424,REV!$C:$AA,20,0)-'TRADE IN'!$F424=0,"",(VLOOKUP($C424,REV!$C:$AA,20,0)-'TRADE IN'!$F424))</f>
        <v>6399</v>
      </c>
      <c r="W424" s="46">
        <f>IF(VLOOKUP($C424,REV!$C:$AA,21,0)-'TRADE IN'!$F424=0,"",(VLOOKUP($C424,REV!$C:$AA,21,0)-'TRADE IN'!$F424))</f>
        <v>6399</v>
      </c>
      <c r="X424" s="46">
        <f>IF(VLOOKUP($C424,REV!$C:$AA,22,0)-'TRADE IN'!$F424=0,"",(VLOOKUP($C424,REV!$C:$AA,22,0)-'TRADE IN'!$F424))</f>
        <v>6299</v>
      </c>
      <c r="Y424" s="46">
        <f>IF(VLOOKUP($C424,REV!$C:$AA,23,0)-'TRADE IN'!$F424=0,"",(VLOOKUP($C424,REV!$C:$AA,23,0)-'TRADE IN'!$F424))</f>
        <v>4699</v>
      </c>
      <c r="Z424" s="46">
        <f>IF(VLOOKUP($C424,REV!$C:$AA,24,0)-'TRADE IN'!$F424=0,"",(VLOOKUP($C424,REV!$C:$AA,24,0)-'TRADE IN'!$F424))</f>
        <v>4699</v>
      </c>
      <c r="AA424" s="46">
        <f>IF(VLOOKUP($C424,REV!$C:$AA,25,0)-'TRADE IN'!$F424=0,"",(VLOOKUP($C424,REV!$C:$AA,25,0)-'TRADE IN'!$F424))</f>
        <v>4599</v>
      </c>
      <c r="AB424" s="45"/>
      <c r="AC424" s="45"/>
      <c r="AD424" s="45"/>
      <c r="AE424" s="45"/>
      <c r="AF424" s="45"/>
      <c r="AG424" s="45"/>
      <c r="AH424" s="45"/>
      <c r="AI424" s="45"/>
      <c r="AJ424" s="45"/>
      <c r="AK424" s="45"/>
      <c r="AL424" s="45"/>
      <c r="AM424" s="45"/>
      <c r="AN424" s="45"/>
      <c r="AO424" s="45"/>
      <c r="AP424" s="45"/>
      <c r="AQ424" s="45"/>
      <c r="AR424" s="45"/>
      <c r="AS424" s="45"/>
      <c r="AT424" s="45"/>
      <c r="AU424" s="45"/>
      <c r="AV424" s="47"/>
      <c r="AW424" s="48" t="str">
        <f>REV!AW424</f>
        <v>13.08.2026</v>
      </c>
      <c r="AX424" s="149" t="s">
        <v>68</v>
      </c>
    </row>
    <row r="425" spans="1:50" ht="22.5" customHeight="1">
      <c r="A425" s="41" t="s">
        <v>63</v>
      </c>
      <c r="B425" s="42" t="s">
        <v>64</v>
      </c>
      <c r="C425" s="43">
        <v>4017754</v>
      </c>
      <c r="D425" s="56" t="s">
        <v>613</v>
      </c>
      <c r="E425" s="56" t="s">
        <v>617</v>
      </c>
      <c r="F425" s="45">
        <v>100</v>
      </c>
      <c r="G425" s="45"/>
      <c r="H425" s="45"/>
      <c r="I425" s="45"/>
      <c r="J425" s="46">
        <f>IF(VLOOKUP($C425,REV!$C:$AA,8,0)-'TRADE IN'!$F425=0,"",(VLOOKUP($C425,REV!$C:$AA,8,0)-'TRADE IN'!$F425))</f>
        <v>6999</v>
      </c>
      <c r="K425" s="46">
        <f>IF(VLOOKUP($C425,REV!$C:$AA,9,0)-'TRADE IN'!$F425=0,"",(VLOOKUP($C425,REV!$C:$AA,9,0)-'TRADE IN'!$F425))</f>
        <v>6999</v>
      </c>
      <c r="L425" s="46">
        <f>IF(VLOOKUP($C425,REV!$C:$AA,10,0)-'TRADE IN'!$F425=0,"",(VLOOKUP($C425,REV!$C:$AA,10,0)-'TRADE IN'!$F425))</f>
        <v>6999</v>
      </c>
      <c r="M425" s="46">
        <f>IF(VLOOKUP($C425,REV!$C:$AA,11,0)-'TRADE IN'!$F425=0,"",(VLOOKUP($C425,REV!$C:$AA,11,0)-'TRADE IN'!$F425))</f>
        <v>6999</v>
      </c>
      <c r="N425" s="46">
        <f>IF(VLOOKUP($C425,REV!$C:$AA,12,0)-'TRADE IN'!$F425=0,"",(VLOOKUP($C425,REV!$C:$AA,12,0)-'TRADE IN'!$F425))</f>
        <v>6999</v>
      </c>
      <c r="O425" s="46">
        <f>IF(VLOOKUP($C425,REV!$C:$AA,13,0)-'TRADE IN'!$F425=0,"",(VLOOKUP($C425,REV!$C:$AA,13,0)-'TRADE IN'!$F425))</f>
        <v>6899</v>
      </c>
      <c r="P425" s="46">
        <f>IF(VLOOKUP($C425,REV!$C:$AA,14,0)-'TRADE IN'!$F425=0,"",(VLOOKUP($C425,REV!$C:$AA,14,0)-'TRADE IN'!$F425))</f>
        <v>6799</v>
      </c>
      <c r="Q425" s="46">
        <f>IF(VLOOKUP($C425,REV!$C:$AA,15,0)-'TRADE IN'!$F425=0,"",(VLOOKUP($C425,REV!$C:$AA,15,0)-'TRADE IN'!$F425))</f>
        <v>6399</v>
      </c>
      <c r="R425" s="46">
        <f>IF(VLOOKUP($C425,REV!$C:$AA,16,0)-'TRADE IN'!$F425=0,"",(VLOOKUP($C425,REV!$C:$AA,16,0)-'TRADE IN'!$F425))</f>
        <v>6899</v>
      </c>
      <c r="S425" s="46">
        <f>IF(VLOOKUP($C425,REV!$C:$AA,17,0)-'TRADE IN'!$F425=0,"",(VLOOKUP($C425,REV!$C:$AA,17,0)-'TRADE IN'!$F425))</f>
        <v>6799</v>
      </c>
      <c r="T425" s="46">
        <f>IF(VLOOKUP($C425,REV!$C:$AA,18,0)-'TRADE IN'!$F425=0,"",(VLOOKUP($C425,REV!$C:$AA,18,0)-'TRADE IN'!$F425))</f>
        <v>6399</v>
      </c>
      <c r="U425" s="46">
        <f>IF(VLOOKUP($C425,REV!$C:$AA,19,0)-'TRADE IN'!$F425=0,"",(VLOOKUP($C425,REV!$C:$AA,19,0)-'TRADE IN'!$F425))</f>
        <v>6399</v>
      </c>
      <c r="V425" s="46">
        <f>IF(VLOOKUP($C425,REV!$C:$AA,20,0)-'TRADE IN'!$F425=0,"",(VLOOKUP($C425,REV!$C:$AA,20,0)-'TRADE IN'!$F425))</f>
        <v>6399</v>
      </c>
      <c r="W425" s="46">
        <f>IF(VLOOKUP($C425,REV!$C:$AA,21,0)-'TRADE IN'!$F425=0,"",(VLOOKUP($C425,REV!$C:$AA,21,0)-'TRADE IN'!$F425))</f>
        <v>6399</v>
      </c>
      <c r="X425" s="46">
        <f>IF(VLOOKUP($C425,REV!$C:$AA,22,0)-'TRADE IN'!$F425=0,"",(VLOOKUP($C425,REV!$C:$AA,22,0)-'TRADE IN'!$F425))</f>
        <v>6299</v>
      </c>
      <c r="Y425" s="46">
        <f>IF(VLOOKUP($C425,REV!$C:$AA,23,0)-'TRADE IN'!$F425=0,"",(VLOOKUP($C425,REV!$C:$AA,23,0)-'TRADE IN'!$F425))</f>
        <v>4699</v>
      </c>
      <c r="Z425" s="46">
        <f>IF(VLOOKUP($C425,REV!$C:$AA,24,0)-'TRADE IN'!$F425=0,"",(VLOOKUP($C425,REV!$C:$AA,24,0)-'TRADE IN'!$F425))</f>
        <v>4699</v>
      </c>
      <c r="AA425" s="46">
        <f>IF(VLOOKUP($C425,REV!$C:$AA,25,0)-'TRADE IN'!$F425=0,"",(VLOOKUP($C425,REV!$C:$AA,25,0)-'TRADE IN'!$F425))</f>
        <v>4599</v>
      </c>
      <c r="AB425" s="45"/>
      <c r="AC425" s="45"/>
      <c r="AD425" s="45"/>
      <c r="AE425" s="45"/>
      <c r="AF425" s="45"/>
      <c r="AG425" s="45"/>
      <c r="AH425" s="45"/>
      <c r="AI425" s="45"/>
      <c r="AJ425" s="45"/>
      <c r="AK425" s="45"/>
      <c r="AL425" s="45"/>
      <c r="AM425" s="45"/>
      <c r="AN425" s="45"/>
      <c r="AO425" s="45"/>
      <c r="AP425" s="45"/>
      <c r="AQ425" s="45"/>
      <c r="AR425" s="45"/>
      <c r="AS425" s="45"/>
      <c r="AT425" s="45"/>
      <c r="AU425" s="45"/>
      <c r="AV425" s="47"/>
      <c r="AW425" s="48" t="str">
        <f>REV!AW425</f>
        <v>13.08.2026</v>
      </c>
      <c r="AX425" s="149" t="s">
        <v>68</v>
      </c>
    </row>
    <row r="426" spans="1:50" ht="22.5" customHeight="1">
      <c r="A426" s="41" t="s">
        <v>63</v>
      </c>
      <c r="B426" s="42" t="s">
        <v>64</v>
      </c>
      <c r="C426" s="43">
        <v>4017675</v>
      </c>
      <c r="D426" s="56" t="s">
        <v>613</v>
      </c>
      <c r="E426" s="56" t="s">
        <v>618</v>
      </c>
      <c r="F426" s="45">
        <v>100</v>
      </c>
      <c r="G426" s="45"/>
      <c r="H426" s="45"/>
      <c r="I426" s="45"/>
      <c r="J426" s="46">
        <f>IF(VLOOKUP($C426,REV!$C:$AA,8,0)-'TRADE IN'!$F426=0,"",(VLOOKUP($C426,REV!$C:$AA,8,0)-'TRADE IN'!$F426))</f>
        <v>6999</v>
      </c>
      <c r="K426" s="46">
        <f>IF(VLOOKUP($C426,REV!$C:$AA,9,0)-'TRADE IN'!$F426=0,"",(VLOOKUP($C426,REV!$C:$AA,9,0)-'TRADE IN'!$F426))</f>
        <v>6999</v>
      </c>
      <c r="L426" s="46">
        <f>IF(VLOOKUP($C426,REV!$C:$AA,10,0)-'TRADE IN'!$F426=0,"",(VLOOKUP($C426,REV!$C:$AA,10,0)-'TRADE IN'!$F426))</f>
        <v>6999</v>
      </c>
      <c r="M426" s="46">
        <f>IF(VLOOKUP($C426,REV!$C:$AA,11,0)-'TRADE IN'!$F426=0,"",(VLOOKUP($C426,REV!$C:$AA,11,0)-'TRADE IN'!$F426))</f>
        <v>6999</v>
      </c>
      <c r="N426" s="46">
        <f>IF(VLOOKUP($C426,REV!$C:$AA,12,0)-'TRADE IN'!$F426=0,"",(VLOOKUP($C426,REV!$C:$AA,12,0)-'TRADE IN'!$F426))</f>
        <v>6999</v>
      </c>
      <c r="O426" s="46">
        <f>IF(VLOOKUP($C426,REV!$C:$AA,13,0)-'TRADE IN'!$F426=0,"",(VLOOKUP($C426,REV!$C:$AA,13,0)-'TRADE IN'!$F426))</f>
        <v>6899</v>
      </c>
      <c r="P426" s="46">
        <f>IF(VLOOKUP($C426,REV!$C:$AA,14,0)-'TRADE IN'!$F426=0,"",(VLOOKUP($C426,REV!$C:$AA,14,0)-'TRADE IN'!$F426))</f>
        <v>6799</v>
      </c>
      <c r="Q426" s="46">
        <f>IF(VLOOKUP($C426,REV!$C:$AA,15,0)-'TRADE IN'!$F426=0,"",(VLOOKUP($C426,REV!$C:$AA,15,0)-'TRADE IN'!$F426))</f>
        <v>6399</v>
      </c>
      <c r="R426" s="46">
        <f>IF(VLOOKUP($C426,REV!$C:$AA,16,0)-'TRADE IN'!$F426=0,"",(VLOOKUP($C426,REV!$C:$AA,16,0)-'TRADE IN'!$F426))</f>
        <v>6899</v>
      </c>
      <c r="S426" s="46">
        <f>IF(VLOOKUP($C426,REV!$C:$AA,17,0)-'TRADE IN'!$F426=0,"",(VLOOKUP($C426,REV!$C:$AA,17,0)-'TRADE IN'!$F426))</f>
        <v>6799</v>
      </c>
      <c r="T426" s="46">
        <f>IF(VLOOKUP($C426,REV!$C:$AA,18,0)-'TRADE IN'!$F426=0,"",(VLOOKUP($C426,REV!$C:$AA,18,0)-'TRADE IN'!$F426))</f>
        <v>6399</v>
      </c>
      <c r="U426" s="46">
        <f>IF(VLOOKUP($C426,REV!$C:$AA,19,0)-'TRADE IN'!$F426=0,"",(VLOOKUP($C426,REV!$C:$AA,19,0)-'TRADE IN'!$F426))</f>
        <v>6399</v>
      </c>
      <c r="V426" s="46">
        <f>IF(VLOOKUP($C426,REV!$C:$AA,20,0)-'TRADE IN'!$F426=0,"",(VLOOKUP($C426,REV!$C:$AA,20,0)-'TRADE IN'!$F426))</f>
        <v>6399</v>
      </c>
      <c r="W426" s="46">
        <f>IF(VLOOKUP($C426,REV!$C:$AA,21,0)-'TRADE IN'!$F426=0,"",(VLOOKUP($C426,REV!$C:$AA,21,0)-'TRADE IN'!$F426))</f>
        <v>6399</v>
      </c>
      <c r="X426" s="46">
        <f>IF(VLOOKUP($C426,REV!$C:$AA,22,0)-'TRADE IN'!$F426=0,"",(VLOOKUP($C426,REV!$C:$AA,22,0)-'TRADE IN'!$F426))</f>
        <v>6299</v>
      </c>
      <c r="Y426" s="46">
        <f>IF(VLOOKUP($C426,REV!$C:$AA,23,0)-'TRADE IN'!$F426=0,"",(VLOOKUP($C426,REV!$C:$AA,23,0)-'TRADE IN'!$F426))</f>
        <v>4699</v>
      </c>
      <c r="Z426" s="46">
        <f>IF(VLOOKUP($C426,REV!$C:$AA,24,0)-'TRADE IN'!$F426=0,"",(VLOOKUP($C426,REV!$C:$AA,24,0)-'TRADE IN'!$F426))</f>
        <v>4699</v>
      </c>
      <c r="AA426" s="46">
        <f>IF(VLOOKUP($C426,REV!$C:$AA,25,0)-'TRADE IN'!$F426=0,"",(VLOOKUP($C426,REV!$C:$AA,25,0)-'TRADE IN'!$F426))</f>
        <v>4599</v>
      </c>
      <c r="AB426" s="45"/>
      <c r="AC426" s="45"/>
      <c r="AD426" s="45"/>
      <c r="AE426" s="45"/>
      <c r="AF426" s="45"/>
      <c r="AG426" s="45"/>
      <c r="AH426" s="45"/>
      <c r="AI426" s="45"/>
      <c r="AJ426" s="45"/>
      <c r="AK426" s="45"/>
      <c r="AL426" s="45"/>
      <c r="AM426" s="45"/>
      <c r="AN426" s="45"/>
      <c r="AO426" s="45"/>
      <c r="AP426" s="45"/>
      <c r="AQ426" s="45"/>
      <c r="AR426" s="45"/>
      <c r="AS426" s="45"/>
      <c r="AT426" s="45"/>
      <c r="AU426" s="45"/>
      <c r="AV426" s="47"/>
      <c r="AW426" s="48" t="str">
        <f>REV!AW426</f>
        <v>13.08.2026</v>
      </c>
      <c r="AX426" s="149" t="s">
        <v>68</v>
      </c>
    </row>
    <row r="427" spans="1:50" ht="22.5" customHeight="1">
      <c r="A427" s="41" t="s">
        <v>63</v>
      </c>
      <c r="B427" s="42" t="s">
        <v>64</v>
      </c>
      <c r="C427" s="43">
        <v>4017676</v>
      </c>
      <c r="D427" s="56" t="s">
        <v>613</v>
      </c>
      <c r="E427" s="56" t="s">
        <v>619</v>
      </c>
      <c r="F427" s="45">
        <v>100</v>
      </c>
      <c r="G427" s="45"/>
      <c r="H427" s="45"/>
      <c r="I427" s="45"/>
      <c r="J427" s="46">
        <f>IF(VLOOKUP($C427,REV!$C:$AA,8,0)-'TRADE IN'!$F427=0,"",(VLOOKUP($C427,REV!$C:$AA,8,0)-'TRADE IN'!$F427))</f>
        <v>6999</v>
      </c>
      <c r="K427" s="46">
        <f>IF(VLOOKUP($C427,REV!$C:$AA,9,0)-'TRADE IN'!$F427=0,"",(VLOOKUP($C427,REV!$C:$AA,9,0)-'TRADE IN'!$F427))</f>
        <v>6999</v>
      </c>
      <c r="L427" s="46">
        <f>IF(VLOOKUP($C427,REV!$C:$AA,10,0)-'TRADE IN'!$F427=0,"",(VLOOKUP($C427,REV!$C:$AA,10,0)-'TRADE IN'!$F427))</f>
        <v>6999</v>
      </c>
      <c r="M427" s="46">
        <f>IF(VLOOKUP($C427,REV!$C:$AA,11,0)-'TRADE IN'!$F427=0,"",(VLOOKUP($C427,REV!$C:$AA,11,0)-'TRADE IN'!$F427))</f>
        <v>6999</v>
      </c>
      <c r="N427" s="46">
        <f>IF(VLOOKUP($C427,REV!$C:$AA,12,0)-'TRADE IN'!$F427=0,"",(VLOOKUP($C427,REV!$C:$AA,12,0)-'TRADE IN'!$F427))</f>
        <v>6999</v>
      </c>
      <c r="O427" s="46">
        <f>IF(VLOOKUP($C427,REV!$C:$AA,13,0)-'TRADE IN'!$F427=0,"",(VLOOKUP($C427,REV!$C:$AA,13,0)-'TRADE IN'!$F427))</f>
        <v>6899</v>
      </c>
      <c r="P427" s="46">
        <f>IF(VLOOKUP($C427,REV!$C:$AA,14,0)-'TRADE IN'!$F427=0,"",(VLOOKUP($C427,REV!$C:$AA,14,0)-'TRADE IN'!$F427))</f>
        <v>6799</v>
      </c>
      <c r="Q427" s="46">
        <f>IF(VLOOKUP($C427,REV!$C:$AA,15,0)-'TRADE IN'!$F427=0,"",(VLOOKUP($C427,REV!$C:$AA,15,0)-'TRADE IN'!$F427))</f>
        <v>6399</v>
      </c>
      <c r="R427" s="46">
        <f>IF(VLOOKUP($C427,REV!$C:$AA,16,0)-'TRADE IN'!$F427=0,"",(VLOOKUP($C427,REV!$C:$AA,16,0)-'TRADE IN'!$F427))</f>
        <v>6899</v>
      </c>
      <c r="S427" s="46">
        <f>IF(VLOOKUP($C427,REV!$C:$AA,17,0)-'TRADE IN'!$F427=0,"",(VLOOKUP($C427,REV!$C:$AA,17,0)-'TRADE IN'!$F427))</f>
        <v>6799</v>
      </c>
      <c r="T427" s="46">
        <f>IF(VLOOKUP($C427,REV!$C:$AA,18,0)-'TRADE IN'!$F427=0,"",(VLOOKUP($C427,REV!$C:$AA,18,0)-'TRADE IN'!$F427))</f>
        <v>6399</v>
      </c>
      <c r="U427" s="46">
        <f>IF(VLOOKUP($C427,REV!$C:$AA,19,0)-'TRADE IN'!$F427=0,"",(VLOOKUP($C427,REV!$C:$AA,19,0)-'TRADE IN'!$F427))</f>
        <v>6399</v>
      </c>
      <c r="V427" s="46">
        <f>IF(VLOOKUP($C427,REV!$C:$AA,20,0)-'TRADE IN'!$F427=0,"",(VLOOKUP($C427,REV!$C:$AA,20,0)-'TRADE IN'!$F427))</f>
        <v>6399</v>
      </c>
      <c r="W427" s="46">
        <f>IF(VLOOKUP($C427,REV!$C:$AA,21,0)-'TRADE IN'!$F427=0,"",(VLOOKUP($C427,REV!$C:$AA,21,0)-'TRADE IN'!$F427))</f>
        <v>6399</v>
      </c>
      <c r="X427" s="46">
        <f>IF(VLOOKUP($C427,REV!$C:$AA,22,0)-'TRADE IN'!$F427=0,"",(VLOOKUP($C427,REV!$C:$AA,22,0)-'TRADE IN'!$F427))</f>
        <v>6299</v>
      </c>
      <c r="Y427" s="46">
        <f>IF(VLOOKUP($C427,REV!$C:$AA,23,0)-'TRADE IN'!$F427=0,"",(VLOOKUP($C427,REV!$C:$AA,23,0)-'TRADE IN'!$F427))</f>
        <v>4699</v>
      </c>
      <c r="Z427" s="46">
        <f>IF(VLOOKUP($C427,REV!$C:$AA,24,0)-'TRADE IN'!$F427=0,"",(VLOOKUP($C427,REV!$C:$AA,24,0)-'TRADE IN'!$F427))</f>
        <v>4699</v>
      </c>
      <c r="AA427" s="46">
        <f>IF(VLOOKUP($C427,REV!$C:$AA,25,0)-'TRADE IN'!$F427=0,"",(VLOOKUP($C427,REV!$C:$AA,25,0)-'TRADE IN'!$F427))</f>
        <v>4599</v>
      </c>
      <c r="AB427" s="45"/>
      <c r="AC427" s="45"/>
      <c r="AD427" s="45"/>
      <c r="AE427" s="45"/>
      <c r="AF427" s="45"/>
      <c r="AG427" s="45"/>
      <c r="AH427" s="45"/>
      <c r="AI427" s="45"/>
      <c r="AJ427" s="45"/>
      <c r="AK427" s="45"/>
      <c r="AL427" s="45"/>
      <c r="AM427" s="45"/>
      <c r="AN427" s="45"/>
      <c r="AO427" s="45"/>
      <c r="AP427" s="45"/>
      <c r="AQ427" s="45"/>
      <c r="AR427" s="45"/>
      <c r="AS427" s="45"/>
      <c r="AT427" s="45"/>
      <c r="AU427" s="45"/>
      <c r="AV427" s="47"/>
      <c r="AW427" s="48" t="str">
        <f>REV!AW427</f>
        <v>13.08.2026</v>
      </c>
      <c r="AX427" s="149" t="s">
        <v>68</v>
      </c>
    </row>
    <row r="428" spans="1:50" ht="22.5" customHeight="1">
      <c r="A428" s="41" t="s">
        <v>63</v>
      </c>
      <c r="B428" s="42" t="s">
        <v>64</v>
      </c>
      <c r="C428" s="43">
        <v>4017762</v>
      </c>
      <c r="D428" s="56" t="s">
        <v>620</v>
      </c>
      <c r="E428" s="56" t="s">
        <v>621</v>
      </c>
      <c r="F428" s="45">
        <v>500</v>
      </c>
      <c r="G428" s="45"/>
      <c r="H428" s="45"/>
      <c r="I428" s="45"/>
      <c r="J428" s="46">
        <f>IF(VLOOKUP($C428,REV!$C:$AA,8,0)-'TRADE IN'!$F428=0,"",(VLOOKUP($C428,REV!$C:$AA,8,0)-'TRADE IN'!$F428))</f>
        <v>5699</v>
      </c>
      <c r="K428" s="46">
        <f>IF(VLOOKUP($C428,REV!$C:$AA,9,0)-'TRADE IN'!$F428=0,"",(VLOOKUP($C428,REV!$C:$AA,9,0)-'TRADE IN'!$F428))</f>
        <v>5699</v>
      </c>
      <c r="L428" s="46">
        <f>IF(VLOOKUP($C428,REV!$C:$AA,10,0)-'TRADE IN'!$F428=0,"",(VLOOKUP($C428,REV!$C:$AA,10,0)-'TRADE IN'!$F428))</f>
        <v>5699</v>
      </c>
      <c r="M428" s="46">
        <f>IF(VLOOKUP($C428,REV!$C:$AA,11,0)-'TRADE IN'!$F428=0,"",(VLOOKUP($C428,REV!$C:$AA,11,0)-'TRADE IN'!$F428))</f>
        <v>5699</v>
      </c>
      <c r="N428" s="46">
        <f>IF(VLOOKUP($C428,REV!$C:$AA,12,0)-'TRADE IN'!$F428=0,"",(VLOOKUP($C428,REV!$C:$AA,12,0)-'TRADE IN'!$F428))</f>
        <v>5699</v>
      </c>
      <c r="O428" s="46">
        <f>IF(VLOOKUP($C428,REV!$C:$AA,13,0)-'TRADE IN'!$F428=0,"",(VLOOKUP($C428,REV!$C:$AA,13,0)-'TRADE IN'!$F428))</f>
        <v>5599</v>
      </c>
      <c r="P428" s="46">
        <f>IF(VLOOKUP($C428,REV!$C:$AA,14,0)-'TRADE IN'!$F428=0,"",(VLOOKUP($C428,REV!$C:$AA,14,0)-'TRADE IN'!$F428))</f>
        <v>5499</v>
      </c>
      <c r="Q428" s="46">
        <f>IF(VLOOKUP($C428,REV!$C:$AA,15,0)-'TRADE IN'!$F428=0,"",(VLOOKUP($C428,REV!$C:$AA,15,0)-'TRADE IN'!$F428))</f>
        <v>5099</v>
      </c>
      <c r="R428" s="46">
        <f>IF(VLOOKUP($C428,REV!$C:$AA,16,0)-'TRADE IN'!$F428=0,"",(VLOOKUP($C428,REV!$C:$AA,16,0)-'TRADE IN'!$F428))</f>
        <v>5599</v>
      </c>
      <c r="S428" s="46">
        <f>IF(VLOOKUP($C428,REV!$C:$AA,17,0)-'TRADE IN'!$F428=0,"",(VLOOKUP($C428,REV!$C:$AA,17,0)-'TRADE IN'!$F428))</f>
        <v>5499</v>
      </c>
      <c r="T428" s="46">
        <f>IF(VLOOKUP($C428,REV!$C:$AA,18,0)-'TRADE IN'!$F428=0,"",(VLOOKUP($C428,REV!$C:$AA,18,0)-'TRADE IN'!$F428))</f>
        <v>5099</v>
      </c>
      <c r="U428" s="46">
        <f>IF(VLOOKUP($C428,REV!$C:$AA,19,0)-'TRADE IN'!$F428=0,"",(VLOOKUP($C428,REV!$C:$AA,19,0)-'TRADE IN'!$F428))</f>
        <v>5099</v>
      </c>
      <c r="V428" s="46">
        <f>IF(VLOOKUP($C428,REV!$C:$AA,20,0)-'TRADE IN'!$F428=0,"",(VLOOKUP($C428,REV!$C:$AA,20,0)-'TRADE IN'!$F428))</f>
        <v>5099</v>
      </c>
      <c r="W428" s="46">
        <f>IF(VLOOKUP($C428,REV!$C:$AA,21,0)-'TRADE IN'!$F428=0,"",(VLOOKUP($C428,REV!$C:$AA,21,0)-'TRADE IN'!$F428))</f>
        <v>5099</v>
      </c>
      <c r="X428" s="46">
        <f>IF(VLOOKUP($C428,REV!$C:$AA,22,0)-'TRADE IN'!$F428=0,"",(VLOOKUP($C428,REV!$C:$AA,22,0)-'TRADE IN'!$F428))</f>
        <v>4999</v>
      </c>
      <c r="Y428" s="46">
        <f>IF(VLOOKUP($C428,REV!$C:$AA,23,0)-'TRADE IN'!$F428=0,"",(VLOOKUP($C428,REV!$C:$AA,23,0)-'TRADE IN'!$F428))</f>
        <v>4299</v>
      </c>
      <c r="Z428" s="46">
        <f>IF(VLOOKUP($C428,REV!$C:$AA,24,0)-'TRADE IN'!$F428=0,"",(VLOOKUP($C428,REV!$C:$AA,24,0)-'TRADE IN'!$F428))</f>
        <v>4299</v>
      </c>
      <c r="AA428" s="46">
        <f>IF(VLOOKUP($C428,REV!$C:$AA,25,0)-'TRADE IN'!$F428=0,"",(VLOOKUP($C428,REV!$C:$AA,25,0)-'TRADE IN'!$F428))</f>
        <v>4099</v>
      </c>
      <c r="AB428" s="45">
        <f>IF(VLOOKUP($C428,REV!$C:$AL,27,0)-'TRADE IN'!$F428=0,"",(VLOOKUP($C428,REV!$C:$AL,27,0)-'TRADE IN'!$F428))</f>
        <v>5699</v>
      </c>
      <c r="AC428" s="45">
        <f>IF(VLOOKUP($C428,REV!$C:$AL,28,0)-'TRADE IN'!$F428=0,"",(VLOOKUP($C428,REV!$C:$AL,28,0)-'TRADE IN'!$F428))</f>
        <v>5699</v>
      </c>
      <c r="AD428" s="45">
        <f>IF(VLOOKUP($C428,REV!$C:$AL,29,0)-'TRADE IN'!$F428=0,"",(VLOOKUP($C428,REV!$C:$AL,29,0)-'TRADE IN'!$F428))</f>
        <v>5599</v>
      </c>
      <c r="AE428" s="45">
        <f>IF(VLOOKUP($C428,REV!$C:$AL,30,0)-'TRADE IN'!$F428=0,"",(VLOOKUP($C428,REV!$C:$AL,30,0)-'TRADE IN'!$F428))</f>
        <v>5499</v>
      </c>
      <c r="AF428" s="45">
        <f>IF(VLOOKUP($C428,REV!$C:$AL,31,0)-'TRADE IN'!$F428=0,"",(VLOOKUP($C428,REV!$C:$AL,31,0)-'TRADE IN'!$F428))</f>
        <v>5499</v>
      </c>
      <c r="AG428" s="45">
        <f>IF(VLOOKUP($C428,REV!$C:$AL,31,0)-'TRADE IN'!$F428=0,"",(VLOOKUP($C428,REV!$C:$AL,31,0)-'TRADE IN'!$F428))</f>
        <v>5499</v>
      </c>
      <c r="AH428" s="45">
        <f>IF(VLOOKUP($C428,REV!$C:$AL,32,0)-'TRADE IN'!$F428=0,"",(VLOOKUP($C428,REV!$C:$AL,32,0)-'TRADE IN'!$F428))</f>
        <v>5099</v>
      </c>
      <c r="AI428" s="45">
        <f>IF(VLOOKUP($C428,REV!$C:$AL,33,0)-'TRADE IN'!$F428=0,"",(VLOOKUP($C428,REV!$C:$AL,33,0)-'TRADE IN'!$F428))</f>
        <v>5099</v>
      </c>
      <c r="AJ428" s="45">
        <f>IF(VLOOKUP($C428,REV!$C:$AL,34,0)-'TRADE IN'!$F428=0,"",(VLOOKUP($C428,REV!$C:$AL,34,0)-'TRADE IN'!$F428))</f>
        <v>5099</v>
      </c>
      <c r="AK428" s="45">
        <f>IF(VLOOKUP($C428,REV!$C:$AL,35,0)-'TRADE IN'!$F428=0,"",(VLOOKUP($C428,REV!$C:$AL,35,0)-'TRADE IN'!$F428))</f>
        <v>5099</v>
      </c>
      <c r="AL428" s="45">
        <f>IF(VLOOKUP($C428,REV!$C:$AL,36,0)-'TRADE IN'!$F428=0,"",(VLOOKUP($C428,REV!$C:$AL,36,0)-'TRADE IN'!$F428))</f>
        <v>4299</v>
      </c>
      <c r="AM428" s="45"/>
      <c r="AN428" s="45"/>
      <c r="AO428" s="45"/>
      <c r="AP428" s="45"/>
      <c r="AQ428" s="45"/>
      <c r="AR428" s="45"/>
      <c r="AS428" s="45"/>
      <c r="AT428" s="45"/>
      <c r="AU428" s="45"/>
      <c r="AV428" s="47"/>
      <c r="AW428" s="48" t="str">
        <f>REV!AW428</f>
        <v>13.08.2026</v>
      </c>
      <c r="AX428" s="149" t="s">
        <v>68</v>
      </c>
    </row>
    <row r="429" spans="1:50" ht="22.5" customHeight="1">
      <c r="A429" s="41" t="s">
        <v>63</v>
      </c>
      <c r="B429" s="42" t="s">
        <v>64</v>
      </c>
      <c r="C429" s="43">
        <v>4017763</v>
      </c>
      <c r="D429" s="56" t="s">
        <v>620</v>
      </c>
      <c r="E429" s="56" t="s">
        <v>622</v>
      </c>
      <c r="F429" s="45">
        <v>500</v>
      </c>
      <c r="G429" s="45"/>
      <c r="H429" s="45"/>
      <c r="I429" s="45"/>
      <c r="J429" s="46">
        <f>IF(VLOOKUP($C429,REV!$C:$AA,8,0)-'TRADE IN'!$F429=0,"",(VLOOKUP($C429,REV!$C:$AA,8,0)-'TRADE IN'!$F429))</f>
        <v>5699</v>
      </c>
      <c r="K429" s="46">
        <f>IF(VLOOKUP($C429,REV!$C:$AA,9,0)-'TRADE IN'!$F429=0,"",(VLOOKUP($C429,REV!$C:$AA,9,0)-'TRADE IN'!$F429))</f>
        <v>5699</v>
      </c>
      <c r="L429" s="46">
        <f>IF(VLOOKUP($C429,REV!$C:$AA,10,0)-'TRADE IN'!$F429=0,"",(VLOOKUP($C429,REV!$C:$AA,10,0)-'TRADE IN'!$F429))</f>
        <v>5699</v>
      </c>
      <c r="M429" s="46">
        <f>IF(VLOOKUP($C429,REV!$C:$AA,11,0)-'TRADE IN'!$F429=0,"",(VLOOKUP($C429,REV!$C:$AA,11,0)-'TRADE IN'!$F429))</f>
        <v>5699</v>
      </c>
      <c r="N429" s="46">
        <f>IF(VLOOKUP($C429,REV!$C:$AA,12,0)-'TRADE IN'!$F429=0,"",(VLOOKUP($C429,REV!$C:$AA,12,0)-'TRADE IN'!$F429))</f>
        <v>5699</v>
      </c>
      <c r="O429" s="46">
        <f>IF(VLOOKUP($C429,REV!$C:$AA,13,0)-'TRADE IN'!$F429=0,"",(VLOOKUP($C429,REV!$C:$AA,13,0)-'TRADE IN'!$F429))</f>
        <v>5599</v>
      </c>
      <c r="P429" s="46">
        <f>IF(VLOOKUP($C429,REV!$C:$AA,14,0)-'TRADE IN'!$F429=0,"",(VLOOKUP($C429,REV!$C:$AA,14,0)-'TRADE IN'!$F429))</f>
        <v>5499</v>
      </c>
      <c r="Q429" s="46">
        <f>IF(VLOOKUP($C429,REV!$C:$AA,15,0)-'TRADE IN'!$F429=0,"",(VLOOKUP($C429,REV!$C:$AA,15,0)-'TRADE IN'!$F429))</f>
        <v>5099</v>
      </c>
      <c r="R429" s="46">
        <f>IF(VLOOKUP($C429,REV!$C:$AA,16,0)-'TRADE IN'!$F429=0,"",(VLOOKUP($C429,REV!$C:$AA,16,0)-'TRADE IN'!$F429))</f>
        <v>5599</v>
      </c>
      <c r="S429" s="46">
        <f>IF(VLOOKUP($C429,REV!$C:$AA,17,0)-'TRADE IN'!$F429=0,"",(VLOOKUP($C429,REV!$C:$AA,17,0)-'TRADE IN'!$F429))</f>
        <v>5499</v>
      </c>
      <c r="T429" s="46">
        <f>IF(VLOOKUP($C429,REV!$C:$AA,18,0)-'TRADE IN'!$F429=0,"",(VLOOKUP($C429,REV!$C:$AA,18,0)-'TRADE IN'!$F429))</f>
        <v>5099</v>
      </c>
      <c r="U429" s="46">
        <f>IF(VLOOKUP($C429,REV!$C:$AA,19,0)-'TRADE IN'!$F429=0,"",(VLOOKUP($C429,REV!$C:$AA,19,0)-'TRADE IN'!$F429))</f>
        <v>5099</v>
      </c>
      <c r="V429" s="46">
        <f>IF(VLOOKUP($C429,REV!$C:$AA,20,0)-'TRADE IN'!$F429=0,"",(VLOOKUP($C429,REV!$C:$AA,20,0)-'TRADE IN'!$F429))</f>
        <v>5099</v>
      </c>
      <c r="W429" s="46">
        <f>IF(VLOOKUP($C429,REV!$C:$AA,21,0)-'TRADE IN'!$F429=0,"",(VLOOKUP($C429,REV!$C:$AA,21,0)-'TRADE IN'!$F429))</f>
        <v>5099</v>
      </c>
      <c r="X429" s="46">
        <f>IF(VLOOKUP($C429,REV!$C:$AA,22,0)-'TRADE IN'!$F429=0,"",(VLOOKUP($C429,REV!$C:$AA,22,0)-'TRADE IN'!$F429))</f>
        <v>4999</v>
      </c>
      <c r="Y429" s="46">
        <f>IF(VLOOKUP($C429,REV!$C:$AA,23,0)-'TRADE IN'!$F429=0,"",(VLOOKUP($C429,REV!$C:$AA,23,0)-'TRADE IN'!$F429))</f>
        <v>4299</v>
      </c>
      <c r="Z429" s="46">
        <f>IF(VLOOKUP($C429,REV!$C:$AA,24,0)-'TRADE IN'!$F429=0,"",(VLOOKUP($C429,REV!$C:$AA,24,0)-'TRADE IN'!$F429))</f>
        <v>4299</v>
      </c>
      <c r="AA429" s="46">
        <f>IF(VLOOKUP($C429,REV!$C:$AA,25,0)-'TRADE IN'!$F429=0,"",(VLOOKUP($C429,REV!$C:$AA,25,0)-'TRADE IN'!$F429))</f>
        <v>4099</v>
      </c>
      <c r="AB429" s="45">
        <f>IF(VLOOKUP($C429,REV!$C:$AL,27,0)-'TRADE IN'!$F429=0,"",(VLOOKUP($C429,REV!$C:$AL,27,0)-'TRADE IN'!$F429))</f>
        <v>5699</v>
      </c>
      <c r="AC429" s="45">
        <f>IF(VLOOKUP($C429,REV!$C:$AL,28,0)-'TRADE IN'!$F429=0,"",(VLOOKUP($C429,REV!$C:$AL,28,0)-'TRADE IN'!$F429))</f>
        <v>5699</v>
      </c>
      <c r="AD429" s="45">
        <f>IF(VLOOKUP($C429,REV!$C:$AL,29,0)-'TRADE IN'!$F429=0,"",(VLOOKUP($C429,REV!$C:$AL,29,0)-'TRADE IN'!$F429))</f>
        <v>5599</v>
      </c>
      <c r="AE429" s="45">
        <f>IF(VLOOKUP($C429,REV!$C:$AL,30,0)-'TRADE IN'!$F429=0,"",(VLOOKUP($C429,REV!$C:$AL,30,0)-'TRADE IN'!$F429))</f>
        <v>5499</v>
      </c>
      <c r="AF429" s="45">
        <f>IF(VLOOKUP($C429,REV!$C:$AL,31,0)-'TRADE IN'!$F429=0,"",(VLOOKUP($C429,REV!$C:$AL,31,0)-'TRADE IN'!$F429))</f>
        <v>5499</v>
      </c>
      <c r="AG429" s="45">
        <f>IF(VLOOKUP($C429,REV!$C:$AL,31,0)-'TRADE IN'!$F429=0,"",(VLOOKUP($C429,REV!$C:$AL,31,0)-'TRADE IN'!$F429))</f>
        <v>5499</v>
      </c>
      <c r="AH429" s="45">
        <f>IF(VLOOKUP($C429,REV!$C:$AL,32,0)-'TRADE IN'!$F429=0,"",(VLOOKUP($C429,REV!$C:$AL,32,0)-'TRADE IN'!$F429))</f>
        <v>5099</v>
      </c>
      <c r="AI429" s="45">
        <f>IF(VLOOKUP($C429,REV!$C:$AL,33,0)-'TRADE IN'!$F429=0,"",(VLOOKUP($C429,REV!$C:$AL,33,0)-'TRADE IN'!$F429))</f>
        <v>5099</v>
      </c>
      <c r="AJ429" s="45">
        <f>IF(VLOOKUP($C429,REV!$C:$AL,34,0)-'TRADE IN'!$F429=0,"",(VLOOKUP($C429,REV!$C:$AL,34,0)-'TRADE IN'!$F429))</f>
        <v>5099</v>
      </c>
      <c r="AK429" s="45">
        <f>IF(VLOOKUP($C429,REV!$C:$AL,35,0)-'TRADE IN'!$F429=0,"",(VLOOKUP($C429,REV!$C:$AL,35,0)-'TRADE IN'!$F429))</f>
        <v>5099</v>
      </c>
      <c r="AL429" s="45">
        <f>IF(VLOOKUP($C429,REV!$C:$AL,36,0)-'TRADE IN'!$F429=0,"",(VLOOKUP($C429,REV!$C:$AL,36,0)-'TRADE IN'!$F429))</f>
        <v>4299</v>
      </c>
      <c r="AM429" s="45"/>
      <c r="AN429" s="45"/>
      <c r="AO429" s="45"/>
      <c r="AP429" s="45"/>
      <c r="AQ429" s="45"/>
      <c r="AR429" s="45"/>
      <c r="AS429" s="45"/>
      <c r="AT429" s="45"/>
      <c r="AU429" s="45"/>
      <c r="AV429" s="47"/>
      <c r="AW429" s="48" t="str">
        <f>REV!AW429</f>
        <v>13.08.2026</v>
      </c>
      <c r="AX429" s="149" t="s">
        <v>68</v>
      </c>
    </row>
    <row r="430" spans="1:50" ht="22.5" customHeight="1">
      <c r="A430" s="41" t="s">
        <v>63</v>
      </c>
      <c r="B430" s="42" t="s">
        <v>64</v>
      </c>
      <c r="C430" s="43">
        <v>4017766</v>
      </c>
      <c r="D430" s="56" t="s">
        <v>620</v>
      </c>
      <c r="E430" s="56" t="s">
        <v>623</v>
      </c>
      <c r="F430" s="45">
        <v>500</v>
      </c>
      <c r="G430" s="45"/>
      <c r="H430" s="45"/>
      <c r="I430" s="45"/>
      <c r="J430" s="46">
        <f>IF(VLOOKUP($C430,REV!$C:$AA,8,0)-'TRADE IN'!$F430=0,"",(VLOOKUP($C430,REV!$C:$AA,8,0)-'TRADE IN'!$F430))</f>
        <v>5699</v>
      </c>
      <c r="K430" s="46">
        <f>IF(VLOOKUP($C430,REV!$C:$AA,9,0)-'TRADE IN'!$F430=0,"",(VLOOKUP($C430,REV!$C:$AA,9,0)-'TRADE IN'!$F430))</f>
        <v>5699</v>
      </c>
      <c r="L430" s="46">
        <f>IF(VLOOKUP($C430,REV!$C:$AA,10,0)-'TRADE IN'!$F430=0,"",(VLOOKUP($C430,REV!$C:$AA,10,0)-'TRADE IN'!$F430))</f>
        <v>5699</v>
      </c>
      <c r="M430" s="46">
        <f>IF(VLOOKUP($C430,REV!$C:$AA,11,0)-'TRADE IN'!$F430=0,"",(VLOOKUP($C430,REV!$C:$AA,11,0)-'TRADE IN'!$F430))</f>
        <v>5699</v>
      </c>
      <c r="N430" s="46">
        <f>IF(VLOOKUP($C430,REV!$C:$AA,12,0)-'TRADE IN'!$F430=0,"",(VLOOKUP($C430,REV!$C:$AA,12,0)-'TRADE IN'!$F430))</f>
        <v>5699</v>
      </c>
      <c r="O430" s="46">
        <f>IF(VLOOKUP($C430,REV!$C:$AA,13,0)-'TRADE IN'!$F430=0,"",(VLOOKUP($C430,REV!$C:$AA,13,0)-'TRADE IN'!$F430))</f>
        <v>5599</v>
      </c>
      <c r="P430" s="46">
        <f>IF(VLOOKUP($C430,REV!$C:$AA,14,0)-'TRADE IN'!$F430=0,"",(VLOOKUP($C430,REV!$C:$AA,14,0)-'TRADE IN'!$F430))</f>
        <v>5499</v>
      </c>
      <c r="Q430" s="46">
        <f>IF(VLOOKUP($C430,REV!$C:$AA,15,0)-'TRADE IN'!$F430=0,"",(VLOOKUP($C430,REV!$C:$AA,15,0)-'TRADE IN'!$F430))</f>
        <v>5099</v>
      </c>
      <c r="R430" s="46">
        <f>IF(VLOOKUP($C430,REV!$C:$AA,16,0)-'TRADE IN'!$F430=0,"",(VLOOKUP($C430,REV!$C:$AA,16,0)-'TRADE IN'!$F430))</f>
        <v>5599</v>
      </c>
      <c r="S430" s="46">
        <f>IF(VLOOKUP($C430,REV!$C:$AA,17,0)-'TRADE IN'!$F430=0,"",(VLOOKUP($C430,REV!$C:$AA,17,0)-'TRADE IN'!$F430))</f>
        <v>5499</v>
      </c>
      <c r="T430" s="46">
        <f>IF(VLOOKUP($C430,REV!$C:$AA,18,0)-'TRADE IN'!$F430=0,"",(VLOOKUP($C430,REV!$C:$AA,18,0)-'TRADE IN'!$F430))</f>
        <v>5099</v>
      </c>
      <c r="U430" s="46">
        <f>IF(VLOOKUP($C430,REV!$C:$AA,19,0)-'TRADE IN'!$F430=0,"",(VLOOKUP($C430,REV!$C:$AA,19,0)-'TRADE IN'!$F430))</f>
        <v>5099</v>
      </c>
      <c r="V430" s="46">
        <f>IF(VLOOKUP($C430,REV!$C:$AA,20,0)-'TRADE IN'!$F430=0,"",(VLOOKUP($C430,REV!$C:$AA,20,0)-'TRADE IN'!$F430))</f>
        <v>5099</v>
      </c>
      <c r="W430" s="46">
        <f>IF(VLOOKUP($C430,REV!$C:$AA,21,0)-'TRADE IN'!$F430=0,"",(VLOOKUP($C430,REV!$C:$AA,21,0)-'TRADE IN'!$F430))</f>
        <v>5099</v>
      </c>
      <c r="X430" s="46">
        <f>IF(VLOOKUP($C430,REV!$C:$AA,22,0)-'TRADE IN'!$F430=0,"",(VLOOKUP($C430,REV!$C:$AA,22,0)-'TRADE IN'!$F430))</f>
        <v>4999</v>
      </c>
      <c r="Y430" s="46">
        <f>IF(VLOOKUP($C430,REV!$C:$AA,23,0)-'TRADE IN'!$F430=0,"",(VLOOKUP($C430,REV!$C:$AA,23,0)-'TRADE IN'!$F430))</f>
        <v>4299</v>
      </c>
      <c r="Z430" s="46">
        <f>IF(VLOOKUP($C430,REV!$C:$AA,24,0)-'TRADE IN'!$F430=0,"",(VLOOKUP($C430,REV!$C:$AA,24,0)-'TRADE IN'!$F430))</f>
        <v>4299</v>
      </c>
      <c r="AA430" s="46">
        <f>IF(VLOOKUP($C430,REV!$C:$AA,25,0)-'TRADE IN'!$F430=0,"",(VLOOKUP($C430,REV!$C:$AA,25,0)-'TRADE IN'!$F430))</f>
        <v>4099</v>
      </c>
      <c r="AB430" s="45">
        <f>IF(VLOOKUP($C430,REV!$C:$AL,27,0)-'TRADE IN'!$F430=0,"",(VLOOKUP($C430,REV!$C:$AL,27,0)-'TRADE IN'!$F430))</f>
        <v>5699</v>
      </c>
      <c r="AC430" s="45">
        <f>IF(VLOOKUP($C430,REV!$C:$AL,28,0)-'TRADE IN'!$F430=0,"",(VLOOKUP($C430,REV!$C:$AL,28,0)-'TRADE IN'!$F430))</f>
        <v>5699</v>
      </c>
      <c r="AD430" s="45">
        <f>IF(VLOOKUP($C430,REV!$C:$AL,29,0)-'TRADE IN'!$F430=0,"",(VLOOKUP($C430,REV!$C:$AL,29,0)-'TRADE IN'!$F430))</f>
        <v>5599</v>
      </c>
      <c r="AE430" s="45">
        <f>IF(VLOOKUP($C430,REV!$C:$AL,30,0)-'TRADE IN'!$F430=0,"",(VLOOKUP($C430,REV!$C:$AL,30,0)-'TRADE IN'!$F430))</f>
        <v>5499</v>
      </c>
      <c r="AF430" s="45">
        <f>IF(VLOOKUP($C430,REV!$C:$AL,31,0)-'TRADE IN'!$F430=0,"",(VLOOKUP($C430,REV!$C:$AL,31,0)-'TRADE IN'!$F430))</f>
        <v>5499</v>
      </c>
      <c r="AG430" s="45">
        <f>IF(VLOOKUP($C430,REV!$C:$AL,31,0)-'TRADE IN'!$F430=0,"",(VLOOKUP($C430,REV!$C:$AL,31,0)-'TRADE IN'!$F430))</f>
        <v>5499</v>
      </c>
      <c r="AH430" s="45">
        <f>IF(VLOOKUP($C430,REV!$C:$AL,32,0)-'TRADE IN'!$F430=0,"",(VLOOKUP($C430,REV!$C:$AL,32,0)-'TRADE IN'!$F430))</f>
        <v>5099</v>
      </c>
      <c r="AI430" s="45">
        <f>IF(VLOOKUP($C430,REV!$C:$AL,33,0)-'TRADE IN'!$F430=0,"",(VLOOKUP($C430,REV!$C:$AL,33,0)-'TRADE IN'!$F430))</f>
        <v>5099</v>
      </c>
      <c r="AJ430" s="45">
        <f>IF(VLOOKUP($C430,REV!$C:$AL,34,0)-'TRADE IN'!$F430=0,"",(VLOOKUP($C430,REV!$C:$AL,34,0)-'TRADE IN'!$F430))</f>
        <v>5099</v>
      </c>
      <c r="AK430" s="45">
        <f>IF(VLOOKUP($C430,REV!$C:$AL,35,0)-'TRADE IN'!$F430=0,"",(VLOOKUP($C430,REV!$C:$AL,35,0)-'TRADE IN'!$F430))</f>
        <v>5099</v>
      </c>
      <c r="AL430" s="45">
        <f>IF(VLOOKUP($C430,REV!$C:$AL,36,0)-'TRADE IN'!$F430=0,"",(VLOOKUP($C430,REV!$C:$AL,36,0)-'TRADE IN'!$F430))</f>
        <v>4299</v>
      </c>
      <c r="AM430" s="45"/>
      <c r="AN430" s="45"/>
      <c r="AO430" s="45"/>
      <c r="AP430" s="45"/>
      <c r="AQ430" s="45"/>
      <c r="AR430" s="45"/>
      <c r="AS430" s="45"/>
      <c r="AT430" s="45"/>
      <c r="AU430" s="45"/>
      <c r="AV430" s="47"/>
      <c r="AW430" s="48" t="str">
        <f>REV!AW430</f>
        <v>13.08.2026</v>
      </c>
      <c r="AX430" s="149" t="s">
        <v>68</v>
      </c>
    </row>
    <row r="431" spans="1:50" ht="22.5" customHeight="1">
      <c r="A431" s="41" t="s">
        <v>63</v>
      </c>
      <c r="B431" s="42" t="s">
        <v>64</v>
      </c>
      <c r="C431" s="43">
        <v>4017769</v>
      </c>
      <c r="D431" s="56" t="s">
        <v>620</v>
      </c>
      <c r="E431" s="56" t="s">
        <v>624</v>
      </c>
      <c r="F431" s="45">
        <v>500</v>
      </c>
      <c r="G431" s="45"/>
      <c r="H431" s="45"/>
      <c r="I431" s="45"/>
      <c r="J431" s="46">
        <f>IF(VLOOKUP($C431,REV!$C:$AA,8,0)-'TRADE IN'!$F431=0,"",(VLOOKUP($C431,REV!$C:$AA,8,0)-'TRADE IN'!$F431))</f>
        <v>5699</v>
      </c>
      <c r="K431" s="46">
        <f>IF(VLOOKUP($C431,REV!$C:$AA,9,0)-'TRADE IN'!$F431=0,"",(VLOOKUP($C431,REV!$C:$AA,9,0)-'TRADE IN'!$F431))</f>
        <v>5699</v>
      </c>
      <c r="L431" s="46">
        <f>IF(VLOOKUP($C431,REV!$C:$AA,10,0)-'TRADE IN'!$F431=0,"",(VLOOKUP($C431,REV!$C:$AA,10,0)-'TRADE IN'!$F431))</f>
        <v>5699</v>
      </c>
      <c r="M431" s="46">
        <f>IF(VLOOKUP($C431,REV!$C:$AA,11,0)-'TRADE IN'!$F431=0,"",(VLOOKUP($C431,REV!$C:$AA,11,0)-'TRADE IN'!$F431))</f>
        <v>5699</v>
      </c>
      <c r="N431" s="46">
        <f>IF(VLOOKUP($C431,REV!$C:$AA,12,0)-'TRADE IN'!$F431=0,"",(VLOOKUP($C431,REV!$C:$AA,12,0)-'TRADE IN'!$F431))</f>
        <v>5699</v>
      </c>
      <c r="O431" s="46">
        <f>IF(VLOOKUP($C431,REV!$C:$AA,13,0)-'TRADE IN'!$F431=0,"",(VLOOKUP($C431,REV!$C:$AA,13,0)-'TRADE IN'!$F431))</f>
        <v>5599</v>
      </c>
      <c r="P431" s="46">
        <f>IF(VLOOKUP($C431,REV!$C:$AA,14,0)-'TRADE IN'!$F431=0,"",(VLOOKUP($C431,REV!$C:$AA,14,0)-'TRADE IN'!$F431))</f>
        <v>5499</v>
      </c>
      <c r="Q431" s="46">
        <f>IF(VLOOKUP($C431,REV!$C:$AA,15,0)-'TRADE IN'!$F431=0,"",(VLOOKUP($C431,REV!$C:$AA,15,0)-'TRADE IN'!$F431))</f>
        <v>5099</v>
      </c>
      <c r="R431" s="46">
        <f>IF(VLOOKUP($C431,REV!$C:$AA,16,0)-'TRADE IN'!$F431=0,"",(VLOOKUP($C431,REV!$C:$AA,16,0)-'TRADE IN'!$F431))</f>
        <v>5599</v>
      </c>
      <c r="S431" s="46">
        <f>IF(VLOOKUP($C431,REV!$C:$AA,17,0)-'TRADE IN'!$F431=0,"",(VLOOKUP($C431,REV!$C:$AA,17,0)-'TRADE IN'!$F431))</f>
        <v>5499</v>
      </c>
      <c r="T431" s="46">
        <f>IF(VLOOKUP($C431,REV!$C:$AA,18,0)-'TRADE IN'!$F431=0,"",(VLOOKUP($C431,REV!$C:$AA,18,0)-'TRADE IN'!$F431))</f>
        <v>5099</v>
      </c>
      <c r="U431" s="46">
        <f>IF(VLOOKUP($C431,REV!$C:$AA,19,0)-'TRADE IN'!$F431=0,"",(VLOOKUP($C431,REV!$C:$AA,19,0)-'TRADE IN'!$F431))</f>
        <v>5099</v>
      </c>
      <c r="V431" s="46">
        <f>IF(VLOOKUP($C431,REV!$C:$AA,20,0)-'TRADE IN'!$F431=0,"",(VLOOKUP($C431,REV!$C:$AA,20,0)-'TRADE IN'!$F431))</f>
        <v>5099</v>
      </c>
      <c r="W431" s="46">
        <f>IF(VLOOKUP($C431,REV!$C:$AA,21,0)-'TRADE IN'!$F431=0,"",(VLOOKUP($C431,REV!$C:$AA,21,0)-'TRADE IN'!$F431))</f>
        <v>5099</v>
      </c>
      <c r="X431" s="46">
        <f>IF(VLOOKUP($C431,REV!$C:$AA,22,0)-'TRADE IN'!$F431=0,"",(VLOOKUP($C431,REV!$C:$AA,22,0)-'TRADE IN'!$F431))</f>
        <v>4999</v>
      </c>
      <c r="Y431" s="46">
        <f>IF(VLOOKUP($C431,REV!$C:$AA,23,0)-'TRADE IN'!$F431=0,"",(VLOOKUP($C431,REV!$C:$AA,23,0)-'TRADE IN'!$F431))</f>
        <v>4299</v>
      </c>
      <c r="Z431" s="46">
        <f>IF(VLOOKUP($C431,REV!$C:$AA,24,0)-'TRADE IN'!$F431=0,"",(VLOOKUP($C431,REV!$C:$AA,24,0)-'TRADE IN'!$F431))</f>
        <v>4299</v>
      </c>
      <c r="AA431" s="46">
        <f>IF(VLOOKUP($C431,REV!$C:$AA,25,0)-'TRADE IN'!$F431=0,"",(VLOOKUP($C431,REV!$C:$AA,25,0)-'TRADE IN'!$F431))</f>
        <v>4099</v>
      </c>
      <c r="AB431" s="45">
        <f>IF(VLOOKUP($C431,REV!$C:$AL,27,0)-'TRADE IN'!$F431=0,"",(VLOOKUP($C431,REV!$C:$AL,27,0)-'TRADE IN'!$F431))</f>
        <v>5699</v>
      </c>
      <c r="AC431" s="45">
        <f>IF(VLOOKUP($C431,REV!$C:$AL,28,0)-'TRADE IN'!$F431=0,"",(VLOOKUP($C431,REV!$C:$AL,28,0)-'TRADE IN'!$F431))</f>
        <v>5699</v>
      </c>
      <c r="AD431" s="45">
        <f>IF(VLOOKUP($C431,REV!$C:$AL,29,0)-'TRADE IN'!$F431=0,"",(VLOOKUP($C431,REV!$C:$AL,29,0)-'TRADE IN'!$F431))</f>
        <v>5599</v>
      </c>
      <c r="AE431" s="45">
        <f>IF(VLOOKUP($C431,REV!$C:$AL,30,0)-'TRADE IN'!$F431=0,"",(VLOOKUP($C431,REV!$C:$AL,30,0)-'TRADE IN'!$F431))</f>
        <v>5499</v>
      </c>
      <c r="AF431" s="45">
        <f>IF(VLOOKUP($C431,REV!$C:$AL,31,0)-'TRADE IN'!$F431=0,"",(VLOOKUP($C431,REV!$C:$AL,31,0)-'TRADE IN'!$F431))</f>
        <v>5499</v>
      </c>
      <c r="AG431" s="45">
        <f>IF(VLOOKUP($C431,REV!$C:$AL,31,0)-'TRADE IN'!$F431=0,"",(VLOOKUP($C431,REV!$C:$AL,31,0)-'TRADE IN'!$F431))</f>
        <v>5499</v>
      </c>
      <c r="AH431" s="45">
        <f>IF(VLOOKUP($C431,REV!$C:$AL,32,0)-'TRADE IN'!$F431=0,"",(VLOOKUP($C431,REV!$C:$AL,32,0)-'TRADE IN'!$F431))</f>
        <v>5099</v>
      </c>
      <c r="AI431" s="45">
        <f>IF(VLOOKUP($C431,REV!$C:$AL,33,0)-'TRADE IN'!$F431=0,"",(VLOOKUP($C431,REV!$C:$AL,33,0)-'TRADE IN'!$F431))</f>
        <v>5099</v>
      </c>
      <c r="AJ431" s="45">
        <f>IF(VLOOKUP($C431,REV!$C:$AL,34,0)-'TRADE IN'!$F431=0,"",(VLOOKUP($C431,REV!$C:$AL,34,0)-'TRADE IN'!$F431))</f>
        <v>5099</v>
      </c>
      <c r="AK431" s="45">
        <f>IF(VLOOKUP($C431,REV!$C:$AL,35,0)-'TRADE IN'!$F431=0,"",(VLOOKUP($C431,REV!$C:$AL,35,0)-'TRADE IN'!$F431))</f>
        <v>5099</v>
      </c>
      <c r="AL431" s="45">
        <f>IF(VLOOKUP($C431,REV!$C:$AL,36,0)-'TRADE IN'!$F431=0,"",(VLOOKUP($C431,REV!$C:$AL,36,0)-'TRADE IN'!$F431))</f>
        <v>4299</v>
      </c>
      <c r="AM431" s="45"/>
      <c r="AN431" s="45"/>
      <c r="AO431" s="45"/>
      <c r="AP431" s="45"/>
      <c r="AQ431" s="45"/>
      <c r="AR431" s="45"/>
      <c r="AS431" s="45"/>
      <c r="AT431" s="45"/>
      <c r="AU431" s="45"/>
      <c r="AV431" s="47"/>
      <c r="AW431" s="48" t="str">
        <f>REV!AW431</f>
        <v>13.08.2026</v>
      </c>
      <c r="AX431" s="149" t="s">
        <v>68</v>
      </c>
    </row>
    <row r="432" spans="1:50" ht="22.5" customHeight="1">
      <c r="A432" s="41" t="s">
        <v>63</v>
      </c>
      <c r="B432" s="42" t="s">
        <v>64</v>
      </c>
      <c r="C432" s="43">
        <v>4017764</v>
      </c>
      <c r="D432" s="56" t="s">
        <v>625</v>
      </c>
      <c r="E432" s="56" t="s">
        <v>626</v>
      </c>
      <c r="F432" s="45">
        <v>500</v>
      </c>
      <c r="G432" s="45"/>
      <c r="H432" s="45"/>
      <c r="I432" s="45"/>
      <c r="J432" s="46">
        <f>IF(VLOOKUP($C432,REV!$C:$AA,8,0)-'TRADE IN'!$F432=0,"",(VLOOKUP($C432,REV!$C:$AA,8,0)-'TRADE IN'!$F432))</f>
        <v>6499</v>
      </c>
      <c r="K432" s="46">
        <f>IF(VLOOKUP($C432,REV!$C:$AA,9,0)-'TRADE IN'!$F432=0,"",(VLOOKUP($C432,REV!$C:$AA,9,0)-'TRADE IN'!$F432))</f>
        <v>6499</v>
      </c>
      <c r="L432" s="46">
        <f>IF(VLOOKUP($C432,REV!$C:$AA,10,0)-'TRADE IN'!$F432=0,"",(VLOOKUP($C432,REV!$C:$AA,10,0)-'TRADE IN'!$F432))</f>
        <v>6499</v>
      </c>
      <c r="M432" s="46">
        <f>IF(VLOOKUP($C432,REV!$C:$AA,11,0)-'TRADE IN'!$F432=0,"",(VLOOKUP($C432,REV!$C:$AA,11,0)-'TRADE IN'!$F432))</f>
        <v>6499</v>
      </c>
      <c r="N432" s="46">
        <f>IF(VLOOKUP($C432,REV!$C:$AA,12,0)-'TRADE IN'!$F432=0,"",(VLOOKUP($C432,REV!$C:$AA,12,0)-'TRADE IN'!$F432))</f>
        <v>6499</v>
      </c>
      <c r="O432" s="46">
        <f>IF(VLOOKUP($C432,REV!$C:$AA,13,0)-'TRADE IN'!$F432=0,"",(VLOOKUP($C432,REV!$C:$AA,13,0)-'TRADE IN'!$F432))</f>
        <v>6399</v>
      </c>
      <c r="P432" s="46">
        <f>IF(VLOOKUP($C432,REV!$C:$AA,14,0)-'TRADE IN'!$F432=0,"",(VLOOKUP($C432,REV!$C:$AA,14,0)-'TRADE IN'!$F432))</f>
        <v>6299</v>
      </c>
      <c r="Q432" s="46">
        <f>IF(VLOOKUP($C432,REV!$C:$AA,15,0)-'TRADE IN'!$F432=0,"",(VLOOKUP($C432,REV!$C:$AA,15,0)-'TRADE IN'!$F432))</f>
        <v>5999</v>
      </c>
      <c r="R432" s="46">
        <f>IF(VLOOKUP($C432,REV!$C:$AA,16,0)-'TRADE IN'!$F432=0,"",(VLOOKUP($C432,REV!$C:$AA,16,0)-'TRADE IN'!$F432))</f>
        <v>6399</v>
      </c>
      <c r="S432" s="46">
        <f>IF(VLOOKUP($C432,REV!$C:$AA,17,0)-'TRADE IN'!$F432=0,"",(VLOOKUP($C432,REV!$C:$AA,17,0)-'TRADE IN'!$F432))</f>
        <v>6299</v>
      </c>
      <c r="T432" s="46">
        <f>IF(VLOOKUP($C432,REV!$C:$AA,18,0)-'TRADE IN'!$F432=0,"",(VLOOKUP($C432,REV!$C:$AA,18,0)-'TRADE IN'!$F432))</f>
        <v>5999</v>
      </c>
      <c r="U432" s="46">
        <f>IF(VLOOKUP($C432,REV!$C:$AA,19,0)-'TRADE IN'!$F432=0,"",(VLOOKUP($C432,REV!$C:$AA,19,0)-'TRADE IN'!$F432))</f>
        <v>5999</v>
      </c>
      <c r="V432" s="46">
        <f>IF(VLOOKUP($C432,REV!$C:$AA,20,0)-'TRADE IN'!$F432=0,"",(VLOOKUP($C432,REV!$C:$AA,20,0)-'TRADE IN'!$F432))</f>
        <v>5999</v>
      </c>
      <c r="W432" s="46">
        <f>IF(VLOOKUP($C432,REV!$C:$AA,21,0)-'TRADE IN'!$F432=0,"",(VLOOKUP($C432,REV!$C:$AA,21,0)-'TRADE IN'!$F432))</f>
        <v>5999</v>
      </c>
      <c r="X432" s="46">
        <f>IF(VLOOKUP($C432,REV!$C:$AA,22,0)-'TRADE IN'!$F432=0,"",(VLOOKUP($C432,REV!$C:$AA,22,0)-'TRADE IN'!$F432))</f>
        <v>5899</v>
      </c>
      <c r="Y432" s="46">
        <f>IF(VLOOKUP($C432,REV!$C:$AA,23,0)-'TRADE IN'!$F432=0,"",(VLOOKUP($C432,REV!$C:$AA,23,0)-'TRADE IN'!$F432))</f>
        <v>4999</v>
      </c>
      <c r="Z432" s="46">
        <f>IF(VLOOKUP($C432,REV!$C:$AA,24,0)-'TRADE IN'!$F432=0,"",(VLOOKUP($C432,REV!$C:$AA,24,0)-'TRADE IN'!$F432))</f>
        <v>4999</v>
      </c>
      <c r="AA432" s="46">
        <f>IF(VLOOKUP($C432,REV!$C:$AA,25,0)-'TRADE IN'!$F432=0,"",(VLOOKUP($C432,REV!$C:$AA,25,0)-'TRADE IN'!$F432))</f>
        <v>4799</v>
      </c>
      <c r="AB432" s="45"/>
      <c r="AC432" s="45"/>
      <c r="AD432" s="45"/>
      <c r="AE432" s="45"/>
      <c r="AF432" s="45"/>
      <c r="AG432" s="45"/>
      <c r="AH432" s="45"/>
      <c r="AI432" s="45"/>
      <c r="AJ432" s="45"/>
      <c r="AK432" s="45"/>
      <c r="AL432" s="45"/>
      <c r="AM432" s="45"/>
      <c r="AN432" s="45"/>
      <c r="AO432" s="45"/>
      <c r="AP432" s="45"/>
      <c r="AQ432" s="45"/>
      <c r="AR432" s="45"/>
      <c r="AS432" s="45"/>
      <c r="AT432" s="45"/>
      <c r="AU432" s="45"/>
      <c r="AV432" s="47"/>
      <c r="AW432" s="48" t="str">
        <f>REV!AW432</f>
        <v>13.08.2026</v>
      </c>
      <c r="AX432" s="149" t="s">
        <v>68</v>
      </c>
    </row>
    <row r="433" spans="1:50" ht="22.5" customHeight="1">
      <c r="A433" s="41" t="s">
        <v>63</v>
      </c>
      <c r="B433" s="42" t="s">
        <v>64</v>
      </c>
      <c r="C433" s="43">
        <v>4017765</v>
      </c>
      <c r="D433" s="56" t="s">
        <v>625</v>
      </c>
      <c r="E433" s="56" t="s">
        <v>627</v>
      </c>
      <c r="F433" s="45">
        <v>500</v>
      </c>
      <c r="G433" s="45"/>
      <c r="H433" s="45"/>
      <c r="I433" s="45"/>
      <c r="J433" s="46">
        <f>IF(VLOOKUP($C433,REV!$C:$AA,8,0)-'TRADE IN'!$F433=0,"",(VLOOKUP($C433,REV!$C:$AA,8,0)-'TRADE IN'!$F433))</f>
        <v>6499</v>
      </c>
      <c r="K433" s="46">
        <f>IF(VLOOKUP($C433,REV!$C:$AA,9,0)-'TRADE IN'!$F433=0,"",(VLOOKUP($C433,REV!$C:$AA,9,0)-'TRADE IN'!$F433))</f>
        <v>6499</v>
      </c>
      <c r="L433" s="46">
        <f>IF(VLOOKUP($C433,REV!$C:$AA,10,0)-'TRADE IN'!$F433=0,"",(VLOOKUP($C433,REV!$C:$AA,10,0)-'TRADE IN'!$F433))</f>
        <v>6499</v>
      </c>
      <c r="M433" s="46">
        <f>IF(VLOOKUP($C433,REV!$C:$AA,11,0)-'TRADE IN'!$F433=0,"",(VLOOKUP($C433,REV!$C:$AA,11,0)-'TRADE IN'!$F433))</f>
        <v>6499</v>
      </c>
      <c r="N433" s="46">
        <f>IF(VLOOKUP($C433,REV!$C:$AA,12,0)-'TRADE IN'!$F433=0,"",(VLOOKUP($C433,REV!$C:$AA,12,0)-'TRADE IN'!$F433))</f>
        <v>6499</v>
      </c>
      <c r="O433" s="46">
        <f>IF(VLOOKUP($C433,REV!$C:$AA,13,0)-'TRADE IN'!$F433=0,"",(VLOOKUP($C433,REV!$C:$AA,13,0)-'TRADE IN'!$F433))</f>
        <v>6399</v>
      </c>
      <c r="P433" s="46">
        <f>IF(VLOOKUP($C433,REV!$C:$AA,14,0)-'TRADE IN'!$F433=0,"",(VLOOKUP($C433,REV!$C:$AA,14,0)-'TRADE IN'!$F433))</f>
        <v>6299</v>
      </c>
      <c r="Q433" s="46">
        <f>IF(VLOOKUP($C433,REV!$C:$AA,15,0)-'TRADE IN'!$F433=0,"",(VLOOKUP($C433,REV!$C:$AA,15,0)-'TRADE IN'!$F433))</f>
        <v>5999</v>
      </c>
      <c r="R433" s="46">
        <f>IF(VLOOKUP($C433,REV!$C:$AA,16,0)-'TRADE IN'!$F433=0,"",(VLOOKUP($C433,REV!$C:$AA,16,0)-'TRADE IN'!$F433))</f>
        <v>6399</v>
      </c>
      <c r="S433" s="46">
        <f>IF(VLOOKUP($C433,REV!$C:$AA,17,0)-'TRADE IN'!$F433=0,"",(VLOOKUP($C433,REV!$C:$AA,17,0)-'TRADE IN'!$F433))</f>
        <v>6299</v>
      </c>
      <c r="T433" s="46">
        <f>IF(VLOOKUP($C433,REV!$C:$AA,18,0)-'TRADE IN'!$F433=0,"",(VLOOKUP($C433,REV!$C:$AA,18,0)-'TRADE IN'!$F433))</f>
        <v>5999</v>
      </c>
      <c r="U433" s="46">
        <f>IF(VLOOKUP($C433,REV!$C:$AA,19,0)-'TRADE IN'!$F433=0,"",(VLOOKUP($C433,REV!$C:$AA,19,0)-'TRADE IN'!$F433))</f>
        <v>5999</v>
      </c>
      <c r="V433" s="46">
        <f>IF(VLOOKUP($C433,REV!$C:$AA,20,0)-'TRADE IN'!$F433=0,"",(VLOOKUP($C433,REV!$C:$AA,20,0)-'TRADE IN'!$F433))</f>
        <v>5999</v>
      </c>
      <c r="W433" s="46">
        <f>IF(VLOOKUP($C433,REV!$C:$AA,21,0)-'TRADE IN'!$F433=0,"",(VLOOKUP($C433,REV!$C:$AA,21,0)-'TRADE IN'!$F433))</f>
        <v>5999</v>
      </c>
      <c r="X433" s="46">
        <f>IF(VLOOKUP($C433,REV!$C:$AA,22,0)-'TRADE IN'!$F433=0,"",(VLOOKUP($C433,REV!$C:$AA,22,0)-'TRADE IN'!$F433))</f>
        <v>5899</v>
      </c>
      <c r="Y433" s="46">
        <f>IF(VLOOKUP($C433,REV!$C:$AA,23,0)-'TRADE IN'!$F433=0,"",(VLOOKUP($C433,REV!$C:$AA,23,0)-'TRADE IN'!$F433))</f>
        <v>4999</v>
      </c>
      <c r="Z433" s="46">
        <f>IF(VLOOKUP($C433,REV!$C:$AA,24,0)-'TRADE IN'!$F433=0,"",(VLOOKUP($C433,REV!$C:$AA,24,0)-'TRADE IN'!$F433))</f>
        <v>4999</v>
      </c>
      <c r="AA433" s="46">
        <f>IF(VLOOKUP($C433,REV!$C:$AA,25,0)-'TRADE IN'!$F433=0,"",(VLOOKUP($C433,REV!$C:$AA,25,0)-'TRADE IN'!$F433))</f>
        <v>4799</v>
      </c>
      <c r="AB433" s="45"/>
      <c r="AC433" s="45"/>
      <c r="AD433" s="45"/>
      <c r="AE433" s="45"/>
      <c r="AF433" s="45"/>
      <c r="AG433" s="45"/>
      <c r="AH433" s="45"/>
      <c r="AI433" s="45"/>
      <c r="AJ433" s="45"/>
      <c r="AK433" s="45"/>
      <c r="AL433" s="45"/>
      <c r="AM433" s="45"/>
      <c r="AN433" s="45"/>
      <c r="AO433" s="45"/>
      <c r="AP433" s="45"/>
      <c r="AQ433" s="45"/>
      <c r="AR433" s="45"/>
      <c r="AS433" s="45"/>
      <c r="AT433" s="45"/>
      <c r="AU433" s="45"/>
      <c r="AV433" s="47"/>
      <c r="AW433" s="48" t="str">
        <f>REV!AW433</f>
        <v>13.08.2026</v>
      </c>
      <c r="AX433" s="149" t="s">
        <v>68</v>
      </c>
    </row>
    <row r="434" spans="1:50" ht="22.5" customHeight="1">
      <c r="A434" s="41" t="s">
        <v>63</v>
      </c>
      <c r="B434" s="42" t="s">
        <v>64</v>
      </c>
      <c r="C434" s="43">
        <v>4017767</v>
      </c>
      <c r="D434" s="56" t="s">
        <v>625</v>
      </c>
      <c r="E434" s="56" t="s">
        <v>628</v>
      </c>
      <c r="F434" s="45">
        <v>500</v>
      </c>
      <c r="G434" s="45"/>
      <c r="H434" s="45"/>
      <c r="I434" s="45"/>
      <c r="J434" s="46">
        <f>IF(VLOOKUP($C434,REV!$C:$AA,8,0)-'TRADE IN'!$F434=0,"",(VLOOKUP($C434,REV!$C:$AA,8,0)-'TRADE IN'!$F434))</f>
        <v>6499</v>
      </c>
      <c r="K434" s="46">
        <f>IF(VLOOKUP($C434,REV!$C:$AA,9,0)-'TRADE IN'!$F434=0,"",(VLOOKUP($C434,REV!$C:$AA,9,0)-'TRADE IN'!$F434))</f>
        <v>6499</v>
      </c>
      <c r="L434" s="46">
        <f>IF(VLOOKUP($C434,REV!$C:$AA,10,0)-'TRADE IN'!$F434=0,"",(VLOOKUP($C434,REV!$C:$AA,10,0)-'TRADE IN'!$F434))</f>
        <v>6499</v>
      </c>
      <c r="M434" s="46">
        <f>IF(VLOOKUP($C434,REV!$C:$AA,11,0)-'TRADE IN'!$F434=0,"",(VLOOKUP($C434,REV!$C:$AA,11,0)-'TRADE IN'!$F434))</f>
        <v>6499</v>
      </c>
      <c r="N434" s="46">
        <f>IF(VLOOKUP($C434,REV!$C:$AA,12,0)-'TRADE IN'!$F434=0,"",(VLOOKUP($C434,REV!$C:$AA,12,0)-'TRADE IN'!$F434))</f>
        <v>6499</v>
      </c>
      <c r="O434" s="46">
        <f>IF(VLOOKUP($C434,REV!$C:$AA,13,0)-'TRADE IN'!$F434=0,"",(VLOOKUP($C434,REV!$C:$AA,13,0)-'TRADE IN'!$F434))</f>
        <v>6399</v>
      </c>
      <c r="P434" s="46">
        <f>IF(VLOOKUP($C434,REV!$C:$AA,14,0)-'TRADE IN'!$F434=0,"",(VLOOKUP($C434,REV!$C:$AA,14,0)-'TRADE IN'!$F434))</f>
        <v>6299</v>
      </c>
      <c r="Q434" s="46">
        <f>IF(VLOOKUP($C434,REV!$C:$AA,15,0)-'TRADE IN'!$F434=0,"",(VLOOKUP($C434,REV!$C:$AA,15,0)-'TRADE IN'!$F434))</f>
        <v>5999</v>
      </c>
      <c r="R434" s="46">
        <f>IF(VLOOKUP($C434,REV!$C:$AA,16,0)-'TRADE IN'!$F434=0,"",(VLOOKUP($C434,REV!$C:$AA,16,0)-'TRADE IN'!$F434))</f>
        <v>6399</v>
      </c>
      <c r="S434" s="46">
        <f>IF(VLOOKUP($C434,REV!$C:$AA,17,0)-'TRADE IN'!$F434=0,"",(VLOOKUP($C434,REV!$C:$AA,17,0)-'TRADE IN'!$F434))</f>
        <v>6299</v>
      </c>
      <c r="T434" s="46">
        <f>IF(VLOOKUP($C434,REV!$C:$AA,18,0)-'TRADE IN'!$F434=0,"",(VLOOKUP($C434,REV!$C:$AA,18,0)-'TRADE IN'!$F434))</f>
        <v>5999</v>
      </c>
      <c r="U434" s="46">
        <f>IF(VLOOKUP($C434,REV!$C:$AA,19,0)-'TRADE IN'!$F434=0,"",(VLOOKUP($C434,REV!$C:$AA,19,0)-'TRADE IN'!$F434))</f>
        <v>5999</v>
      </c>
      <c r="V434" s="46">
        <f>IF(VLOOKUP($C434,REV!$C:$AA,20,0)-'TRADE IN'!$F434=0,"",(VLOOKUP($C434,REV!$C:$AA,20,0)-'TRADE IN'!$F434))</f>
        <v>5999</v>
      </c>
      <c r="W434" s="46">
        <f>IF(VLOOKUP($C434,REV!$C:$AA,21,0)-'TRADE IN'!$F434=0,"",(VLOOKUP($C434,REV!$C:$AA,21,0)-'TRADE IN'!$F434))</f>
        <v>5999</v>
      </c>
      <c r="X434" s="46">
        <f>IF(VLOOKUP($C434,REV!$C:$AA,22,0)-'TRADE IN'!$F434=0,"",(VLOOKUP($C434,REV!$C:$AA,22,0)-'TRADE IN'!$F434))</f>
        <v>5899</v>
      </c>
      <c r="Y434" s="46">
        <f>IF(VLOOKUP($C434,REV!$C:$AA,23,0)-'TRADE IN'!$F434=0,"",(VLOOKUP($C434,REV!$C:$AA,23,0)-'TRADE IN'!$F434))</f>
        <v>4999</v>
      </c>
      <c r="Z434" s="46">
        <f>IF(VLOOKUP($C434,REV!$C:$AA,24,0)-'TRADE IN'!$F434=0,"",(VLOOKUP($C434,REV!$C:$AA,24,0)-'TRADE IN'!$F434))</f>
        <v>4999</v>
      </c>
      <c r="AA434" s="46">
        <f>IF(VLOOKUP($C434,REV!$C:$AA,25,0)-'TRADE IN'!$F434=0,"",(VLOOKUP($C434,REV!$C:$AA,25,0)-'TRADE IN'!$F434))</f>
        <v>4799</v>
      </c>
      <c r="AB434" s="45"/>
      <c r="AC434" s="45"/>
      <c r="AD434" s="45"/>
      <c r="AE434" s="45"/>
      <c r="AF434" s="45"/>
      <c r="AG434" s="45"/>
      <c r="AH434" s="45"/>
      <c r="AI434" s="45"/>
      <c r="AJ434" s="45"/>
      <c r="AK434" s="45"/>
      <c r="AL434" s="45"/>
      <c r="AM434" s="45"/>
      <c r="AN434" s="45"/>
      <c r="AO434" s="45"/>
      <c r="AP434" s="45"/>
      <c r="AQ434" s="45"/>
      <c r="AR434" s="45"/>
      <c r="AS434" s="45"/>
      <c r="AT434" s="45"/>
      <c r="AU434" s="45"/>
      <c r="AV434" s="47"/>
      <c r="AW434" s="48" t="str">
        <f>REV!AW434</f>
        <v>13.08.2026</v>
      </c>
      <c r="AX434" s="149" t="s">
        <v>68</v>
      </c>
    </row>
    <row r="435" spans="1:50" ht="22.5" customHeight="1">
      <c r="A435" s="41" t="s">
        <v>63</v>
      </c>
      <c r="B435" s="42" t="s">
        <v>64</v>
      </c>
      <c r="C435" s="43">
        <v>4017768</v>
      </c>
      <c r="D435" s="56" t="s">
        <v>625</v>
      </c>
      <c r="E435" s="56" t="s">
        <v>629</v>
      </c>
      <c r="F435" s="45">
        <v>500</v>
      </c>
      <c r="G435" s="45"/>
      <c r="H435" s="45"/>
      <c r="I435" s="45"/>
      <c r="J435" s="46">
        <f>IF(VLOOKUP($C435,REV!$C:$AA,8,0)-'TRADE IN'!$F435=0,"",(VLOOKUP($C435,REV!$C:$AA,8,0)-'TRADE IN'!$F435))</f>
        <v>6499</v>
      </c>
      <c r="K435" s="46">
        <f>IF(VLOOKUP($C435,REV!$C:$AA,9,0)-'TRADE IN'!$F435=0,"",(VLOOKUP($C435,REV!$C:$AA,9,0)-'TRADE IN'!$F435))</f>
        <v>6499</v>
      </c>
      <c r="L435" s="46">
        <f>IF(VLOOKUP($C435,REV!$C:$AA,10,0)-'TRADE IN'!$F435=0,"",(VLOOKUP($C435,REV!$C:$AA,10,0)-'TRADE IN'!$F435))</f>
        <v>6499</v>
      </c>
      <c r="M435" s="46">
        <f>IF(VLOOKUP($C435,REV!$C:$AA,11,0)-'TRADE IN'!$F435=0,"",(VLOOKUP($C435,REV!$C:$AA,11,0)-'TRADE IN'!$F435))</f>
        <v>6499</v>
      </c>
      <c r="N435" s="46">
        <f>IF(VLOOKUP($C435,REV!$C:$AA,12,0)-'TRADE IN'!$F435=0,"",(VLOOKUP($C435,REV!$C:$AA,12,0)-'TRADE IN'!$F435))</f>
        <v>6499</v>
      </c>
      <c r="O435" s="46">
        <f>IF(VLOOKUP($C435,REV!$C:$AA,13,0)-'TRADE IN'!$F435=0,"",(VLOOKUP($C435,REV!$C:$AA,13,0)-'TRADE IN'!$F435))</f>
        <v>6399</v>
      </c>
      <c r="P435" s="46">
        <f>IF(VLOOKUP($C435,REV!$C:$AA,14,0)-'TRADE IN'!$F435=0,"",(VLOOKUP($C435,REV!$C:$AA,14,0)-'TRADE IN'!$F435))</f>
        <v>6299</v>
      </c>
      <c r="Q435" s="46">
        <f>IF(VLOOKUP($C435,REV!$C:$AA,15,0)-'TRADE IN'!$F435=0,"",(VLOOKUP($C435,REV!$C:$AA,15,0)-'TRADE IN'!$F435))</f>
        <v>5999</v>
      </c>
      <c r="R435" s="46">
        <f>IF(VLOOKUP($C435,REV!$C:$AA,16,0)-'TRADE IN'!$F435=0,"",(VLOOKUP($C435,REV!$C:$AA,16,0)-'TRADE IN'!$F435))</f>
        <v>6399</v>
      </c>
      <c r="S435" s="46">
        <f>IF(VLOOKUP($C435,REV!$C:$AA,17,0)-'TRADE IN'!$F435=0,"",(VLOOKUP($C435,REV!$C:$AA,17,0)-'TRADE IN'!$F435))</f>
        <v>6299</v>
      </c>
      <c r="T435" s="46">
        <f>IF(VLOOKUP($C435,REV!$C:$AA,18,0)-'TRADE IN'!$F435=0,"",(VLOOKUP($C435,REV!$C:$AA,18,0)-'TRADE IN'!$F435))</f>
        <v>5999</v>
      </c>
      <c r="U435" s="46">
        <f>IF(VLOOKUP($C435,REV!$C:$AA,19,0)-'TRADE IN'!$F435=0,"",(VLOOKUP($C435,REV!$C:$AA,19,0)-'TRADE IN'!$F435))</f>
        <v>5999</v>
      </c>
      <c r="V435" s="46">
        <f>IF(VLOOKUP($C435,REV!$C:$AA,20,0)-'TRADE IN'!$F435=0,"",(VLOOKUP($C435,REV!$C:$AA,20,0)-'TRADE IN'!$F435))</f>
        <v>5999</v>
      </c>
      <c r="W435" s="46">
        <f>IF(VLOOKUP($C435,REV!$C:$AA,21,0)-'TRADE IN'!$F435=0,"",(VLOOKUP($C435,REV!$C:$AA,21,0)-'TRADE IN'!$F435))</f>
        <v>5999</v>
      </c>
      <c r="X435" s="46">
        <f>IF(VLOOKUP($C435,REV!$C:$AA,22,0)-'TRADE IN'!$F435=0,"",(VLOOKUP($C435,REV!$C:$AA,22,0)-'TRADE IN'!$F435))</f>
        <v>5899</v>
      </c>
      <c r="Y435" s="46">
        <f>IF(VLOOKUP($C435,REV!$C:$AA,23,0)-'TRADE IN'!$F435=0,"",(VLOOKUP($C435,REV!$C:$AA,23,0)-'TRADE IN'!$F435))</f>
        <v>4999</v>
      </c>
      <c r="Z435" s="46">
        <f>IF(VLOOKUP($C435,REV!$C:$AA,24,0)-'TRADE IN'!$F435=0,"",(VLOOKUP($C435,REV!$C:$AA,24,0)-'TRADE IN'!$F435))</f>
        <v>4999</v>
      </c>
      <c r="AA435" s="46">
        <f>IF(VLOOKUP($C435,REV!$C:$AA,25,0)-'TRADE IN'!$F435=0,"",(VLOOKUP($C435,REV!$C:$AA,25,0)-'TRADE IN'!$F435))</f>
        <v>4799</v>
      </c>
      <c r="AB435" s="45"/>
      <c r="AC435" s="45"/>
      <c r="AD435" s="45"/>
      <c r="AE435" s="45"/>
      <c r="AF435" s="45"/>
      <c r="AG435" s="45"/>
      <c r="AH435" s="45"/>
      <c r="AI435" s="45"/>
      <c r="AJ435" s="45"/>
      <c r="AK435" s="45"/>
      <c r="AL435" s="45"/>
      <c r="AM435" s="45"/>
      <c r="AN435" s="45"/>
      <c r="AO435" s="45"/>
      <c r="AP435" s="45"/>
      <c r="AQ435" s="45"/>
      <c r="AR435" s="45"/>
      <c r="AS435" s="45"/>
      <c r="AT435" s="45"/>
      <c r="AU435" s="45"/>
      <c r="AV435" s="47"/>
      <c r="AW435" s="48" t="str">
        <f>REV!AW435</f>
        <v>13.08.2026</v>
      </c>
      <c r="AX435" s="149" t="s">
        <v>68</v>
      </c>
    </row>
    <row r="436" spans="1:50" ht="22.5" customHeight="1">
      <c r="A436" s="41" t="s">
        <v>63</v>
      </c>
      <c r="B436" s="42" t="s">
        <v>64</v>
      </c>
      <c r="C436" s="43">
        <v>4017614</v>
      </c>
      <c r="D436" s="56" t="s">
        <v>630</v>
      </c>
      <c r="E436" s="56" t="s">
        <v>631</v>
      </c>
      <c r="F436" s="45">
        <v>1000</v>
      </c>
      <c r="G436" s="45"/>
      <c r="H436" s="45"/>
      <c r="I436" s="45"/>
      <c r="J436" s="46">
        <f>IF(VLOOKUP($C436,REV!$C:$AA,8,0)-'TRADE IN'!$F436=0,"",(VLOOKUP($C436,REV!$C:$AA,8,0)-'TRADE IN'!$F436))</f>
        <v>7199</v>
      </c>
      <c r="K436" s="46">
        <f>IF(VLOOKUP($C436,REV!$C:$AA,9,0)-'TRADE IN'!$F436=0,"",(VLOOKUP($C436,REV!$C:$AA,9,0)-'TRADE IN'!$F436))</f>
        <v>7199</v>
      </c>
      <c r="L436" s="46">
        <f>IF(VLOOKUP($C436,REV!$C:$AA,10,0)-'TRADE IN'!$F436=0,"",(VLOOKUP($C436,REV!$C:$AA,10,0)-'TRADE IN'!$F436))</f>
        <v>7199</v>
      </c>
      <c r="M436" s="46">
        <f>IF(VLOOKUP($C436,REV!$C:$AA,11,0)-'TRADE IN'!$F436=0,"",(VLOOKUP($C436,REV!$C:$AA,11,0)-'TRADE IN'!$F436))</f>
        <v>7199</v>
      </c>
      <c r="N436" s="46">
        <f>IF(VLOOKUP($C436,REV!$C:$AA,12,0)-'TRADE IN'!$F436=0,"",(VLOOKUP($C436,REV!$C:$AA,12,0)-'TRADE IN'!$F436))</f>
        <v>7199</v>
      </c>
      <c r="O436" s="46">
        <f>IF(VLOOKUP($C436,REV!$C:$AA,13,0)-'TRADE IN'!$F436=0,"",(VLOOKUP($C436,REV!$C:$AA,13,0)-'TRADE IN'!$F436))</f>
        <v>6799</v>
      </c>
      <c r="P436" s="46">
        <f>IF(VLOOKUP($C436,REV!$C:$AA,14,0)-'TRADE IN'!$F436=0,"",(VLOOKUP($C436,REV!$C:$AA,14,0)-'TRADE IN'!$F436))</f>
        <v>6699</v>
      </c>
      <c r="Q436" s="46">
        <f>IF(VLOOKUP($C436,REV!$C:$AA,15,0)-'TRADE IN'!$F436=0,"",(VLOOKUP($C436,REV!$C:$AA,15,0)-'TRADE IN'!$F436))</f>
        <v>5999</v>
      </c>
      <c r="R436" s="46">
        <f>IF(VLOOKUP($C436,REV!$C:$AA,16,0)-'TRADE IN'!$F436=0,"",(VLOOKUP($C436,REV!$C:$AA,16,0)-'TRADE IN'!$F436))</f>
        <v>6799</v>
      </c>
      <c r="S436" s="46">
        <f>IF(VLOOKUP($C436,REV!$C:$AA,17,0)-'TRADE IN'!$F436=0,"",(VLOOKUP($C436,REV!$C:$AA,17,0)-'TRADE IN'!$F436))</f>
        <v>6699</v>
      </c>
      <c r="T436" s="46">
        <f>IF(VLOOKUP($C436,REV!$C:$AA,18,0)-'TRADE IN'!$F436=0,"",(VLOOKUP($C436,REV!$C:$AA,18,0)-'TRADE IN'!$F436))</f>
        <v>5999</v>
      </c>
      <c r="U436" s="46">
        <f>IF(VLOOKUP($C436,REV!$C:$AA,19,0)-'TRADE IN'!$F436=0,"",(VLOOKUP($C436,REV!$C:$AA,19,0)-'TRADE IN'!$F436))</f>
        <v>5999</v>
      </c>
      <c r="V436" s="46">
        <f>IF(VLOOKUP($C436,REV!$C:$AA,20,0)-'TRADE IN'!$F436=0,"",(VLOOKUP($C436,REV!$C:$AA,20,0)-'TRADE IN'!$F436))</f>
        <v>5999</v>
      </c>
      <c r="W436" s="46">
        <f>IF(VLOOKUP($C436,REV!$C:$AA,21,0)-'TRADE IN'!$F436=0,"",(VLOOKUP($C436,REV!$C:$AA,21,0)-'TRADE IN'!$F436))</f>
        <v>5999</v>
      </c>
      <c r="X436" s="46">
        <f>IF(VLOOKUP($C436,REV!$C:$AA,22,0)-'TRADE IN'!$F436=0,"",(VLOOKUP($C436,REV!$C:$AA,22,0)-'TRADE IN'!$F436))</f>
        <v>5899</v>
      </c>
      <c r="Y436" s="46">
        <f>IF(VLOOKUP($C436,REV!$C:$AA,23,0)-'TRADE IN'!$F436=0,"",(VLOOKUP($C436,REV!$C:$AA,23,0)-'TRADE IN'!$F436))</f>
        <v>4999</v>
      </c>
      <c r="Z436" s="46">
        <f>IF(VLOOKUP($C436,REV!$C:$AA,24,0)-'TRADE IN'!$F436=0,"",(VLOOKUP($C436,REV!$C:$AA,24,0)-'TRADE IN'!$F436))</f>
        <v>4999</v>
      </c>
      <c r="AA436" s="46">
        <f>IF(VLOOKUP($C436,REV!$C:$AA,25,0)-'TRADE IN'!$F436=0,"",(VLOOKUP($C436,REV!$C:$AA,25,0)-'TRADE IN'!$F436))</f>
        <v>4799</v>
      </c>
      <c r="AB436" s="45">
        <f>IF(VLOOKUP($C436,REV!$C:$AL,27,0)-'TRADE IN'!$F436=0,"",(VLOOKUP($C436,REV!$C:$AL,27,0)-'TRADE IN'!$F436))</f>
        <v>7199</v>
      </c>
      <c r="AC436" s="45">
        <f>IF(VLOOKUP($C436,REV!$C:$AL,28,0)-'TRADE IN'!$F436=0,"",(VLOOKUP($C436,REV!$C:$AL,28,0)-'TRADE IN'!$F436))</f>
        <v>7199</v>
      </c>
      <c r="AD436" s="45">
        <f>IF(VLOOKUP($C436,REV!$C:$AL,29,0)-'TRADE IN'!$F436=0,"",(VLOOKUP($C436,REV!$C:$AL,29,0)-'TRADE IN'!$F436))</f>
        <v>6799</v>
      </c>
      <c r="AE436" s="45">
        <f>IF(VLOOKUP($C436,REV!$C:$AL,30,0)-'TRADE IN'!$F436=0,"",(VLOOKUP($C436,REV!$C:$AL,30,0)-'TRADE IN'!$F436))</f>
        <v>6699</v>
      </c>
      <c r="AF436" s="45">
        <f>IF(VLOOKUP($C436,REV!$C:$AL,31,0)-'TRADE IN'!$F436=0,"",(VLOOKUP($C436,REV!$C:$AL,31,0)-'TRADE IN'!$F436))</f>
        <v>6699</v>
      </c>
      <c r="AG436" s="45">
        <f>IF(VLOOKUP($C436,REV!$C:$AL,31,0)-'TRADE IN'!$F436=0,"",(VLOOKUP($C436,REV!$C:$AL,31,0)-'TRADE IN'!$F436))</f>
        <v>6699</v>
      </c>
      <c r="AH436" s="45">
        <f>IF(VLOOKUP($C436,REV!$C:$AL,32,0)-'TRADE IN'!$F436=0,"",(VLOOKUP($C436,REV!$C:$AL,32,0)-'TRADE IN'!$F436))</f>
        <v>5999</v>
      </c>
      <c r="AI436" s="45">
        <f>IF(VLOOKUP($C436,REV!$C:$AL,33,0)-'TRADE IN'!$F436=0,"",(VLOOKUP($C436,REV!$C:$AL,33,0)-'TRADE IN'!$F436))</f>
        <v>5999</v>
      </c>
      <c r="AJ436" s="45">
        <f>IF(VLOOKUP($C436,REV!$C:$AL,34,0)-'TRADE IN'!$F436=0,"",(VLOOKUP($C436,REV!$C:$AL,34,0)-'TRADE IN'!$F436))</f>
        <v>5999</v>
      </c>
      <c r="AK436" s="45">
        <f>IF(VLOOKUP($C436,REV!$C:$AL,35,0)-'TRADE IN'!$F436=0,"",(VLOOKUP($C436,REV!$C:$AL,35,0)-'TRADE IN'!$F436))</f>
        <v>5999</v>
      </c>
      <c r="AL436" s="45">
        <f>IF(VLOOKUP($C436,REV!$C:$AL,36,0)-'TRADE IN'!$F436=0,"",(VLOOKUP($C436,REV!$C:$AL,36,0)-'TRADE IN'!$F436))</f>
        <v>4999</v>
      </c>
      <c r="AM436" s="45"/>
      <c r="AN436" s="45"/>
      <c r="AO436" s="45"/>
      <c r="AP436" s="45"/>
      <c r="AQ436" s="45"/>
      <c r="AR436" s="45"/>
      <c r="AS436" s="45"/>
      <c r="AT436" s="45"/>
      <c r="AU436" s="45"/>
      <c r="AV436" s="47"/>
      <c r="AW436" s="48" t="str">
        <f>REV!AW436</f>
        <v>13.08.2026</v>
      </c>
      <c r="AX436" s="149" t="s">
        <v>68</v>
      </c>
    </row>
    <row r="437" spans="1:50" ht="22.5" customHeight="1">
      <c r="A437" s="41" t="s">
        <v>63</v>
      </c>
      <c r="B437" s="42" t="s">
        <v>64</v>
      </c>
      <c r="C437" s="43">
        <v>4017616</v>
      </c>
      <c r="D437" s="56" t="s">
        <v>630</v>
      </c>
      <c r="E437" s="56" t="s">
        <v>632</v>
      </c>
      <c r="F437" s="45">
        <v>1000</v>
      </c>
      <c r="G437" s="45"/>
      <c r="H437" s="45"/>
      <c r="I437" s="45"/>
      <c r="J437" s="46">
        <f>IF(VLOOKUP($C437,REV!$C:$AA,8,0)-'TRADE IN'!$F437=0,"",(VLOOKUP($C437,REV!$C:$AA,8,0)-'TRADE IN'!$F437))</f>
        <v>7199</v>
      </c>
      <c r="K437" s="46">
        <f>IF(VLOOKUP($C437,REV!$C:$AA,9,0)-'TRADE IN'!$F437=0,"",(VLOOKUP($C437,REV!$C:$AA,9,0)-'TRADE IN'!$F437))</f>
        <v>7199</v>
      </c>
      <c r="L437" s="46">
        <f>IF(VLOOKUP($C437,REV!$C:$AA,10,0)-'TRADE IN'!$F437=0,"",(VLOOKUP($C437,REV!$C:$AA,10,0)-'TRADE IN'!$F437))</f>
        <v>7199</v>
      </c>
      <c r="M437" s="46">
        <f>IF(VLOOKUP($C437,REV!$C:$AA,11,0)-'TRADE IN'!$F437=0,"",(VLOOKUP($C437,REV!$C:$AA,11,0)-'TRADE IN'!$F437))</f>
        <v>7199</v>
      </c>
      <c r="N437" s="46">
        <f>IF(VLOOKUP($C437,REV!$C:$AA,12,0)-'TRADE IN'!$F437=0,"",(VLOOKUP($C437,REV!$C:$AA,12,0)-'TRADE IN'!$F437))</f>
        <v>7199</v>
      </c>
      <c r="O437" s="46">
        <f>IF(VLOOKUP($C437,REV!$C:$AA,13,0)-'TRADE IN'!$F437=0,"",(VLOOKUP($C437,REV!$C:$AA,13,0)-'TRADE IN'!$F437))</f>
        <v>6799</v>
      </c>
      <c r="P437" s="46">
        <f>IF(VLOOKUP($C437,REV!$C:$AA,14,0)-'TRADE IN'!$F437=0,"",(VLOOKUP($C437,REV!$C:$AA,14,0)-'TRADE IN'!$F437))</f>
        <v>6699</v>
      </c>
      <c r="Q437" s="46">
        <f>IF(VLOOKUP($C437,REV!$C:$AA,15,0)-'TRADE IN'!$F437=0,"",(VLOOKUP($C437,REV!$C:$AA,15,0)-'TRADE IN'!$F437))</f>
        <v>5999</v>
      </c>
      <c r="R437" s="46">
        <f>IF(VLOOKUP($C437,REV!$C:$AA,16,0)-'TRADE IN'!$F437=0,"",(VLOOKUP($C437,REV!$C:$AA,16,0)-'TRADE IN'!$F437))</f>
        <v>6799</v>
      </c>
      <c r="S437" s="46">
        <f>IF(VLOOKUP($C437,REV!$C:$AA,17,0)-'TRADE IN'!$F437=0,"",(VLOOKUP($C437,REV!$C:$AA,17,0)-'TRADE IN'!$F437))</f>
        <v>6699</v>
      </c>
      <c r="T437" s="46">
        <f>IF(VLOOKUP($C437,REV!$C:$AA,18,0)-'TRADE IN'!$F437=0,"",(VLOOKUP($C437,REV!$C:$AA,18,0)-'TRADE IN'!$F437))</f>
        <v>5999</v>
      </c>
      <c r="U437" s="46">
        <f>IF(VLOOKUP($C437,REV!$C:$AA,19,0)-'TRADE IN'!$F437=0,"",(VLOOKUP($C437,REV!$C:$AA,19,0)-'TRADE IN'!$F437))</f>
        <v>5999</v>
      </c>
      <c r="V437" s="46">
        <f>IF(VLOOKUP($C437,REV!$C:$AA,20,0)-'TRADE IN'!$F437=0,"",(VLOOKUP($C437,REV!$C:$AA,20,0)-'TRADE IN'!$F437))</f>
        <v>5999</v>
      </c>
      <c r="W437" s="46">
        <f>IF(VLOOKUP($C437,REV!$C:$AA,21,0)-'TRADE IN'!$F437=0,"",(VLOOKUP($C437,REV!$C:$AA,21,0)-'TRADE IN'!$F437))</f>
        <v>5999</v>
      </c>
      <c r="X437" s="46">
        <f>IF(VLOOKUP($C437,REV!$C:$AA,22,0)-'TRADE IN'!$F437=0,"",(VLOOKUP($C437,REV!$C:$AA,22,0)-'TRADE IN'!$F437))</f>
        <v>5899</v>
      </c>
      <c r="Y437" s="46">
        <f>IF(VLOOKUP($C437,REV!$C:$AA,23,0)-'TRADE IN'!$F437=0,"",(VLOOKUP($C437,REV!$C:$AA,23,0)-'TRADE IN'!$F437))</f>
        <v>4999</v>
      </c>
      <c r="Z437" s="46">
        <f>IF(VLOOKUP($C437,REV!$C:$AA,24,0)-'TRADE IN'!$F437=0,"",(VLOOKUP($C437,REV!$C:$AA,24,0)-'TRADE IN'!$F437))</f>
        <v>4999</v>
      </c>
      <c r="AA437" s="46">
        <f>IF(VLOOKUP($C437,REV!$C:$AA,25,0)-'TRADE IN'!$F437=0,"",(VLOOKUP($C437,REV!$C:$AA,25,0)-'TRADE IN'!$F437))</f>
        <v>4799</v>
      </c>
      <c r="AB437" s="45">
        <f>IF(VLOOKUP($C437,REV!$C:$AL,27,0)-'TRADE IN'!$F437=0,"",(VLOOKUP($C437,REV!$C:$AL,27,0)-'TRADE IN'!$F437))</f>
        <v>7199</v>
      </c>
      <c r="AC437" s="45">
        <f>IF(VLOOKUP($C437,REV!$C:$AL,28,0)-'TRADE IN'!$F437=0,"",(VLOOKUP($C437,REV!$C:$AL,28,0)-'TRADE IN'!$F437))</f>
        <v>7199</v>
      </c>
      <c r="AD437" s="45">
        <f>IF(VLOOKUP($C437,REV!$C:$AL,29,0)-'TRADE IN'!$F437=0,"",(VLOOKUP($C437,REV!$C:$AL,29,0)-'TRADE IN'!$F437))</f>
        <v>6799</v>
      </c>
      <c r="AE437" s="45">
        <f>IF(VLOOKUP($C437,REV!$C:$AL,30,0)-'TRADE IN'!$F437=0,"",(VLOOKUP($C437,REV!$C:$AL,30,0)-'TRADE IN'!$F437))</f>
        <v>6699</v>
      </c>
      <c r="AF437" s="45">
        <f>IF(VLOOKUP($C437,REV!$C:$AL,31,0)-'TRADE IN'!$F437=0,"",(VLOOKUP($C437,REV!$C:$AL,31,0)-'TRADE IN'!$F437))</f>
        <v>6699</v>
      </c>
      <c r="AG437" s="45">
        <f>IF(VLOOKUP($C437,REV!$C:$AL,31,0)-'TRADE IN'!$F437=0,"",(VLOOKUP($C437,REV!$C:$AL,31,0)-'TRADE IN'!$F437))</f>
        <v>6699</v>
      </c>
      <c r="AH437" s="45">
        <f>IF(VLOOKUP($C437,REV!$C:$AL,32,0)-'TRADE IN'!$F437=0,"",(VLOOKUP($C437,REV!$C:$AL,32,0)-'TRADE IN'!$F437))</f>
        <v>5999</v>
      </c>
      <c r="AI437" s="45">
        <f>IF(VLOOKUP($C437,REV!$C:$AL,33,0)-'TRADE IN'!$F437=0,"",(VLOOKUP($C437,REV!$C:$AL,33,0)-'TRADE IN'!$F437))</f>
        <v>5999</v>
      </c>
      <c r="AJ437" s="45">
        <f>IF(VLOOKUP($C437,REV!$C:$AL,34,0)-'TRADE IN'!$F437=0,"",(VLOOKUP($C437,REV!$C:$AL,34,0)-'TRADE IN'!$F437))</f>
        <v>5999</v>
      </c>
      <c r="AK437" s="45">
        <f>IF(VLOOKUP($C437,REV!$C:$AL,35,0)-'TRADE IN'!$F437=0,"",(VLOOKUP($C437,REV!$C:$AL,35,0)-'TRADE IN'!$F437))</f>
        <v>5999</v>
      </c>
      <c r="AL437" s="45">
        <f>IF(VLOOKUP($C437,REV!$C:$AL,36,0)-'TRADE IN'!$F437=0,"",(VLOOKUP($C437,REV!$C:$AL,36,0)-'TRADE IN'!$F437))</f>
        <v>4999</v>
      </c>
      <c r="AM437" s="45"/>
      <c r="AN437" s="45"/>
      <c r="AO437" s="45"/>
      <c r="AP437" s="45"/>
      <c r="AQ437" s="45"/>
      <c r="AR437" s="45"/>
      <c r="AS437" s="45"/>
      <c r="AT437" s="45"/>
      <c r="AU437" s="45"/>
      <c r="AV437" s="47"/>
      <c r="AW437" s="48" t="str">
        <f>REV!AW437</f>
        <v>13.08.2026</v>
      </c>
      <c r="AX437" s="149" t="s">
        <v>68</v>
      </c>
    </row>
    <row r="438" spans="1:50" ht="22.5" customHeight="1">
      <c r="A438" s="41" t="s">
        <v>63</v>
      </c>
      <c r="B438" s="42" t="s">
        <v>64</v>
      </c>
      <c r="C438" s="43">
        <v>4017725</v>
      </c>
      <c r="D438" s="56" t="s">
        <v>630</v>
      </c>
      <c r="E438" s="56" t="s">
        <v>633</v>
      </c>
      <c r="F438" s="45">
        <v>1000</v>
      </c>
      <c r="G438" s="45"/>
      <c r="H438" s="45"/>
      <c r="I438" s="45"/>
      <c r="J438" s="46">
        <f>IF(VLOOKUP($C438,REV!$C:$AA,8,0)-'TRADE IN'!$F438=0,"",(VLOOKUP($C438,REV!$C:$AA,8,0)-'TRADE IN'!$F438))</f>
        <v>7199</v>
      </c>
      <c r="K438" s="46">
        <f>IF(VLOOKUP($C438,REV!$C:$AA,9,0)-'TRADE IN'!$F438=0,"",(VLOOKUP($C438,REV!$C:$AA,9,0)-'TRADE IN'!$F438))</f>
        <v>7199</v>
      </c>
      <c r="L438" s="46">
        <f>IF(VLOOKUP($C438,REV!$C:$AA,10,0)-'TRADE IN'!$F438=0,"",(VLOOKUP($C438,REV!$C:$AA,10,0)-'TRADE IN'!$F438))</f>
        <v>7199</v>
      </c>
      <c r="M438" s="46">
        <f>IF(VLOOKUP($C438,REV!$C:$AA,11,0)-'TRADE IN'!$F438=0,"",(VLOOKUP($C438,REV!$C:$AA,11,0)-'TRADE IN'!$F438))</f>
        <v>7199</v>
      </c>
      <c r="N438" s="46">
        <f>IF(VLOOKUP($C438,REV!$C:$AA,12,0)-'TRADE IN'!$F438=0,"",(VLOOKUP($C438,REV!$C:$AA,12,0)-'TRADE IN'!$F438))</f>
        <v>7199</v>
      </c>
      <c r="O438" s="46">
        <f>IF(VLOOKUP($C438,REV!$C:$AA,13,0)-'TRADE IN'!$F438=0,"",(VLOOKUP($C438,REV!$C:$AA,13,0)-'TRADE IN'!$F438))</f>
        <v>6799</v>
      </c>
      <c r="P438" s="46">
        <f>IF(VLOOKUP($C438,REV!$C:$AA,14,0)-'TRADE IN'!$F438=0,"",(VLOOKUP($C438,REV!$C:$AA,14,0)-'TRADE IN'!$F438))</f>
        <v>6699</v>
      </c>
      <c r="Q438" s="46">
        <f>IF(VLOOKUP($C438,REV!$C:$AA,15,0)-'TRADE IN'!$F438=0,"",(VLOOKUP($C438,REV!$C:$AA,15,0)-'TRADE IN'!$F438))</f>
        <v>5999</v>
      </c>
      <c r="R438" s="46">
        <f>IF(VLOOKUP($C438,REV!$C:$AA,16,0)-'TRADE IN'!$F438=0,"",(VLOOKUP($C438,REV!$C:$AA,16,0)-'TRADE IN'!$F438))</f>
        <v>6799</v>
      </c>
      <c r="S438" s="46">
        <f>IF(VLOOKUP($C438,REV!$C:$AA,17,0)-'TRADE IN'!$F438=0,"",(VLOOKUP($C438,REV!$C:$AA,17,0)-'TRADE IN'!$F438))</f>
        <v>6699</v>
      </c>
      <c r="T438" s="46">
        <f>IF(VLOOKUP($C438,REV!$C:$AA,18,0)-'TRADE IN'!$F438=0,"",(VLOOKUP($C438,REV!$C:$AA,18,0)-'TRADE IN'!$F438))</f>
        <v>5999</v>
      </c>
      <c r="U438" s="46">
        <f>IF(VLOOKUP($C438,REV!$C:$AA,19,0)-'TRADE IN'!$F438=0,"",(VLOOKUP($C438,REV!$C:$AA,19,0)-'TRADE IN'!$F438))</f>
        <v>5999</v>
      </c>
      <c r="V438" s="46">
        <f>IF(VLOOKUP($C438,REV!$C:$AA,20,0)-'TRADE IN'!$F438=0,"",(VLOOKUP($C438,REV!$C:$AA,20,0)-'TRADE IN'!$F438))</f>
        <v>5999</v>
      </c>
      <c r="W438" s="46">
        <f>IF(VLOOKUP($C438,REV!$C:$AA,21,0)-'TRADE IN'!$F438=0,"",(VLOOKUP($C438,REV!$C:$AA,21,0)-'TRADE IN'!$F438))</f>
        <v>5999</v>
      </c>
      <c r="X438" s="46">
        <f>IF(VLOOKUP($C438,REV!$C:$AA,22,0)-'TRADE IN'!$F438=0,"",(VLOOKUP($C438,REV!$C:$AA,22,0)-'TRADE IN'!$F438))</f>
        <v>5899</v>
      </c>
      <c r="Y438" s="46">
        <f>IF(VLOOKUP($C438,REV!$C:$AA,23,0)-'TRADE IN'!$F438=0,"",(VLOOKUP($C438,REV!$C:$AA,23,0)-'TRADE IN'!$F438))</f>
        <v>4999</v>
      </c>
      <c r="Z438" s="46">
        <f>IF(VLOOKUP($C438,REV!$C:$AA,24,0)-'TRADE IN'!$F438=0,"",(VLOOKUP($C438,REV!$C:$AA,24,0)-'TRADE IN'!$F438))</f>
        <v>4999</v>
      </c>
      <c r="AA438" s="46">
        <f>IF(VLOOKUP($C438,REV!$C:$AA,25,0)-'TRADE IN'!$F438=0,"",(VLOOKUP($C438,REV!$C:$AA,25,0)-'TRADE IN'!$F438))</f>
        <v>4799</v>
      </c>
      <c r="AB438" s="45">
        <f>IF(VLOOKUP($C438,REV!$C:$AL,27,0)-'TRADE IN'!$F438=0,"",(VLOOKUP($C438,REV!$C:$AL,27,0)-'TRADE IN'!$F438))</f>
        <v>7199</v>
      </c>
      <c r="AC438" s="45">
        <f>IF(VLOOKUP($C438,REV!$C:$AL,28,0)-'TRADE IN'!$F438=0,"",(VLOOKUP($C438,REV!$C:$AL,28,0)-'TRADE IN'!$F438))</f>
        <v>7199</v>
      </c>
      <c r="AD438" s="45">
        <f>IF(VLOOKUP($C438,REV!$C:$AL,29,0)-'TRADE IN'!$F438=0,"",(VLOOKUP($C438,REV!$C:$AL,29,0)-'TRADE IN'!$F438))</f>
        <v>6799</v>
      </c>
      <c r="AE438" s="45">
        <f>IF(VLOOKUP($C438,REV!$C:$AL,30,0)-'TRADE IN'!$F438=0,"",(VLOOKUP($C438,REV!$C:$AL,30,0)-'TRADE IN'!$F438))</f>
        <v>6699</v>
      </c>
      <c r="AF438" s="45">
        <f>IF(VLOOKUP($C438,REV!$C:$AL,31,0)-'TRADE IN'!$F438=0,"",(VLOOKUP($C438,REV!$C:$AL,31,0)-'TRADE IN'!$F438))</f>
        <v>6699</v>
      </c>
      <c r="AG438" s="45">
        <f>IF(VLOOKUP($C438,REV!$C:$AL,31,0)-'TRADE IN'!$F438=0,"",(VLOOKUP($C438,REV!$C:$AL,31,0)-'TRADE IN'!$F438))</f>
        <v>6699</v>
      </c>
      <c r="AH438" s="45">
        <f>IF(VLOOKUP($C438,REV!$C:$AL,32,0)-'TRADE IN'!$F438=0,"",(VLOOKUP($C438,REV!$C:$AL,32,0)-'TRADE IN'!$F438))</f>
        <v>5999</v>
      </c>
      <c r="AI438" s="45">
        <f>IF(VLOOKUP($C438,REV!$C:$AL,33,0)-'TRADE IN'!$F438=0,"",(VLOOKUP($C438,REV!$C:$AL,33,0)-'TRADE IN'!$F438))</f>
        <v>5999</v>
      </c>
      <c r="AJ438" s="45">
        <f>IF(VLOOKUP($C438,REV!$C:$AL,34,0)-'TRADE IN'!$F438=0,"",(VLOOKUP($C438,REV!$C:$AL,34,0)-'TRADE IN'!$F438))</f>
        <v>5999</v>
      </c>
      <c r="AK438" s="45">
        <f>IF(VLOOKUP($C438,REV!$C:$AL,35,0)-'TRADE IN'!$F438=0,"",(VLOOKUP($C438,REV!$C:$AL,35,0)-'TRADE IN'!$F438))</f>
        <v>5999</v>
      </c>
      <c r="AL438" s="45">
        <f>IF(VLOOKUP($C438,REV!$C:$AL,36,0)-'TRADE IN'!$F438=0,"",(VLOOKUP($C438,REV!$C:$AL,36,0)-'TRADE IN'!$F438))</f>
        <v>4999</v>
      </c>
      <c r="AM438" s="45"/>
      <c r="AN438" s="45"/>
      <c r="AO438" s="45"/>
      <c r="AP438" s="45"/>
      <c r="AQ438" s="45"/>
      <c r="AR438" s="45"/>
      <c r="AS438" s="45"/>
      <c r="AT438" s="45"/>
      <c r="AU438" s="45"/>
      <c r="AV438" s="47"/>
      <c r="AW438" s="48" t="str">
        <f>REV!AW438</f>
        <v>13.08.2026</v>
      </c>
      <c r="AX438" s="149" t="s">
        <v>68</v>
      </c>
    </row>
    <row r="439" spans="1:50" ht="22.5" customHeight="1">
      <c r="A439" s="41" t="s">
        <v>63</v>
      </c>
      <c r="B439" s="42" t="s">
        <v>64</v>
      </c>
      <c r="C439" s="43">
        <v>4017731</v>
      </c>
      <c r="D439" s="56" t="s">
        <v>630</v>
      </c>
      <c r="E439" s="56" t="s">
        <v>634</v>
      </c>
      <c r="F439" s="45">
        <v>1000</v>
      </c>
      <c r="G439" s="45"/>
      <c r="H439" s="45"/>
      <c r="I439" s="45"/>
      <c r="J439" s="46">
        <f>IF(VLOOKUP($C439,REV!$C:$AA,8,0)-'TRADE IN'!$F439=0,"",(VLOOKUP($C439,REV!$C:$AA,8,0)-'TRADE IN'!$F439))</f>
        <v>7199</v>
      </c>
      <c r="K439" s="46">
        <f>IF(VLOOKUP($C439,REV!$C:$AA,9,0)-'TRADE IN'!$F439=0,"",(VLOOKUP($C439,REV!$C:$AA,9,0)-'TRADE IN'!$F439))</f>
        <v>7199</v>
      </c>
      <c r="L439" s="46">
        <f>IF(VLOOKUP($C439,REV!$C:$AA,10,0)-'TRADE IN'!$F439=0,"",(VLOOKUP($C439,REV!$C:$AA,10,0)-'TRADE IN'!$F439))</f>
        <v>7199</v>
      </c>
      <c r="M439" s="46">
        <f>IF(VLOOKUP($C439,REV!$C:$AA,11,0)-'TRADE IN'!$F439=0,"",(VLOOKUP($C439,REV!$C:$AA,11,0)-'TRADE IN'!$F439))</f>
        <v>7199</v>
      </c>
      <c r="N439" s="46">
        <f>IF(VLOOKUP($C439,REV!$C:$AA,12,0)-'TRADE IN'!$F439=0,"",(VLOOKUP($C439,REV!$C:$AA,12,0)-'TRADE IN'!$F439))</f>
        <v>7199</v>
      </c>
      <c r="O439" s="46">
        <f>IF(VLOOKUP($C439,REV!$C:$AA,13,0)-'TRADE IN'!$F439=0,"",(VLOOKUP($C439,REV!$C:$AA,13,0)-'TRADE IN'!$F439))</f>
        <v>6799</v>
      </c>
      <c r="P439" s="46">
        <f>IF(VLOOKUP($C439,REV!$C:$AA,14,0)-'TRADE IN'!$F439=0,"",(VLOOKUP($C439,REV!$C:$AA,14,0)-'TRADE IN'!$F439))</f>
        <v>6699</v>
      </c>
      <c r="Q439" s="46">
        <f>IF(VLOOKUP($C439,REV!$C:$AA,15,0)-'TRADE IN'!$F439=0,"",(VLOOKUP($C439,REV!$C:$AA,15,0)-'TRADE IN'!$F439))</f>
        <v>5999</v>
      </c>
      <c r="R439" s="46">
        <f>IF(VLOOKUP($C439,REV!$C:$AA,16,0)-'TRADE IN'!$F439=0,"",(VLOOKUP($C439,REV!$C:$AA,16,0)-'TRADE IN'!$F439))</f>
        <v>6799</v>
      </c>
      <c r="S439" s="46">
        <f>IF(VLOOKUP($C439,REV!$C:$AA,17,0)-'TRADE IN'!$F439=0,"",(VLOOKUP($C439,REV!$C:$AA,17,0)-'TRADE IN'!$F439))</f>
        <v>6699</v>
      </c>
      <c r="T439" s="46">
        <f>IF(VLOOKUP($C439,REV!$C:$AA,18,0)-'TRADE IN'!$F439=0,"",(VLOOKUP($C439,REV!$C:$AA,18,0)-'TRADE IN'!$F439))</f>
        <v>5999</v>
      </c>
      <c r="U439" s="46">
        <f>IF(VLOOKUP($C439,REV!$C:$AA,19,0)-'TRADE IN'!$F439=0,"",(VLOOKUP($C439,REV!$C:$AA,19,0)-'TRADE IN'!$F439))</f>
        <v>5999</v>
      </c>
      <c r="V439" s="46">
        <f>IF(VLOOKUP($C439,REV!$C:$AA,20,0)-'TRADE IN'!$F439=0,"",(VLOOKUP($C439,REV!$C:$AA,20,0)-'TRADE IN'!$F439))</f>
        <v>5999</v>
      </c>
      <c r="W439" s="46">
        <f>IF(VLOOKUP($C439,REV!$C:$AA,21,0)-'TRADE IN'!$F439=0,"",(VLOOKUP($C439,REV!$C:$AA,21,0)-'TRADE IN'!$F439))</f>
        <v>5999</v>
      </c>
      <c r="X439" s="46">
        <f>IF(VLOOKUP($C439,REV!$C:$AA,22,0)-'TRADE IN'!$F439=0,"",(VLOOKUP($C439,REV!$C:$AA,22,0)-'TRADE IN'!$F439))</f>
        <v>5899</v>
      </c>
      <c r="Y439" s="46">
        <f>IF(VLOOKUP($C439,REV!$C:$AA,23,0)-'TRADE IN'!$F439=0,"",(VLOOKUP($C439,REV!$C:$AA,23,0)-'TRADE IN'!$F439))</f>
        <v>4999</v>
      </c>
      <c r="Z439" s="46">
        <f>IF(VLOOKUP($C439,REV!$C:$AA,24,0)-'TRADE IN'!$F439=0,"",(VLOOKUP($C439,REV!$C:$AA,24,0)-'TRADE IN'!$F439))</f>
        <v>4999</v>
      </c>
      <c r="AA439" s="46">
        <f>IF(VLOOKUP($C439,REV!$C:$AA,25,0)-'TRADE IN'!$F439=0,"",(VLOOKUP($C439,REV!$C:$AA,25,0)-'TRADE IN'!$F439))</f>
        <v>4799</v>
      </c>
      <c r="AB439" s="45">
        <f>IF(VLOOKUP($C439,REV!$C:$AL,27,0)-'TRADE IN'!$F439=0,"",(VLOOKUP($C439,REV!$C:$AL,27,0)-'TRADE IN'!$F439))</f>
        <v>7199</v>
      </c>
      <c r="AC439" s="45">
        <f>IF(VLOOKUP($C439,REV!$C:$AL,28,0)-'TRADE IN'!$F439=0,"",(VLOOKUP($C439,REV!$C:$AL,28,0)-'TRADE IN'!$F439))</f>
        <v>7199</v>
      </c>
      <c r="AD439" s="45">
        <f>IF(VLOOKUP($C439,REV!$C:$AL,29,0)-'TRADE IN'!$F439=0,"",(VLOOKUP($C439,REV!$C:$AL,29,0)-'TRADE IN'!$F439))</f>
        <v>6799</v>
      </c>
      <c r="AE439" s="45">
        <f>IF(VLOOKUP($C439,REV!$C:$AL,30,0)-'TRADE IN'!$F439=0,"",(VLOOKUP($C439,REV!$C:$AL,30,0)-'TRADE IN'!$F439))</f>
        <v>6699</v>
      </c>
      <c r="AF439" s="45">
        <f>IF(VLOOKUP($C439,REV!$C:$AL,31,0)-'TRADE IN'!$F439=0,"",(VLOOKUP($C439,REV!$C:$AL,31,0)-'TRADE IN'!$F439))</f>
        <v>6699</v>
      </c>
      <c r="AG439" s="45">
        <f>IF(VLOOKUP($C439,REV!$C:$AL,31,0)-'TRADE IN'!$F439=0,"",(VLOOKUP($C439,REV!$C:$AL,31,0)-'TRADE IN'!$F439))</f>
        <v>6699</v>
      </c>
      <c r="AH439" s="45">
        <f>IF(VLOOKUP($C439,REV!$C:$AL,32,0)-'TRADE IN'!$F439=0,"",(VLOOKUP($C439,REV!$C:$AL,32,0)-'TRADE IN'!$F439))</f>
        <v>5999</v>
      </c>
      <c r="AI439" s="45">
        <f>IF(VLOOKUP($C439,REV!$C:$AL,33,0)-'TRADE IN'!$F439=0,"",(VLOOKUP($C439,REV!$C:$AL,33,0)-'TRADE IN'!$F439))</f>
        <v>5999</v>
      </c>
      <c r="AJ439" s="45">
        <f>IF(VLOOKUP($C439,REV!$C:$AL,34,0)-'TRADE IN'!$F439=0,"",(VLOOKUP($C439,REV!$C:$AL,34,0)-'TRADE IN'!$F439))</f>
        <v>5999</v>
      </c>
      <c r="AK439" s="45">
        <f>IF(VLOOKUP($C439,REV!$C:$AL,35,0)-'TRADE IN'!$F439=0,"",(VLOOKUP($C439,REV!$C:$AL,35,0)-'TRADE IN'!$F439))</f>
        <v>5999</v>
      </c>
      <c r="AL439" s="45">
        <f>IF(VLOOKUP($C439,REV!$C:$AL,36,0)-'TRADE IN'!$F439=0,"",(VLOOKUP($C439,REV!$C:$AL,36,0)-'TRADE IN'!$F439))</f>
        <v>4999</v>
      </c>
      <c r="AM439" s="45"/>
      <c r="AN439" s="45"/>
      <c r="AO439" s="45"/>
      <c r="AP439" s="45"/>
      <c r="AQ439" s="45"/>
      <c r="AR439" s="45"/>
      <c r="AS439" s="45"/>
      <c r="AT439" s="45"/>
      <c r="AU439" s="45"/>
      <c r="AV439" s="47"/>
      <c r="AW439" s="48" t="str">
        <f>REV!AW439</f>
        <v>13.08.2026</v>
      </c>
      <c r="AX439" s="149" t="s">
        <v>68</v>
      </c>
    </row>
    <row r="440" spans="1:50" ht="22.5" customHeight="1">
      <c r="A440" s="41" t="s">
        <v>63</v>
      </c>
      <c r="B440" s="42" t="s">
        <v>64</v>
      </c>
      <c r="C440" s="43">
        <v>4017734</v>
      </c>
      <c r="D440" s="56" t="s">
        <v>630</v>
      </c>
      <c r="E440" s="56" t="s">
        <v>635</v>
      </c>
      <c r="F440" s="45">
        <v>1000</v>
      </c>
      <c r="G440" s="45"/>
      <c r="H440" s="45"/>
      <c r="I440" s="45"/>
      <c r="J440" s="46">
        <f>IF(VLOOKUP($C440,REV!$C:$AA,8,0)-'TRADE IN'!$F440=0,"",(VLOOKUP($C440,REV!$C:$AA,8,0)-'TRADE IN'!$F440))</f>
        <v>7199</v>
      </c>
      <c r="K440" s="46">
        <f>IF(VLOOKUP($C440,REV!$C:$AA,9,0)-'TRADE IN'!$F440=0,"",(VLOOKUP($C440,REV!$C:$AA,9,0)-'TRADE IN'!$F440))</f>
        <v>7199</v>
      </c>
      <c r="L440" s="46">
        <f>IF(VLOOKUP($C440,REV!$C:$AA,10,0)-'TRADE IN'!$F440=0,"",(VLOOKUP($C440,REV!$C:$AA,10,0)-'TRADE IN'!$F440))</f>
        <v>7199</v>
      </c>
      <c r="M440" s="46">
        <f>IF(VLOOKUP($C440,REV!$C:$AA,11,0)-'TRADE IN'!$F440=0,"",(VLOOKUP($C440,REV!$C:$AA,11,0)-'TRADE IN'!$F440))</f>
        <v>7199</v>
      </c>
      <c r="N440" s="46">
        <f>IF(VLOOKUP($C440,REV!$C:$AA,12,0)-'TRADE IN'!$F440=0,"",(VLOOKUP($C440,REV!$C:$AA,12,0)-'TRADE IN'!$F440))</f>
        <v>7199</v>
      </c>
      <c r="O440" s="46">
        <f>IF(VLOOKUP($C440,REV!$C:$AA,13,0)-'TRADE IN'!$F440=0,"",(VLOOKUP($C440,REV!$C:$AA,13,0)-'TRADE IN'!$F440))</f>
        <v>6799</v>
      </c>
      <c r="P440" s="46">
        <f>IF(VLOOKUP($C440,REV!$C:$AA,14,0)-'TRADE IN'!$F440=0,"",(VLOOKUP($C440,REV!$C:$AA,14,0)-'TRADE IN'!$F440))</f>
        <v>6699</v>
      </c>
      <c r="Q440" s="46">
        <f>IF(VLOOKUP($C440,REV!$C:$AA,15,0)-'TRADE IN'!$F440=0,"",(VLOOKUP($C440,REV!$C:$AA,15,0)-'TRADE IN'!$F440))</f>
        <v>5999</v>
      </c>
      <c r="R440" s="46">
        <f>IF(VLOOKUP($C440,REV!$C:$AA,16,0)-'TRADE IN'!$F440=0,"",(VLOOKUP($C440,REV!$C:$AA,16,0)-'TRADE IN'!$F440))</f>
        <v>6799</v>
      </c>
      <c r="S440" s="46">
        <f>IF(VLOOKUP($C440,REV!$C:$AA,17,0)-'TRADE IN'!$F440=0,"",(VLOOKUP($C440,REV!$C:$AA,17,0)-'TRADE IN'!$F440))</f>
        <v>6699</v>
      </c>
      <c r="T440" s="46">
        <f>IF(VLOOKUP($C440,REV!$C:$AA,18,0)-'TRADE IN'!$F440=0,"",(VLOOKUP($C440,REV!$C:$AA,18,0)-'TRADE IN'!$F440))</f>
        <v>5999</v>
      </c>
      <c r="U440" s="46">
        <f>IF(VLOOKUP($C440,REV!$C:$AA,19,0)-'TRADE IN'!$F440=0,"",(VLOOKUP($C440,REV!$C:$AA,19,0)-'TRADE IN'!$F440))</f>
        <v>5999</v>
      </c>
      <c r="V440" s="46">
        <f>IF(VLOOKUP($C440,REV!$C:$AA,20,0)-'TRADE IN'!$F440=0,"",(VLOOKUP($C440,REV!$C:$AA,20,0)-'TRADE IN'!$F440))</f>
        <v>5999</v>
      </c>
      <c r="W440" s="46">
        <f>IF(VLOOKUP($C440,REV!$C:$AA,21,0)-'TRADE IN'!$F440=0,"",(VLOOKUP($C440,REV!$C:$AA,21,0)-'TRADE IN'!$F440))</f>
        <v>5999</v>
      </c>
      <c r="X440" s="46">
        <f>IF(VLOOKUP($C440,REV!$C:$AA,22,0)-'TRADE IN'!$F440=0,"",(VLOOKUP($C440,REV!$C:$AA,22,0)-'TRADE IN'!$F440))</f>
        <v>5899</v>
      </c>
      <c r="Y440" s="46">
        <f>IF(VLOOKUP($C440,REV!$C:$AA,23,0)-'TRADE IN'!$F440=0,"",(VLOOKUP($C440,REV!$C:$AA,23,0)-'TRADE IN'!$F440))</f>
        <v>4999</v>
      </c>
      <c r="Z440" s="46">
        <f>IF(VLOOKUP($C440,REV!$C:$AA,24,0)-'TRADE IN'!$F440=0,"",(VLOOKUP($C440,REV!$C:$AA,24,0)-'TRADE IN'!$F440))</f>
        <v>4999</v>
      </c>
      <c r="AA440" s="46">
        <f>IF(VLOOKUP($C440,REV!$C:$AA,25,0)-'TRADE IN'!$F440=0,"",(VLOOKUP($C440,REV!$C:$AA,25,0)-'TRADE IN'!$F440))</f>
        <v>4799</v>
      </c>
      <c r="AB440" s="45">
        <f>IF(VLOOKUP($C440,REV!$C:$AL,27,0)-'TRADE IN'!$F440=0,"",(VLOOKUP($C440,REV!$C:$AL,27,0)-'TRADE IN'!$F440))</f>
        <v>7199</v>
      </c>
      <c r="AC440" s="45">
        <f>IF(VLOOKUP($C440,REV!$C:$AL,28,0)-'TRADE IN'!$F440=0,"",(VLOOKUP($C440,REV!$C:$AL,28,0)-'TRADE IN'!$F440))</f>
        <v>7199</v>
      </c>
      <c r="AD440" s="45">
        <f>IF(VLOOKUP($C440,REV!$C:$AL,29,0)-'TRADE IN'!$F440=0,"",(VLOOKUP($C440,REV!$C:$AL,29,0)-'TRADE IN'!$F440))</f>
        <v>6799</v>
      </c>
      <c r="AE440" s="45">
        <f>IF(VLOOKUP($C440,REV!$C:$AL,30,0)-'TRADE IN'!$F440=0,"",(VLOOKUP($C440,REV!$C:$AL,30,0)-'TRADE IN'!$F440))</f>
        <v>6699</v>
      </c>
      <c r="AF440" s="45">
        <f>IF(VLOOKUP($C440,REV!$C:$AL,31,0)-'TRADE IN'!$F440=0,"",(VLOOKUP($C440,REV!$C:$AL,31,0)-'TRADE IN'!$F440))</f>
        <v>6699</v>
      </c>
      <c r="AG440" s="45">
        <f>IF(VLOOKUP($C440,REV!$C:$AL,31,0)-'TRADE IN'!$F440=0,"",(VLOOKUP($C440,REV!$C:$AL,31,0)-'TRADE IN'!$F440))</f>
        <v>6699</v>
      </c>
      <c r="AH440" s="45">
        <f>IF(VLOOKUP($C440,REV!$C:$AL,32,0)-'TRADE IN'!$F440=0,"",(VLOOKUP($C440,REV!$C:$AL,32,0)-'TRADE IN'!$F440))</f>
        <v>5999</v>
      </c>
      <c r="AI440" s="45">
        <f>IF(VLOOKUP($C440,REV!$C:$AL,33,0)-'TRADE IN'!$F440=0,"",(VLOOKUP($C440,REV!$C:$AL,33,0)-'TRADE IN'!$F440))</f>
        <v>5999</v>
      </c>
      <c r="AJ440" s="45">
        <f>IF(VLOOKUP($C440,REV!$C:$AL,34,0)-'TRADE IN'!$F440=0,"",(VLOOKUP($C440,REV!$C:$AL,34,0)-'TRADE IN'!$F440))</f>
        <v>5999</v>
      </c>
      <c r="AK440" s="45">
        <f>IF(VLOOKUP($C440,REV!$C:$AL,35,0)-'TRADE IN'!$F440=0,"",(VLOOKUP($C440,REV!$C:$AL,35,0)-'TRADE IN'!$F440))</f>
        <v>5999</v>
      </c>
      <c r="AL440" s="45">
        <f>IF(VLOOKUP($C440,REV!$C:$AL,36,0)-'TRADE IN'!$F440=0,"",(VLOOKUP($C440,REV!$C:$AL,36,0)-'TRADE IN'!$F440))</f>
        <v>4999</v>
      </c>
      <c r="AM440" s="45"/>
      <c r="AN440" s="45"/>
      <c r="AO440" s="45"/>
      <c r="AP440" s="45"/>
      <c r="AQ440" s="45"/>
      <c r="AR440" s="45"/>
      <c r="AS440" s="45"/>
      <c r="AT440" s="45"/>
      <c r="AU440" s="45"/>
      <c r="AV440" s="47"/>
      <c r="AW440" s="48" t="str">
        <f>REV!AW440</f>
        <v>13.08.2026</v>
      </c>
      <c r="AX440" s="149" t="s">
        <v>68</v>
      </c>
    </row>
    <row r="441" spans="1:50" ht="22.5" customHeight="1">
      <c r="A441" s="41" t="s">
        <v>63</v>
      </c>
      <c r="B441" s="42" t="s">
        <v>64</v>
      </c>
      <c r="C441" s="43">
        <v>4017728</v>
      </c>
      <c r="D441" s="56" t="s">
        <v>630</v>
      </c>
      <c r="E441" s="56" t="s">
        <v>636</v>
      </c>
      <c r="F441" s="45">
        <v>1000</v>
      </c>
      <c r="G441" s="45"/>
      <c r="H441" s="45"/>
      <c r="I441" s="45"/>
      <c r="J441" s="46">
        <f>IF(VLOOKUP($C441,REV!$C:$AA,8,0)-'TRADE IN'!$F441=0,"",(VLOOKUP($C441,REV!$C:$AA,8,0)-'TRADE IN'!$F441))</f>
        <v>7199</v>
      </c>
      <c r="K441" s="46">
        <f>IF(VLOOKUP($C441,REV!$C:$AA,9,0)-'TRADE IN'!$F441=0,"",(VLOOKUP($C441,REV!$C:$AA,9,0)-'TRADE IN'!$F441))</f>
        <v>7199</v>
      </c>
      <c r="L441" s="46">
        <f>IF(VLOOKUP($C441,REV!$C:$AA,10,0)-'TRADE IN'!$F441=0,"",(VLOOKUP($C441,REV!$C:$AA,10,0)-'TRADE IN'!$F441))</f>
        <v>7199</v>
      </c>
      <c r="M441" s="46">
        <f>IF(VLOOKUP($C441,REV!$C:$AA,11,0)-'TRADE IN'!$F441=0,"",(VLOOKUP($C441,REV!$C:$AA,11,0)-'TRADE IN'!$F441))</f>
        <v>7199</v>
      </c>
      <c r="N441" s="46">
        <f>IF(VLOOKUP($C441,REV!$C:$AA,12,0)-'TRADE IN'!$F441=0,"",(VLOOKUP($C441,REV!$C:$AA,12,0)-'TRADE IN'!$F441))</f>
        <v>7199</v>
      </c>
      <c r="O441" s="46">
        <f>IF(VLOOKUP($C441,REV!$C:$AA,13,0)-'TRADE IN'!$F441=0,"",(VLOOKUP($C441,REV!$C:$AA,13,0)-'TRADE IN'!$F441))</f>
        <v>6799</v>
      </c>
      <c r="P441" s="46">
        <f>IF(VLOOKUP($C441,REV!$C:$AA,14,0)-'TRADE IN'!$F441=0,"",(VLOOKUP($C441,REV!$C:$AA,14,0)-'TRADE IN'!$F441))</f>
        <v>6699</v>
      </c>
      <c r="Q441" s="46">
        <f>IF(VLOOKUP($C441,REV!$C:$AA,15,0)-'TRADE IN'!$F441=0,"",(VLOOKUP($C441,REV!$C:$AA,15,0)-'TRADE IN'!$F441))</f>
        <v>5999</v>
      </c>
      <c r="R441" s="46">
        <f>IF(VLOOKUP($C441,REV!$C:$AA,16,0)-'TRADE IN'!$F441=0,"",(VLOOKUP($C441,REV!$C:$AA,16,0)-'TRADE IN'!$F441))</f>
        <v>6799</v>
      </c>
      <c r="S441" s="46">
        <f>IF(VLOOKUP($C441,REV!$C:$AA,17,0)-'TRADE IN'!$F441=0,"",(VLOOKUP($C441,REV!$C:$AA,17,0)-'TRADE IN'!$F441))</f>
        <v>6699</v>
      </c>
      <c r="T441" s="46">
        <f>IF(VLOOKUP($C441,REV!$C:$AA,18,0)-'TRADE IN'!$F441=0,"",(VLOOKUP($C441,REV!$C:$AA,18,0)-'TRADE IN'!$F441))</f>
        <v>5999</v>
      </c>
      <c r="U441" s="46">
        <f>IF(VLOOKUP($C441,REV!$C:$AA,19,0)-'TRADE IN'!$F441=0,"",(VLOOKUP($C441,REV!$C:$AA,19,0)-'TRADE IN'!$F441))</f>
        <v>5999</v>
      </c>
      <c r="V441" s="46">
        <f>IF(VLOOKUP($C441,REV!$C:$AA,20,0)-'TRADE IN'!$F441=0,"",(VLOOKUP($C441,REV!$C:$AA,20,0)-'TRADE IN'!$F441))</f>
        <v>5999</v>
      </c>
      <c r="W441" s="46">
        <f>IF(VLOOKUP($C441,REV!$C:$AA,21,0)-'TRADE IN'!$F441=0,"",(VLOOKUP($C441,REV!$C:$AA,21,0)-'TRADE IN'!$F441))</f>
        <v>5999</v>
      </c>
      <c r="X441" s="46">
        <f>IF(VLOOKUP($C441,REV!$C:$AA,22,0)-'TRADE IN'!$F441=0,"",(VLOOKUP($C441,REV!$C:$AA,22,0)-'TRADE IN'!$F441))</f>
        <v>5899</v>
      </c>
      <c r="Y441" s="46">
        <f>IF(VLOOKUP($C441,REV!$C:$AA,23,0)-'TRADE IN'!$F441=0,"",(VLOOKUP($C441,REV!$C:$AA,23,0)-'TRADE IN'!$F441))</f>
        <v>4999</v>
      </c>
      <c r="Z441" s="46">
        <f>IF(VLOOKUP($C441,REV!$C:$AA,24,0)-'TRADE IN'!$F441=0,"",(VLOOKUP($C441,REV!$C:$AA,24,0)-'TRADE IN'!$F441))</f>
        <v>4999</v>
      </c>
      <c r="AA441" s="46">
        <f>IF(VLOOKUP($C441,REV!$C:$AA,25,0)-'TRADE IN'!$F441=0,"",(VLOOKUP($C441,REV!$C:$AA,25,0)-'TRADE IN'!$F441))</f>
        <v>4799</v>
      </c>
      <c r="AB441" s="45">
        <f>IF(VLOOKUP($C441,REV!$C:$AL,27,0)-'TRADE IN'!$F441=0,"",(VLOOKUP($C441,REV!$C:$AL,27,0)-'TRADE IN'!$F441))</f>
        <v>7199</v>
      </c>
      <c r="AC441" s="45">
        <f>IF(VLOOKUP($C441,REV!$C:$AL,28,0)-'TRADE IN'!$F441=0,"",(VLOOKUP($C441,REV!$C:$AL,28,0)-'TRADE IN'!$F441))</f>
        <v>7199</v>
      </c>
      <c r="AD441" s="45">
        <f>IF(VLOOKUP($C441,REV!$C:$AL,29,0)-'TRADE IN'!$F441=0,"",(VLOOKUP($C441,REV!$C:$AL,29,0)-'TRADE IN'!$F441))</f>
        <v>6799</v>
      </c>
      <c r="AE441" s="45">
        <f>IF(VLOOKUP($C441,REV!$C:$AL,30,0)-'TRADE IN'!$F441=0,"",(VLOOKUP($C441,REV!$C:$AL,30,0)-'TRADE IN'!$F441))</f>
        <v>6699</v>
      </c>
      <c r="AF441" s="45">
        <f>IF(VLOOKUP($C441,REV!$C:$AL,31,0)-'TRADE IN'!$F441=0,"",(VLOOKUP($C441,REV!$C:$AL,31,0)-'TRADE IN'!$F441))</f>
        <v>6699</v>
      </c>
      <c r="AG441" s="45">
        <f>IF(VLOOKUP($C441,REV!$C:$AL,31,0)-'TRADE IN'!$F441=0,"",(VLOOKUP($C441,REV!$C:$AL,31,0)-'TRADE IN'!$F441))</f>
        <v>6699</v>
      </c>
      <c r="AH441" s="45">
        <f>IF(VLOOKUP($C441,REV!$C:$AL,32,0)-'TRADE IN'!$F441=0,"",(VLOOKUP($C441,REV!$C:$AL,32,0)-'TRADE IN'!$F441))</f>
        <v>5999</v>
      </c>
      <c r="AI441" s="45">
        <f>IF(VLOOKUP($C441,REV!$C:$AL,33,0)-'TRADE IN'!$F441=0,"",(VLOOKUP($C441,REV!$C:$AL,33,0)-'TRADE IN'!$F441))</f>
        <v>5999</v>
      </c>
      <c r="AJ441" s="45">
        <f>IF(VLOOKUP($C441,REV!$C:$AL,34,0)-'TRADE IN'!$F441=0,"",(VLOOKUP($C441,REV!$C:$AL,34,0)-'TRADE IN'!$F441))</f>
        <v>5999</v>
      </c>
      <c r="AK441" s="45">
        <f>IF(VLOOKUP($C441,REV!$C:$AL,35,0)-'TRADE IN'!$F441=0,"",(VLOOKUP($C441,REV!$C:$AL,35,0)-'TRADE IN'!$F441))</f>
        <v>5999</v>
      </c>
      <c r="AL441" s="45">
        <f>IF(VLOOKUP($C441,REV!$C:$AL,36,0)-'TRADE IN'!$F441=0,"",(VLOOKUP($C441,REV!$C:$AL,36,0)-'TRADE IN'!$F441))</f>
        <v>4999</v>
      </c>
      <c r="AM441" s="45"/>
      <c r="AN441" s="45"/>
      <c r="AO441" s="45"/>
      <c r="AP441" s="45"/>
      <c r="AQ441" s="45"/>
      <c r="AR441" s="45"/>
      <c r="AS441" s="45"/>
      <c r="AT441" s="45"/>
      <c r="AU441" s="45"/>
      <c r="AV441" s="47"/>
      <c r="AW441" s="48" t="str">
        <f>REV!AW441</f>
        <v>13.08.2026</v>
      </c>
      <c r="AX441" s="149" t="s">
        <v>68</v>
      </c>
    </row>
    <row r="442" spans="1:50" ht="22.5" customHeight="1">
      <c r="A442" s="41" t="s">
        <v>63</v>
      </c>
      <c r="B442" s="42" t="s">
        <v>64</v>
      </c>
      <c r="C442" s="43">
        <v>4017611</v>
      </c>
      <c r="D442" s="56" t="s">
        <v>637</v>
      </c>
      <c r="E442" s="56" t="s">
        <v>638</v>
      </c>
      <c r="F442" s="45">
        <v>1000</v>
      </c>
      <c r="G442" s="45"/>
      <c r="H442" s="45"/>
      <c r="I442" s="45"/>
      <c r="J442" s="46">
        <f>IF(VLOOKUP($C442,REV!$C:$AA,8,0)-'TRADE IN'!$F442=0,"",(VLOOKUP($C442,REV!$C:$AA,8,0)-'TRADE IN'!$F442))</f>
        <v>8499</v>
      </c>
      <c r="K442" s="46">
        <f>IF(VLOOKUP($C442,REV!$C:$AA,9,0)-'TRADE IN'!$F442=0,"",(VLOOKUP($C442,REV!$C:$AA,9,0)-'TRADE IN'!$F442))</f>
        <v>8499</v>
      </c>
      <c r="L442" s="46">
        <f>IF(VLOOKUP($C442,REV!$C:$AA,10,0)-'TRADE IN'!$F442=0,"",(VLOOKUP($C442,REV!$C:$AA,10,0)-'TRADE IN'!$F442))</f>
        <v>8499</v>
      </c>
      <c r="M442" s="46">
        <f>IF(VLOOKUP($C442,REV!$C:$AA,11,0)-'TRADE IN'!$F442=0,"",(VLOOKUP($C442,REV!$C:$AA,11,0)-'TRADE IN'!$F442))</f>
        <v>8499</v>
      </c>
      <c r="N442" s="46">
        <f>IF(VLOOKUP($C442,REV!$C:$AA,12,0)-'TRADE IN'!$F442=0,"",(VLOOKUP($C442,REV!$C:$AA,12,0)-'TRADE IN'!$F442))</f>
        <v>8499</v>
      </c>
      <c r="O442" s="46">
        <f>IF(VLOOKUP($C442,REV!$C:$AA,13,0)-'TRADE IN'!$F442=0,"",(VLOOKUP($C442,REV!$C:$AA,13,0)-'TRADE IN'!$F442))</f>
        <v>8399</v>
      </c>
      <c r="P442" s="46">
        <f>IF(VLOOKUP($C442,REV!$C:$AA,14,0)-'TRADE IN'!$F442=0,"",(VLOOKUP($C442,REV!$C:$AA,14,0)-'TRADE IN'!$F442))</f>
        <v>8299</v>
      </c>
      <c r="Q442" s="46">
        <f>IF(VLOOKUP($C442,REV!$C:$AA,15,0)-'TRADE IN'!$F442=0,"",(VLOOKUP($C442,REV!$C:$AA,15,0)-'TRADE IN'!$F442))</f>
        <v>7799</v>
      </c>
      <c r="R442" s="46">
        <f>IF(VLOOKUP($C442,REV!$C:$AA,16,0)-'TRADE IN'!$F442=0,"",(VLOOKUP($C442,REV!$C:$AA,16,0)-'TRADE IN'!$F442))</f>
        <v>8399</v>
      </c>
      <c r="S442" s="46">
        <f>IF(VLOOKUP($C442,REV!$C:$AA,17,0)-'TRADE IN'!$F442=0,"",(VLOOKUP($C442,REV!$C:$AA,17,0)-'TRADE IN'!$F442))</f>
        <v>8299</v>
      </c>
      <c r="T442" s="46">
        <f>IF(VLOOKUP($C442,REV!$C:$AA,18,0)-'TRADE IN'!$F442=0,"",(VLOOKUP($C442,REV!$C:$AA,18,0)-'TRADE IN'!$F442))</f>
        <v>7799</v>
      </c>
      <c r="U442" s="46">
        <f>IF(VLOOKUP($C442,REV!$C:$AA,19,0)-'TRADE IN'!$F442=0,"",(VLOOKUP($C442,REV!$C:$AA,19,0)-'TRADE IN'!$F442))</f>
        <v>7799</v>
      </c>
      <c r="V442" s="46">
        <f>IF(VLOOKUP($C442,REV!$C:$AA,20,0)-'TRADE IN'!$F442=0,"",(VLOOKUP($C442,REV!$C:$AA,20,0)-'TRADE IN'!$F442))</f>
        <v>7799</v>
      </c>
      <c r="W442" s="46">
        <f>IF(VLOOKUP($C442,REV!$C:$AA,21,0)-'TRADE IN'!$F442=0,"",(VLOOKUP($C442,REV!$C:$AA,21,0)-'TRADE IN'!$F442))</f>
        <v>7799</v>
      </c>
      <c r="X442" s="46">
        <f>IF(VLOOKUP($C442,REV!$C:$AA,22,0)-'TRADE IN'!$F442=0,"",(VLOOKUP($C442,REV!$C:$AA,22,0)-'TRADE IN'!$F442))</f>
        <v>7699</v>
      </c>
      <c r="Y442" s="46">
        <f>IF(VLOOKUP($C442,REV!$C:$AA,23,0)-'TRADE IN'!$F442=0,"",(VLOOKUP($C442,REV!$C:$AA,23,0)-'TRADE IN'!$F442))</f>
        <v>6199</v>
      </c>
      <c r="Z442" s="46">
        <f>IF(VLOOKUP($C442,REV!$C:$AA,24,0)-'TRADE IN'!$F442=0,"",(VLOOKUP($C442,REV!$C:$AA,24,0)-'TRADE IN'!$F442))</f>
        <v>6199</v>
      </c>
      <c r="AA442" s="46">
        <f>IF(VLOOKUP($C442,REV!$C:$AA,25,0)-'TRADE IN'!$F442=0,"",(VLOOKUP($C442,REV!$C:$AA,25,0)-'TRADE IN'!$F442))</f>
        <v>5999</v>
      </c>
      <c r="AB442" s="45"/>
      <c r="AC442" s="45"/>
      <c r="AD442" s="45"/>
      <c r="AE442" s="45"/>
      <c r="AF442" s="45"/>
      <c r="AG442" s="45"/>
      <c r="AH442" s="45"/>
      <c r="AI442" s="45"/>
      <c r="AJ442" s="45"/>
      <c r="AK442" s="45"/>
      <c r="AL442" s="45"/>
      <c r="AM442" s="45"/>
      <c r="AN442" s="45"/>
      <c r="AO442" s="45"/>
      <c r="AP442" s="45"/>
      <c r="AQ442" s="45"/>
      <c r="AR442" s="45"/>
      <c r="AS442" s="45"/>
      <c r="AT442" s="45"/>
      <c r="AU442" s="45"/>
      <c r="AV442" s="47"/>
      <c r="AW442" s="48" t="str">
        <f>REV!AW442</f>
        <v>13.08.2026</v>
      </c>
      <c r="AX442" s="149" t="s">
        <v>68</v>
      </c>
    </row>
    <row r="443" spans="1:50" ht="22.5" customHeight="1">
      <c r="A443" s="41" t="s">
        <v>63</v>
      </c>
      <c r="B443" s="42" t="s">
        <v>64</v>
      </c>
      <c r="C443" s="43">
        <v>4017613</v>
      </c>
      <c r="D443" s="56" t="s">
        <v>637</v>
      </c>
      <c r="E443" s="56" t="s">
        <v>639</v>
      </c>
      <c r="F443" s="45">
        <v>1000</v>
      </c>
      <c r="G443" s="45"/>
      <c r="H443" s="45"/>
      <c r="I443" s="45"/>
      <c r="J443" s="46">
        <f>IF(VLOOKUP($C443,REV!$C:$AA,8,0)-'TRADE IN'!$F443=0,"",(VLOOKUP($C443,REV!$C:$AA,8,0)-'TRADE IN'!$F443))</f>
        <v>8499</v>
      </c>
      <c r="K443" s="46">
        <f>IF(VLOOKUP($C443,REV!$C:$AA,9,0)-'TRADE IN'!$F443=0,"",(VLOOKUP($C443,REV!$C:$AA,9,0)-'TRADE IN'!$F443))</f>
        <v>8499</v>
      </c>
      <c r="L443" s="46">
        <f>IF(VLOOKUP($C443,REV!$C:$AA,10,0)-'TRADE IN'!$F443=0,"",(VLOOKUP($C443,REV!$C:$AA,10,0)-'TRADE IN'!$F443))</f>
        <v>8499</v>
      </c>
      <c r="M443" s="46">
        <f>IF(VLOOKUP($C443,REV!$C:$AA,11,0)-'TRADE IN'!$F443=0,"",(VLOOKUP($C443,REV!$C:$AA,11,0)-'TRADE IN'!$F443))</f>
        <v>8499</v>
      </c>
      <c r="N443" s="46">
        <f>IF(VLOOKUP($C443,REV!$C:$AA,12,0)-'TRADE IN'!$F443=0,"",(VLOOKUP($C443,REV!$C:$AA,12,0)-'TRADE IN'!$F443))</f>
        <v>8499</v>
      </c>
      <c r="O443" s="46">
        <f>IF(VLOOKUP($C443,REV!$C:$AA,13,0)-'TRADE IN'!$F443=0,"",(VLOOKUP($C443,REV!$C:$AA,13,0)-'TRADE IN'!$F443))</f>
        <v>8399</v>
      </c>
      <c r="P443" s="46">
        <f>IF(VLOOKUP($C443,REV!$C:$AA,14,0)-'TRADE IN'!$F443=0,"",(VLOOKUP($C443,REV!$C:$AA,14,0)-'TRADE IN'!$F443))</f>
        <v>8299</v>
      </c>
      <c r="Q443" s="46">
        <f>IF(VLOOKUP($C443,REV!$C:$AA,15,0)-'TRADE IN'!$F443=0,"",(VLOOKUP($C443,REV!$C:$AA,15,0)-'TRADE IN'!$F443))</f>
        <v>7799</v>
      </c>
      <c r="R443" s="46">
        <f>IF(VLOOKUP($C443,REV!$C:$AA,16,0)-'TRADE IN'!$F443=0,"",(VLOOKUP($C443,REV!$C:$AA,16,0)-'TRADE IN'!$F443))</f>
        <v>8399</v>
      </c>
      <c r="S443" s="46">
        <f>IF(VLOOKUP($C443,REV!$C:$AA,17,0)-'TRADE IN'!$F443=0,"",(VLOOKUP($C443,REV!$C:$AA,17,0)-'TRADE IN'!$F443))</f>
        <v>8299</v>
      </c>
      <c r="T443" s="46">
        <f>IF(VLOOKUP($C443,REV!$C:$AA,18,0)-'TRADE IN'!$F443=0,"",(VLOOKUP($C443,REV!$C:$AA,18,0)-'TRADE IN'!$F443))</f>
        <v>7799</v>
      </c>
      <c r="U443" s="46">
        <f>IF(VLOOKUP($C443,REV!$C:$AA,19,0)-'TRADE IN'!$F443=0,"",(VLOOKUP($C443,REV!$C:$AA,19,0)-'TRADE IN'!$F443))</f>
        <v>7799</v>
      </c>
      <c r="V443" s="46">
        <f>IF(VLOOKUP($C443,REV!$C:$AA,20,0)-'TRADE IN'!$F443=0,"",(VLOOKUP($C443,REV!$C:$AA,20,0)-'TRADE IN'!$F443))</f>
        <v>7799</v>
      </c>
      <c r="W443" s="46">
        <f>IF(VLOOKUP($C443,REV!$C:$AA,21,0)-'TRADE IN'!$F443=0,"",(VLOOKUP($C443,REV!$C:$AA,21,0)-'TRADE IN'!$F443))</f>
        <v>7799</v>
      </c>
      <c r="X443" s="46">
        <f>IF(VLOOKUP($C443,REV!$C:$AA,22,0)-'TRADE IN'!$F443=0,"",(VLOOKUP($C443,REV!$C:$AA,22,0)-'TRADE IN'!$F443))</f>
        <v>7699</v>
      </c>
      <c r="Y443" s="46">
        <f>IF(VLOOKUP($C443,REV!$C:$AA,23,0)-'TRADE IN'!$F443=0,"",(VLOOKUP($C443,REV!$C:$AA,23,0)-'TRADE IN'!$F443))</f>
        <v>6199</v>
      </c>
      <c r="Z443" s="46">
        <f>IF(VLOOKUP($C443,REV!$C:$AA,24,0)-'TRADE IN'!$F443=0,"",(VLOOKUP($C443,REV!$C:$AA,24,0)-'TRADE IN'!$F443))</f>
        <v>6199</v>
      </c>
      <c r="AA443" s="46">
        <f>IF(VLOOKUP($C443,REV!$C:$AA,25,0)-'TRADE IN'!$F443=0,"",(VLOOKUP($C443,REV!$C:$AA,25,0)-'TRADE IN'!$F443))</f>
        <v>5999</v>
      </c>
      <c r="AB443" s="45"/>
      <c r="AC443" s="45"/>
      <c r="AD443" s="45"/>
      <c r="AE443" s="45"/>
      <c r="AF443" s="45"/>
      <c r="AG443" s="45"/>
      <c r="AH443" s="45"/>
      <c r="AI443" s="45"/>
      <c r="AJ443" s="45"/>
      <c r="AK443" s="45"/>
      <c r="AL443" s="45"/>
      <c r="AM443" s="45"/>
      <c r="AN443" s="45"/>
      <c r="AO443" s="45"/>
      <c r="AP443" s="45"/>
      <c r="AQ443" s="45"/>
      <c r="AR443" s="45"/>
      <c r="AS443" s="45"/>
      <c r="AT443" s="45"/>
      <c r="AU443" s="45"/>
      <c r="AV443" s="47"/>
      <c r="AW443" s="48" t="str">
        <f>REV!AW443</f>
        <v>13.08.2026</v>
      </c>
      <c r="AX443" s="149" t="s">
        <v>68</v>
      </c>
    </row>
    <row r="444" spans="1:50" ht="22.5" customHeight="1">
      <c r="A444" s="41" t="s">
        <v>63</v>
      </c>
      <c r="B444" s="42" t="s">
        <v>64</v>
      </c>
      <c r="C444" s="43">
        <v>4017723</v>
      </c>
      <c r="D444" s="56" t="s">
        <v>637</v>
      </c>
      <c r="E444" s="56" t="s">
        <v>640</v>
      </c>
      <c r="F444" s="45">
        <v>1000</v>
      </c>
      <c r="G444" s="45"/>
      <c r="H444" s="45"/>
      <c r="I444" s="45"/>
      <c r="J444" s="46">
        <f>IF(VLOOKUP($C444,REV!$C:$AA,8,0)-'TRADE IN'!$F444=0,"",(VLOOKUP($C444,REV!$C:$AA,8,0)-'TRADE IN'!$F444))</f>
        <v>8499</v>
      </c>
      <c r="K444" s="46">
        <f>IF(VLOOKUP($C444,REV!$C:$AA,9,0)-'TRADE IN'!$F444=0,"",(VLOOKUP($C444,REV!$C:$AA,9,0)-'TRADE IN'!$F444))</f>
        <v>8499</v>
      </c>
      <c r="L444" s="46">
        <f>IF(VLOOKUP($C444,REV!$C:$AA,10,0)-'TRADE IN'!$F444=0,"",(VLOOKUP($C444,REV!$C:$AA,10,0)-'TRADE IN'!$F444))</f>
        <v>8499</v>
      </c>
      <c r="M444" s="46">
        <f>IF(VLOOKUP($C444,REV!$C:$AA,11,0)-'TRADE IN'!$F444=0,"",(VLOOKUP($C444,REV!$C:$AA,11,0)-'TRADE IN'!$F444))</f>
        <v>8499</v>
      </c>
      <c r="N444" s="46">
        <f>IF(VLOOKUP($C444,REV!$C:$AA,12,0)-'TRADE IN'!$F444=0,"",(VLOOKUP($C444,REV!$C:$AA,12,0)-'TRADE IN'!$F444))</f>
        <v>8499</v>
      </c>
      <c r="O444" s="46">
        <f>IF(VLOOKUP($C444,REV!$C:$AA,13,0)-'TRADE IN'!$F444=0,"",(VLOOKUP($C444,REV!$C:$AA,13,0)-'TRADE IN'!$F444))</f>
        <v>8399</v>
      </c>
      <c r="P444" s="46">
        <f>IF(VLOOKUP($C444,REV!$C:$AA,14,0)-'TRADE IN'!$F444=0,"",(VLOOKUP($C444,REV!$C:$AA,14,0)-'TRADE IN'!$F444))</f>
        <v>8299</v>
      </c>
      <c r="Q444" s="46">
        <f>IF(VLOOKUP($C444,REV!$C:$AA,15,0)-'TRADE IN'!$F444=0,"",(VLOOKUP($C444,REV!$C:$AA,15,0)-'TRADE IN'!$F444))</f>
        <v>7799</v>
      </c>
      <c r="R444" s="46">
        <f>IF(VLOOKUP($C444,REV!$C:$AA,16,0)-'TRADE IN'!$F444=0,"",(VLOOKUP($C444,REV!$C:$AA,16,0)-'TRADE IN'!$F444))</f>
        <v>8399</v>
      </c>
      <c r="S444" s="46">
        <f>IF(VLOOKUP($C444,REV!$C:$AA,17,0)-'TRADE IN'!$F444=0,"",(VLOOKUP($C444,REV!$C:$AA,17,0)-'TRADE IN'!$F444))</f>
        <v>8299</v>
      </c>
      <c r="T444" s="46">
        <f>IF(VLOOKUP($C444,REV!$C:$AA,18,0)-'TRADE IN'!$F444=0,"",(VLOOKUP($C444,REV!$C:$AA,18,0)-'TRADE IN'!$F444))</f>
        <v>7799</v>
      </c>
      <c r="U444" s="46">
        <f>IF(VLOOKUP($C444,REV!$C:$AA,19,0)-'TRADE IN'!$F444=0,"",(VLOOKUP($C444,REV!$C:$AA,19,0)-'TRADE IN'!$F444))</f>
        <v>7799</v>
      </c>
      <c r="V444" s="46">
        <f>IF(VLOOKUP($C444,REV!$C:$AA,20,0)-'TRADE IN'!$F444=0,"",(VLOOKUP($C444,REV!$C:$AA,20,0)-'TRADE IN'!$F444))</f>
        <v>7799</v>
      </c>
      <c r="W444" s="46">
        <f>IF(VLOOKUP($C444,REV!$C:$AA,21,0)-'TRADE IN'!$F444=0,"",(VLOOKUP($C444,REV!$C:$AA,21,0)-'TRADE IN'!$F444))</f>
        <v>7799</v>
      </c>
      <c r="X444" s="46">
        <f>IF(VLOOKUP($C444,REV!$C:$AA,22,0)-'TRADE IN'!$F444=0,"",(VLOOKUP($C444,REV!$C:$AA,22,0)-'TRADE IN'!$F444))</f>
        <v>7699</v>
      </c>
      <c r="Y444" s="46">
        <f>IF(VLOOKUP($C444,REV!$C:$AA,23,0)-'TRADE IN'!$F444=0,"",(VLOOKUP($C444,REV!$C:$AA,23,0)-'TRADE IN'!$F444))</f>
        <v>6199</v>
      </c>
      <c r="Z444" s="46">
        <f>IF(VLOOKUP($C444,REV!$C:$AA,24,0)-'TRADE IN'!$F444=0,"",(VLOOKUP($C444,REV!$C:$AA,24,0)-'TRADE IN'!$F444))</f>
        <v>6199</v>
      </c>
      <c r="AA444" s="46">
        <f>IF(VLOOKUP($C444,REV!$C:$AA,25,0)-'TRADE IN'!$F444=0,"",(VLOOKUP($C444,REV!$C:$AA,25,0)-'TRADE IN'!$F444))</f>
        <v>5999</v>
      </c>
      <c r="AB444" s="45"/>
      <c r="AC444" s="45"/>
      <c r="AD444" s="45"/>
      <c r="AE444" s="45"/>
      <c r="AF444" s="45"/>
      <c r="AG444" s="45"/>
      <c r="AH444" s="45"/>
      <c r="AI444" s="45"/>
      <c r="AJ444" s="45"/>
      <c r="AK444" s="45"/>
      <c r="AL444" s="45"/>
      <c r="AM444" s="45"/>
      <c r="AN444" s="45"/>
      <c r="AO444" s="45"/>
      <c r="AP444" s="45"/>
      <c r="AQ444" s="45"/>
      <c r="AR444" s="45"/>
      <c r="AS444" s="45"/>
      <c r="AT444" s="45"/>
      <c r="AU444" s="45"/>
      <c r="AV444" s="47"/>
      <c r="AW444" s="48" t="str">
        <f>REV!AW444</f>
        <v>13.08.2026</v>
      </c>
      <c r="AX444" s="149" t="s">
        <v>68</v>
      </c>
    </row>
    <row r="445" spans="1:50" ht="22.5" customHeight="1">
      <c r="A445" s="41" t="s">
        <v>63</v>
      </c>
      <c r="B445" s="42" t="s">
        <v>64</v>
      </c>
      <c r="C445" s="43">
        <v>4017726</v>
      </c>
      <c r="D445" s="56" t="s">
        <v>637</v>
      </c>
      <c r="E445" s="56" t="s">
        <v>641</v>
      </c>
      <c r="F445" s="45">
        <v>1000</v>
      </c>
      <c r="G445" s="45"/>
      <c r="H445" s="45"/>
      <c r="I445" s="45"/>
      <c r="J445" s="46">
        <f>IF(VLOOKUP($C445,REV!$C:$AA,8,0)-'TRADE IN'!$F445=0,"",(VLOOKUP($C445,REV!$C:$AA,8,0)-'TRADE IN'!$F445))</f>
        <v>8499</v>
      </c>
      <c r="K445" s="46">
        <f>IF(VLOOKUP($C445,REV!$C:$AA,9,0)-'TRADE IN'!$F445=0,"",(VLOOKUP($C445,REV!$C:$AA,9,0)-'TRADE IN'!$F445))</f>
        <v>8499</v>
      </c>
      <c r="L445" s="46">
        <f>IF(VLOOKUP($C445,REV!$C:$AA,10,0)-'TRADE IN'!$F445=0,"",(VLOOKUP($C445,REV!$C:$AA,10,0)-'TRADE IN'!$F445))</f>
        <v>8499</v>
      </c>
      <c r="M445" s="46">
        <f>IF(VLOOKUP($C445,REV!$C:$AA,11,0)-'TRADE IN'!$F445=0,"",(VLOOKUP($C445,REV!$C:$AA,11,0)-'TRADE IN'!$F445))</f>
        <v>8499</v>
      </c>
      <c r="N445" s="46">
        <f>IF(VLOOKUP($C445,REV!$C:$AA,12,0)-'TRADE IN'!$F445=0,"",(VLOOKUP($C445,REV!$C:$AA,12,0)-'TRADE IN'!$F445))</f>
        <v>8499</v>
      </c>
      <c r="O445" s="46">
        <f>IF(VLOOKUP($C445,REV!$C:$AA,13,0)-'TRADE IN'!$F445=0,"",(VLOOKUP($C445,REV!$C:$AA,13,0)-'TRADE IN'!$F445))</f>
        <v>8399</v>
      </c>
      <c r="P445" s="46">
        <f>IF(VLOOKUP($C445,REV!$C:$AA,14,0)-'TRADE IN'!$F445=0,"",(VLOOKUP($C445,REV!$C:$AA,14,0)-'TRADE IN'!$F445))</f>
        <v>8299</v>
      </c>
      <c r="Q445" s="46">
        <f>IF(VLOOKUP($C445,REV!$C:$AA,15,0)-'TRADE IN'!$F445=0,"",(VLOOKUP($C445,REV!$C:$AA,15,0)-'TRADE IN'!$F445))</f>
        <v>7799</v>
      </c>
      <c r="R445" s="46">
        <f>IF(VLOOKUP($C445,REV!$C:$AA,16,0)-'TRADE IN'!$F445=0,"",(VLOOKUP($C445,REV!$C:$AA,16,0)-'TRADE IN'!$F445))</f>
        <v>8399</v>
      </c>
      <c r="S445" s="46">
        <f>IF(VLOOKUP($C445,REV!$C:$AA,17,0)-'TRADE IN'!$F445=0,"",(VLOOKUP($C445,REV!$C:$AA,17,0)-'TRADE IN'!$F445))</f>
        <v>8299</v>
      </c>
      <c r="T445" s="46">
        <f>IF(VLOOKUP($C445,REV!$C:$AA,18,0)-'TRADE IN'!$F445=0,"",(VLOOKUP($C445,REV!$C:$AA,18,0)-'TRADE IN'!$F445))</f>
        <v>7799</v>
      </c>
      <c r="U445" s="46">
        <f>IF(VLOOKUP($C445,REV!$C:$AA,19,0)-'TRADE IN'!$F445=0,"",(VLOOKUP($C445,REV!$C:$AA,19,0)-'TRADE IN'!$F445))</f>
        <v>7799</v>
      </c>
      <c r="V445" s="46">
        <f>IF(VLOOKUP($C445,REV!$C:$AA,20,0)-'TRADE IN'!$F445=0,"",(VLOOKUP($C445,REV!$C:$AA,20,0)-'TRADE IN'!$F445))</f>
        <v>7799</v>
      </c>
      <c r="W445" s="46">
        <f>IF(VLOOKUP($C445,REV!$C:$AA,21,0)-'TRADE IN'!$F445=0,"",(VLOOKUP($C445,REV!$C:$AA,21,0)-'TRADE IN'!$F445))</f>
        <v>7799</v>
      </c>
      <c r="X445" s="46">
        <f>IF(VLOOKUP($C445,REV!$C:$AA,22,0)-'TRADE IN'!$F445=0,"",(VLOOKUP($C445,REV!$C:$AA,22,0)-'TRADE IN'!$F445))</f>
        <v>7699</v>
      </c>
      <c r="Y445" s="46">
        <f>IF(VLOOKUP($C445,REV!$C:$AA,23,0)-'TRADE IN'!$F445=0,"",(VLOOKUP($C445,REV!$C:$AA,23,0)-'TRADE IN'!$F445))</f>
        <v>6199</v>
      </c>
      <c r="Z445" s="46">
        <f>IF(VLOOKUP($C445,REV!$C:$AA,24,0)-'TRADE IN'!$F445=0,"",(VLOOKUP($C445,REV!$C:$AA,24,0)-'TRADE IN'!$F445))</f>
        <v>6199</v>
      </c>
      <c r="AA445" s="46">
        <f>IF(VLOOKUP($C445,REV!$C:$AA,25,0)-'TRADE IN'!$F445=0,"",(VLOOKUP($C445,REV!$C:$AA,25,0)-'TRADE IN'!$F445))</f>
        <v>5999</v>
      </c>
      <c r="AB445" s="45"/>
      <c r="AC445" s="45"/>
      <c r="AD445" s="45"/>
      <c r="AE445" s="45"/>
      <c r="AF445" s="45"/>
      <c r="AG445" s="45"/>
      <c r="AH445" s="45"/>
      <c r="AI445" s="45"/>
      <c r="AJ445" s="45"/>
      <c r="AK445" s="45"/>
      <c r="AL445" s="45"/>
      <c r="AM445" s="45"/>
      <c r="AN445" s="45"/>
      <c r="AO445" s="45"/>
      <c r="AP445" s="45"/>
      <c r="AQ445" s="45"/>
      <c r="AR445" s="45"/>
      <c r="AS445" s="45"/>
      <c r="AT445" s="45"/>
      <c r="AU445" s="45"/>
      <c r="AV445" s="47"/>
      <c r="AW445" s="48" t="str">
        <f>REV!AW445</f>
        <v>13.08.2026</v>
      </c>
      <c r="AX445" s="149" t="s">
        <v>68</v>
      </c>
    </row>
    <row r="446" spans="1:50" ht="22.5" customHeight="1">
      <c r="A446" s="41" t="s">
        <v>63</v>
      </c>
      <c r="B446" s="42" t="s">
        <v>64</v>
      </c>
      <c r="C446" s="43">
        <v>4017730</v>
      </c>
      <c r="D446" s="56" t="s">
        <v>637</v>
      </c>
      <c r="E446" s="56" t="s">
        <v>642</v>
      </c>
      <c r="F446" s="45">
        <v>1000</v>
      </c>
      <c r="G446" s="45"/>
      <c r="H446" s="45"/>
      <c r="I446" s="45"/>
      <c r="J446" s="46">
        <f>IF(VLOOKUP($C446,REV!$C:$AA,8,0)-'TRADE IN'!$F446=0,"",(VLOOKUP($C446,REV!$C:$AA,8,0)-'TRADE IN'!$F446))</f>
        <v>8499</v>
      </c>
      <c r="K446" s="46">
        <f>IF(VLOOKUP($C446,REV!$C:$AA,9,0)-'TRADE IN'!$F446=0,"",(VLOOKUP($C446,REV!$C:$AA,9,0)-'TRADE IN'!$F446))</f>
        <v>8499</v>
      </c>
      <c r="L446" s="46">
        <f>IF(VLOOKUP($C446,REV!$C:$AA,10,0)-'TRADE IN'!$F446=0,"",(VLOOKUP($C446,REV!$C:$AA,10,0)-'TRADE IN'!$F446))</f>
        <v>8499</v>
      </c>
      <c r="M446" s="46">
        <f>IF(VLOOKUP($C446,REV!$C:$AA,11,0)-'TRADE IN'!$F446=0,"",(VLOOKUP($C446,REV!$C:$AA,11,0)-'TRADE IN'!$F446))</f>
        <v>8499</v>
      </c>
      <c r="N446" s="46">
        <f>IF(VLOOKUP($C446,REV!$C:$AA,12,0)-'TRADE IN'!$F446=0,"",(VLOOKUP($C446,REV!$C:$AA,12,0)-'TRADE IN'!$F446))</f>
        <v>8499</v>
      </c>
      <c r="O446" s="46">
        <f>IF(VLOOKUP($C446,REV!$C:$AA,13,0)-'TRADE IN'!$F446=0,"",(VLOOKUP($C446,REV!$C:$AA,13,0)-'TRADE IN'!$F446))</f>
        <v>8399</v>
      </c>
      <c r="P446" s="46">
        <f>IF(VLOOKUP($C446,REV!$C:$AA,14,0)-'TRADE IN'!$F446=0,"",(VLOOKUP($C446,REV!$C:$AA,14,0)-'TRADE IN'!$F446))</f>
        <v>8299</v>
      </c>
      <c r="Q446" s="46">
        <f>IF(VLOOKUP($C446,REV!$C:$AA,15,0)-'TRADE IN'!$F446=0,"",(VLOOKUP($C446,REV!$C:$AA,15,0)-'TRADE IN'!$F446))</f>
        <v>7799</v>
      </c>
      <c r="R446" s="46">
        <f>IF(VLOOKUP($C446,REV!$C:$AA,16,0)-'TRADE IN'!$F446=0,"",(VLOOKUP($C446,REV!$C:$AA,16,0)-'TRADE IN'!$F446))</f>
        <v>8399</v>
      </c>
      <c r="S446" s="46">
        <f>IF(VLOOKUP($C446,REV!$C:$AA,17,0)-'TRADE IN'!$F446=0,"",(VLOOKUP($C446,REV!$C:$AA,17,0)-'TRADE IN'!$F446))</f>
        <v>8299</v>
      </c>
      <c r="T446" s="46">
        <f>IF(VLOOKUP($C446,REV!$C:$AA,18,0)-'TRADE IN'!$F446=0,"",(VLOOKUP($C446,REV!$C:$AA,18,0)-'TRADE IN'!$F446))</f>
        <v>7799</v>
      </c>
      <c r="U446" s="46">
        <f>IF(VLOOKUP($C446,REV!$C:$AA,19,0)-'TRADE IN'!$F446=0,"",(VLOOKUP($C446,REV!$C:$AA,19,0)-'TRADE IN'!$F446))</f>
        <v>7799</v>
      </c>
      <c r="V446" s="46">
        <f>IF(VLOOKUP($C446,REV!$C:$AA,20,0)-'TRADE IN'!$F446=0,"",(VLOOKUP($C446,REV!$C:$AA,20,0)-'TRADE IN'!$F446))</f>
        <v>7799</v>
      </c>
      <c r="W446" s="46">
        <f>IF(VLOOKUP($C446,REV!$C:$AA,21,0)-'TRADE IN'!$F446=0,"",(VLOOKUP($C446,REV!$C:$AA,21,0)-'TRADE IN'!$F446))</f>
        <v>7799</v>
      </c>
      <c r="X446" s="46">
        <f>IF(VLOOKUP($C446,REV!$C:$AA,22,0)-'TRADE IN'!$F446=0,"",(VLOOKUP($C446,REV!$C:$AA,22,0)-'TRADE IN'!$F446))</f>
        <v>7699</v>
      </c>
      <c r="Y446" s="46">
        <f>IF(VLOOKUP($C446,REV!$C:$AA,23,0)-'TRADE IN'!$F446=0,"",(VLOOKUP($C446,REV!$C:$AA,23,0)-'TRADE IN'!$F446))</f>
        <v>6199</v>
      </c>
      <c r="Z446" s="46">
        <f>IF(VLOOKUP($C446,REV!$C:$AA,24,0)-'TRADE IN'!$F446=0,"",(VLOOKUP($C446,REV!$C:$AA,24,0)-'TRADE IN'!$F446))</f>
        <v>6199</v>
      </c>
      <c r="AA446" s="46">
        <f>IF(VLOOKUP($C446,REV!$C:$AA,25,0)-'TRADE IN'!$F446=0,"",(VLOOKUP($C446,REV!$C:$AA,25,0)-'TRADE IN'!$F446))</f>
        <v>5999</v>
      </c>
      <c r="AB446" s="45"/>
      <c r="AC446" s="45"/>
      <c r="AD446" s="45"/>
      <c r="AE446" s="45"/>
      <c r="AF446" s="45"/>
      <c r="AG446" s="45"/>
      <c r="AH446" s="45"/>
      <c r="AI446" s="45"/>
      <c r="AJ446" s="45"/>
      <c r="AK446" s="45"/>
      <c r="AL446" s="45"/>
      <c r="AM446" s="45"/>
      <c r="AN446" s="45"/>
      <c r="AO446" s="45"/>
      <c r="AP446" s="45"/>
      <c r="AQ446" s="45"/>
      <c r="AR446" s="45"/>
      <c r="AS446" s="45"/>
      <c r="AT446" s="45"/>
      <c r="AU446" s="45"/>
      <c r="AV446" s="47"/>
      <c r="AW446" s="48" t="str">
        <f>REV!AW446</f>
        <v>13.08.2026</v>
      </c>
      <c r="AX446" s="149" t="s">
        <v>68</v>
      </c>
    </row>
    <row r="447" spans="1:50" ht="22.5" customHeight="1">
      <c r="A447" s="41" t="s">
        <v>63</v>
      </c>
      <c r="B447" s="42" t="s">
        <v>64</v>
      </c>
      <c r="C447" s="43">
        <v>4017732</v>
      </c>
      <c r="D447" s="56" t="s">
        <v>637</v>
      </c>
      <c r="E447" s="56" t="s">
        <v>643</v>
      </c>
      <c r="F447" s="45">
        <v>1000</v>
      </c>
      <c r="G447" s="45"/>
      <c r="H447" s="45"/>
      <c r="I447" s="45"/>
      <c r="J447" s="46">
        <f>IF(VLOOKUP($C447,REV!$C:$AA,8,0)-'TRADE IN'!$F447=0,"",(VLOOKUP($C447,REV!$C:$AA,8,0)-'TRADE IN'!$F447))</f>
        <v>8499</v>
      </c>
      <c r="K447" s="46">
        <f>IF(VLOOKUP($C447,REV!$C:$AA,9,0)-'TRADE IN'!$F447=0,"",(VLOOKUP($C447,REV!$C:$AA,9,0)-'TRADE IN'!$F447))</f>
        <v>8499</v>
      </c>
      <c r="L447" s="46">
        <f>IF(VLOOKUP($C447,REV!$C:$AA,10,0)-'TRADE IN'!$F447=0,"",(VLOOKUP($C447,REV!$C:$AA,10,0)-'TRADE IN'!$F447))</f>
        <v>8499</v>
      </c>
      <c r="M447" s="46">
        <f>IF(VLOOKUP($C447,REV!$C:$AA,11,0)-'TRADE IN'!$F447=0,"",(VLOOKUP($C447,REV!$C:$AA,11,0)-'TRADE IN'!$F447))</f>
        <v>8499</v>
      </c>
      <c r="N447" s="46">
        <f>IF(VLOOKUP($C447,REV!$C:$AA,12,0)-'TRADE IN'!$F447=0,"",(VLOOKUP($C447,REV!$C:$AA,12,0)-'TRADE IN'!$F447))</f>
        <v>8499</v>
      </c>
      <c r="O447" s="46">
        <f>IF(VLOOKUP($C447,REV!$C:$AA,13,0)-'TRADE IN'!$F447=0,"",(VLOOKUP($C447,REV!$C:$AA,13,0)-'TRADE IN'!$F447))</f>
        <v>8399</v>
      </c>
      <c r="P447" s="46">
        <f>IF(VLOOKUP($C447,REV!$C:$AA,14,0)-'TRADE IN'!$F447=0,"",(VLOOKUP($C447,REV!$C:$AA,14,0)-'TRADE IN'!$F447))</f>
        <v>8299</v>
      </c>
      <c r="Q447" s="46">
        <f>IF(VLOOKUP($C447,REV!$C:$AA,15,0)-'TRADE IN'!$F447=0,"",(VLOOKUP($C447,REV!$C:$AA,15,0)-'TRADE IN'!$F447))</f>
        <v>7799</v>
      </c>
      <c r="R447" s="46">
        <f>IF(VLOOKUP($C447,REV!$C:$AA,16,0)-'TRADE IN'!$F447=0,"",(VLOOKUP($C447,REV!$C:$AA,16,0)-'TRADE IN'!$F447))</f>
        <v>8399</v>
      </c>
      <c r="S447" s="46">
        <f>IF(VLOOKUP($C447,REV!$C:$AA,17,0)-'TRADE IN'!$F447=0,"",(VLOOKUP($C447,REV!$C:$AA,17,0)-'TRADE IN'!$F447))</f>
        <v>8299</v>
      </c>
      <c r="T447" s="46">
        <f>IF(VLOOKUP($C447,REV!$C:$AA,18,0)-'TRADE IN'!$F447=0,"",(VLOOKUP($C447,REV!$C:$AA,18,0)-'TRADE IN'!$F447))</f>
        <v>7799</v>
      </c>
      <c r="U447" s="46">
        <f>IF(VLOOKUP($C447,REV!$C:$AA,19,0)-'TRADE IN'!$F447=0,"",(VLOOKUP($C447,REV!$C:$AA,19,0)-'TRADE IN'!$F447))</f>
        <v>7799</v>
      </c>
      <c r="V447" s="46">
        <f>IF(VLOOKUP($C447,REV!$C:$AA,20,0)-'TRADE IN'!$F447=0,"",(VLOOKUP($C447,REV!$C:$AA,20,0)-'TRADE IN'!$F447))</f>
        <v>7799</v>
      </c>
      <c r="W447" s="46">
        <f>IF(VLOOKUP($C447,REV!$C:$AA,21,0)-'TRADE IN'!$F447=0,"",(VLOOKUP($C447,REV!$C:$AA,21,0)-'TRADE IN'!$F447))</f>
        <v>7799</v>
      </c>
      <c r="X447" s="46">
        <f>IF(VLOOKUP($C447,REV!$C:$AA,22,0)-'TRADE IN'!$F447=0,"",(VLOOKUP($C447,REV!$C:$AA,22,0)-'TRADE IN'!$F447))</f>
        <v>7699</v>
      </c>
      <c r="Y447" s="46">
        <f>IF(VLOOKUP($C447,REV!$C:$AA,23,0)-'TRADE IN'!$F447=0,"",(VLOOKUP($C447,REV!$C:$AA,23,0)-'TRADE IN'!$F447))</f>
        <v>6199</v>
      </c>
      <c r="Z447" s="46">
        <f>IF(VLOOKUP($C447,REV!$C:$AA,24,0)-'TRADE IN'!$F447=0,"",(VLOOKUP($C447,REV!$C:$AA,24,0)-'TRADE IN'!$F447))</f>
        <v>6199</v>
      </c>
      <c r="AA447" s="46">
        <f>IF(VLOOKUP($C447,REV!$C:$AA,25,0)-'TRADE IN'!$F447=0,"",(VLOOKUP($C447,REV!$C:$AA,25,0)-'TRADE IN'!$F447))</f>
        <v>5999</v>
      </c>
      <c r="AB447" s="45"/>
      <c r="AC447" s="45"/>
      <c r="AD447" s="45"/>
      <c r="AE447" s="45"/>
      <c r="AF447" s="45"/>
      <c r="AG447" s="45"/>
      <c r="AH447" s="45"/>
      <c r="AI447" s="45"/>
      <c r="AJ447" s="45"/>
      <c r="AK447" s="45"/>
      <c r="AL447" s="45"/>
      <c r="AM447" s="45"/>
      <c r="AN447" s="45"/>
      <c r="AO447" s="45"/>
      <c r="AP447" s="45"/>
      <c r="AQ447" s="45"/>
      <c r="AR447" s="45"/>
      <c r="AS447" s="45"/>
      <c r="AT447" s="45"/>
      <c r="AU447" s="45"/>
      <c r="AV447" s="47"/>
      <c r="AW447" s="48" t="str">
        <f>REV!AW447</f>
        <v>13.08.2026</v>
      </c>
      <c r="AX447" s="149" t="s">
        <v>68</v>
      </c>
    </row>
    <row r="448" spans="1:50" ht="22.5" customHeight="1">
      <c r="A448" s="41" t="s">
        <v>63</v>
      </c>
      <c r="B448" s="42" t="s">
        <v>64</v>
      </c>
      <c r="C448" s="43">
        <v>4016325</v>
      </c>
      <c r="D448" s="56" t="s">
        <v>644</v>
      </c>
      <c r="E448" s="56" t="s">
        <v>645</v>
      </c>
      <c r="F448" s="45">
        <v>100</v>
      </c>
      <c r="G448" s="45"/>
      <c r="H448" s="45"/>
      <c r="I448" s="45"/>
      <c r="J448" s="46">
        <f>IF(VLOOKUP($C448,REV!$C:$AA,8,0)-'TRADE IN'!$F448=0,"",(VLOOKUP($C448,REV!$C:$AA,8,0)-'TRADE IN'!$F448))</f>
        <v>3799</v>
      </c>
      <c r="K448" s="46">
        <f>IF(VLOOKUP($C448,REV!$C:$AA,9,0)-'TRADE IN'!$F448=0,"",(VLOOKUP($C448,REV!$C:$AA,9,0)-'TRADE IN'!$F448))</f>
        <v>3799</v>
      </c>
      <c r="L448" s="46">
        <f>IF(VLOOKUP($C448,REV!$C:$AA,10,0)-'TRADE IN'!$F448=0,"",(VLOOKUP($C448,REV!$C:$AA,10,0)-'TRADE IN'!$F448))</f>
        <v>3799</v>
      </c>
      <c r="M448" s="46">
        <f>IF(VLOOKUP($C448,REV!$C:$AA,11,0)-'TRADE IN'!$F448=0,"",(VLOOKUP($C448,REV!$C:$AA,11,0)-'TRADE IN'!$F448))</f>
        <v>3799</v>
      </c>
      <c r="N448" s="46">
        <f>IF(VLOOKUP($C448,REV!$C:$AA,12,0)-'TRADE IN'!$F448=0,"",(VLOOKUP($C448,REV!$C:$AA,12,0)-'TRADE IN'!$F448))</f>
        <v>3799</v>
      </c>
      <c r="O448" s="46">
        <f>IF(VLOOKUP($C448,REV!$C:$AA,13,0)-'TRADE IN'!$F448=0,"",(VLOOKUP($C448,REV!$C:$AA,13,0)-'TRADE IN'!$F448))</f>
        <v>3699</v>
      </c>
      <c r="P448" s="46">
        <f>IF(VLOOKUP($C448,REV!$C:$AA,14,0)-'TRADE IN'!$F448=0,"",(VLOOKUP($C448,REV!$C:$AA,14,0)-'TRADE IN'!$F448))</f>
        <v>3599</v>
      </c>
      <c r="Q448" s="46">
        <f>IF(VLOOKUP($C448,REV!$C:$AA,15,0)-'TRADE IN'!$F448=0,"",(VLOOKUP($C448,REV!$C:$AA,15,0)-'TRADE IN'!$F448))</f>
        <v>3399</v>
      </c>
      <c r="R448" s="46">
        <f>IF(VLOOKUP($C448,REV!$C:$AA,16,0)-'TRADE IN'!$F448=0,"",(VLOOKUP($C448,REV!$C:$AA,16,0)-'TRADE IN'!$F448))</f>
        <v>3699</v>
      </c>
      <c r="S448" s="46">
        <f>IF(VLOOKUP($C448,REV!$C:$AA,17,0)-'TRADE IN'!$F448=0,"",(VLOOKUP($C448,REV!$C:$AA,17,0)-'TRADE IN'!$F448))</f>
        <v>3599</v>
      </c>
      <c r="T448" s="46">
        <f>IF(VLOOKUP($C448,REV!$C:$AA,18,0)-'TRADE IN'!$F448=0,"",(VLOOKUP($C448,REV!$C:$AA,18,0)-'TRADE IN'!$F448))</f>
        <v>3399</v>
      </c>
      <c r="U448" s="46">
        <f>IF(VLOOKUP($C448,REV!$C:$AA,19,0)-'TRADE IN'!$F448=0,"",(VLOOKUP($C448,REV!$C:$AA,19,0)-'TRADE IN'!$F448))</f>
        <v>3399</v>
      </c>
      <c r="V448" s="46">
        <f>IF(VLOOKUP($C448,REV!$C:$AA,20,0)-'TRADE IN'!$F448=0,"",(VLOOKUP($C448,REV!$C:$AA,20,0)-'TRADE IN'!$F448))</f>
        <v>3399</v>
      </c>
      <c r="W448" s="46">
        <f>IF(VLOOKUP($C448,REV!$C:$AA,21,0)-'TRADE IN'!$F448=0,"",(VLOOKUP($C448,REV!$C:$AA,21,0)-'TRADE IN'!$F448))</f>
        <v>3399</v>
      </c>
      <c r="X448" s="46">
        <f>IF(VLOOKUP($C448,REV!$C:$AA,22,0)-'TRADE IN'!$F448=0,"",(VLOOKUP($C448,REV!$C:$AA,22,0)-'TRADE IN'!$F448))</f>
        <v>3299</v>
      </c>
      <c r="Y448" s="46">
        <f>IF(VLOOKUP($C448,REV!$C:$AA,23,0)-'TRADE IN'!$F448=0,"",(VLOOKUP($C448,REV!$C:$AA,23,0)-'TRADE IN'!$F448))</f>
        <v>2899</v>
      </c>
      <c r="Z448" s="46">
        <f>IF(VLOOKUP($C448,REV!$C:$AA,24,0)-'TRADE IN'!$F448=0,"",(VLOOKUP($C448,REV!$C:$AA,24,0)-'TRADE IN'!$F448))</f>
        <v>2899</v>
      </c>
      <c r="AA448" s="46">
        <f>IF(VLOOKUP($C448,REV!$C:$AA,25,0)-'TRADE IN'!$F448=0,"",(VLOOKUP($C448,REV!$C:$AA,25,0)-'TRADE IN'!$F448))</f>
        <v>2899</v>
      </c>
      <c r="AB448" s="45"/>
      <c r="AC448" s="45"/>
      <c r="AD448" s="45"/>
      <c r="AE448" s="45"/>
      <c r="AF448" s="45"/>
      <c r="AG448" s="45"/>
      <c r="AH448" s="45"/>
      <c r="AI448" s="45"/>
      <c r="AJ448" s="45"/>
      <c r="AK448" s="45"/>
      <c r="AL448" s="45"/>
      <c r="AM448" s="45"/>
      <c r="AN448" s="45"/>
      <c r="AO448" s="45"/>
      <c r="AP448" s="45"/>
      <c r="AQ448" s="45"/>
      <c r="AR448" s="45"/>
      <c r="AS448" s="45"/>
      <c r="AT448" s="45"/>
      <c r="AU448" s="45"/>
      <c r="AV448" s="47"/>
      <c r="AW448" s="48" t="str">
        <f>REV!AW448</f>
        <v>13.08.2026</v>
      </c>
      <c r="AX448" s="149" t="s">
        <v>68</v>
      </c>
    </row>
    <row r="449" spans="1:50" ht="22.5" customHeight="1">
      <c r="A449" s="41" t="s">
        <v>63</v>
      </c>
      <c r="B449" s="42" t="s">
        <v>64</v>
      </c>
      <c r="C449" s="43">
        <v>4016327</v>
      </c>
      <c r="D449" s="56" t="s">
        <v>644</v>
      </c>
      <c r="E449" s="56" t="s">
        <v>646</v>
      </c>
      <c r="F449" s="45">
        <v>100</v>
      </c>
      <c r="G449" s="45"/>
      <c r="H449" s="45"/>
      <c r="I449" s="45"/>
      <c r="J449" s="46">
        <f>IF(VLOOKUP($C449,REV!$C:$AA,8,0)-'TRADE IN'!$F449=0,"",(VLOOKUP($C449,REV!$C:$AA,8,0)-'TRADE IN'!$F449))</f>
        <v>3799</v>
      </c>
      <c r="K449" s="46">
        <f>IF(VLOOKUP($C449,REV!$C:$AA,9,0)-'TRADE IN'!$F449=0,"",(VLOOKUP($C449,REV!$C:$AA,9,0)-'TRADE IN'!$F449))</f>
        <v>3799</v>
      </c>
      <c r="L449" s="46">
        <f>IF(VLOOKUP($C449,REV!$C:$AA,10,0)-'TRADE IN'!$F449=0,"",(VLOOKUP($C449,REV!$C:$AA,10,0)-'TRADE IN'!$F449))</f>
        <v>3799</v>
      </c>
      <c r="M449" s="46">
        <f>IF(VLOOKUP($C449,REV!$C:$AA,11,0)-'TRADE IN'!$F449=0,"",(VLOOKUP($C449,REV!$C:$AA,11,0)-'TRADE IN'!$F449))</f>
        <v>3799</v>
      </c>
      <c r="N449" s="46">
        <f>IF(VLOOKUP($C449,REV!$C:$AA,12,0)-'TRADE IN'!$F449=0,"",(VLOOKUP($C449,REV!$C:$AA,12,0)-'TRADE IN'!$F449))</f>
        <v>3799</v>
      </c>
      <c r="O449" s="46">
        <f>IF(VLOOKUP($C449,REV!$C:$AA,13,0)-'TRADE IN'!$F449=0,"",(VLOOKUP($C449,REV!$C:$AA,13,0)-'TRADE IN'!$F449))</f>
        <v>3699</v>
      </c>
      <c r="P449" s="46">
        <f>IF(VLOOKUP($C449,REV!$C:$AA,14,0)-'TRADE IN'!$F449=0,"",(VLOOKUP($C449,REV!$C:$AA,14,0)-'TRADE IN'!$F449))</f>
        <v>3599</v>
      </c>
      <c r="Q449" s="46">
        <f>IF(VLOOKUP($C449,REV!$C:$AA,15,0)-'TRADE IN'!$F449=0,"",(VLOOKUP($C449,REV!$C:$AA,15,0)-'TRADE IN'!$F449))</f>
        <v>3399</v>
      </c>
      <c r="R449" s="46">
        <f>IF(VLOOKUP($C449,REV!$C:$AA,16,0)-'TRADE IN'!$F449=0,"",(VLOOKUP($C449,REV!$C:$AA,16,0)-'TRADE IN'!$F449))</f>
        <v>3699</v>
      </c>
      <c r="S449" s="46">
        <f>IF(VLOOKUP($C449,REV!$C:$AA,17,0)-'TRADE IN'!$F449=0,"",(VLOOKUP($C449,REV!$C:$AA,17,0)-'TRADE IN'!$F449))</f>
        <v>3599</v>
      </c>
      <c r="T449" s="46">
        <f>IF(VLOOKUP($C449,REV!$C:$AA,18,0)-'TRADE IN'!$F449=0,"",(VLOOKUP($C449,REV!$C:$AA,18,0)-'TRADE IN'!$F449))</f>
        <v>3399</v>
      </c>
      <c r="U449" s="46">
        <f>IF(VLOOKUP($C449,REV!$C:$AA,19,0)-'TRADE IN'!$F449=0,"",(VLOOKUP($C449,REV!$C:$AA,19,0)-'TRADE IN'!$F449))</f>
        <v>3399</v>
      </c>
      <c r="V449" s="46">
        <f>IF(VLOOKUP($C449,REV!$C:$AA,20,0)-'TRADE IN'!$F449=0,"",(VLOOKUP($C449,REV!$C:$AA,20,0)-'TRADE IN'!$F449))</f>
        <v>3399</v>
      </c>
      <c r="W449" s="46">
        <f>IF(VLOOKUP($C449,REV!$C:$AA,21,0)-'TRADE IN'!$F449=0,"",(VLOOKUP($C449,REV!$C:$AA,21,0)-'TRADE IN'!$F449))</f>
        <v>3399</v>
      </c>
      <c r="X449" s="46">
        <f>IF(VLOOKUP($C449,REV!$C:$AA,22,0)-'TRADE IN'!$F449=0,"",(VLOOKUP($C449,REV!$C:$AA,22,0)-'TRADE IN'!$F449))</f>
        <v>3299</v>
      </c>
      <c r="Y449" s="46">
        <f>IF(VLOOKUP($C449,REV!$C:$AA,23,0)-'TRADE IN'!$F449=0,"",(VLOOKUP($C449,REV!$C:$AA,23,0)-'TRADE IN'!$F449))</f>
        <v>2899</v>
      </c>
      <c r="Z449" s="46">
        <f>IF(VLOOKUP($C449,REV!$C:$AA,24,0)-'TRADE IN'!$F449=0,"",(VLOOKUP($C449,REV!$C:$AA,24,0)-'TRADE IN'!$F449))</f>
        <v>2899</v>
      </c>
      <c r="AA449" s="46">
        <f>IF(VLOOKUP($C449,REV!$C:$AA,25,0)-'TRADE IN'!$F449=0,"",(VLOOKUP($C449,REV!$C:$AA,25,0)-'TRADE IN'!$F449))</f>
        <v>2899</v>
      </c>
      <c r="AB449" s="45"/>
      <c r="AC449" s="45"/>
      <c r="AD449" s="45"/>
      <c r="AE449" s="45"/>
      <c r="AF449" s="45"/>
      <c r="AG449" s="45"/>
      <c r="AH449" s="45"/>
      <c r="AI449" s="45"/>
      <c r="AJ449" s="45"/>
      <c r="AK449" s="45"/>
      <c r="AL449" s="45"/>
      <c r="AM449" s="45"/>
      <c r="AN449" s="45"/>
      <c r="AO449" s="45"/>
      <c r="AP449" s="45"/>
      <c r="AQ449" s="45"/>
      <c r="AR449" s="45"/>
      <c r="AS449" s="45"/>
      <c r="AT449" s="45"/>
      <c r="AU449" s="45"/>
      <c r="AV449" s="47"/>
      <c r="AW449" s="48" t="str">
        <f>REV!AW449</f>
        <v>13.08.2026</v>
      </c>
      <c r="AX449" s="149" t="s">
        <v>68</v>
      </c>
    </row>
    <row r="450" spans="1:50" ht="22.5" customHeight="1">
      <c r="A450" s="41" t="s">
        <v>63</v>
      </c>
      <c r="B450" s="42" t="s">
        <v>64</v>
      </c>
      <c r="C450" s="43">
        <v>4017179</v>
      </c>
      <c r="D450" s="56" t="s">
        <v>647</v>
      </c>
      <c r="E450" s="56" t="s">
        <v>648</v>
      </c>
      <c r="F450" s="45">
        <v>100</v>
      </c>
      <c r="G450" s="45"/>
      <c r="H450" s="45"/>
      <c r="I450" s="45"/>
      <c r="J450" s="46">
        <f>IF(VLOOKUP($C450,REV!$C:$AA,8,0)-'TRADE IN'!$F450=0,"",(VLOOKUP($C450,REV!$C:$AA,8,0)-'TRADE IN'!$F450))</f>
        <v>6599</v>
      </c>
      <c r="K450" s="46">
        <f>IF(VLOOKUP($C450,REV!$C:$AA,9,0)-'TRADE IN'!$F450=0,"",(VLOOKUP($C450,REV!$C:$AA,9,0)-'TRADE IN'!$F450))</f>
        <v>6599</v>
      </c>
      <c r="L450" s="46">
        <f>IF(VLOOKUP($C450,REV!$C:$AA,10,0)-'TRADE IN'!$F450=0,"",(VLOOKUP($C450,REV!$C:$AA,10,0)-'TRADE IN'!$F450))</f>
        <v>6599</v>
      </c>
      <c r="M450" s="46">
        <f>IF(VLOOKUP($C450,REV!$C:$AA,11,0)-'TRADE IN'!$F450=0,"",(VLOOKUP($C450,REV!$C:$AA,11,0)-'TRADE IN'!$F450))</f>
        <v>6599</v>
      </c>
      <c r="N450" s="46">
        <f>IF(VLOOKUP($C450,REV!$C:$AA,12,0)-'TRADE IN'!$F450=0,"",(VLOOKUP($C450,REV!$C:$AA,12,0)-'TRADE IN'!$F450))</f>
        <v>6599</v>
      </c>
      <c r="O450" s="46">
        <f>IF(VLOOKUP($C450,REV!$C:$AA,13,0)-'TRADE IN'!$F450=0,"",(VLOOKUP($C450,REV!$C:$AA,13,0)-'TRADE IN'!$F450))</f>
        <v>6499</v>
      </c>
      <c r="P450" s="46">
        <f>IF(VLOOKUP($C450,REV!$C:$AA,14,0)-'TRADE IN'!$F450=0,"",(VLOOKUP($C450,REV!$C:$AA,14,0)-'TRADE IN'!$F450))</f>
        <v>6399</v>
      </c>
      <c r="Q450" s="46">
        <f>IF(VLOOKUP($C450,REV!$C:$AA,15,0)-'TRADE IN'!$F450=0,"",(VLOOKUP($C450,REV!$C:$AA,15,0)-'TRADE IN'!$F450))</f>
        <v>6099</v>
      </c>
      <c r="R450" s="46">
        <f>IF(VLOOKUP($C450,REV!$C:$AA,16,0)-'TRADE IN'!$F450=0,"",(VLOOKUP($C450,REV!$C:$AA,16,0)-'TRADE IN'!$F450))</f>
        <v>6499</v>
      </c>
      <c r="S450" s="46">
        <f>IF(VLOOKUP($C450,REV!$C:$AA,17,0)-'TRADE IN'!$F450=0,"",(VLOOKUP($C450,REV!$C:$AA,17,0)-'TRADE IN'!$F450))</f>
        <v>6399</v>
      </c>
      <c r="T450" s="46">
        <f>IF(VLOOKUP($C450,REV!$C:$AA,18,0)-'TRADE IN'!$F450=0,"",(VLOOKUP($C450,REV!$C:$AA,18,0)-'TRADE IN'!$F450))</f>
        <v>6099</v>
      </c>
      <c r="U450" s="46">
        <f>IF(VLOOKUP($C450,REV!$C:$AA,19,0)-'TRADE IN'!$F450=0,"",(VLOOKUP($C450,REV!$C:$AA,19,0)-'TRADE IN'!$F450))</f>
        <v>6099</v>
      </c>
      <c r="V450" s="46">
        <f>IF(VLOOKUP($C450,REV!$C:$AA,20,0)-'TRADE IN'!$F450=0,"",(VLOOKUP($C450,REV!$C:$AA,20,0)-'TRADE IN'!$F450))</f>
        <v>6099</v>
      </c>
      <c r="W450" s="46">
        <f>IF(VLOOKUP($C450,REV!$C:$AA,21,0)-'TRADE IN'!$F450=0,"",(VLOOKUP($C450,REV!$C:$AA,21,0)-'TRADE IN'!$F450))</f>
        <v>6099</v>
      </c>
      <c r="X450" s="46">
        <f>IF(VLOOKUP($C450,REV!$C:$AA,22,0)-'TRADE IN'!$F450=0,"",(VLOOKUP($C450,REV!$C:$AA,22,0)-'TRADE IN'!$F450))</f>
        <v>5999</v>
      </c>
      <c r="Y450" s="46">
        <f>IF(VLOOKUP($C450,REV!$C:$AA,23,0)-'TRADE IN'!$F450=0,"",(VLOOKUP($C450,REV!$C:$AA,23,0)-'TRADE IN'!$F450))</f>
        <v>3899</v>
      </c>
      <c r="Z450" s="46">
        <f>IF(VLOOKUP($C450,REV!$C:$AA,24,0)-'TRADE IN'!$F450=0,"",(VLOOKUP($C450,REV!$C:$AA,24,0)-'TRADE IN'!$F450))</f>
        <v>3899</v>
      </c>
      <c r="AA450" s="46">
        <f>IF(VLOOKUP($C450,REV!$C:$AA,25,0)-'TRADE IN'!$F450=0,"",(VLOOKUP($C450,REV!$C:$AA,25,0)-'TRADE IN'!$F450))</f>
        <v>3899</v>
      </c>
      <c r="AB450" s="45"/>
      <c r="AC450" s="45"/>
      <c r="AD450" s="45"/>
      <c r="AE450" s="45"/>
      <c r="AF450" s="45"/>
      <c r="AG450" s="45"/>
      <c r="AH450" s="45"/>
      <c r="AI450" s="45"/>
      <c r="AJ450" s="45"/>
      <c r="AK450" s="45"/>
      <c r="AL450" s="45"/>
      <c r="AM450" s="45"/>
      <c r="AN450" s="45"/>
      <c r="AO450" s="45"/>
      <c r="AP450" s="45"/>
      <c r="AQ450" s="45"/>
      <c r="AR450" s="45"/>
      <c r="AS450" s="45"/>
      <c r="AT450" s="45"/>
      <c r="AU450" s="45"/>
      <c r="AV450" s="47"/>
      <c r="AW450" s="48" t="str">
        <f>REV!AW450</f>
        <v>13.08.2026</v>
      </c>
      <c r="AX450" s="149" t="s">
        <v>68</v>
      </c>
    </row>
    <row r="451" spans="1:50" ht="22.5" customHeight="1">
      <c r="A451" s="41" t="s">
        <v>63</v>
      </c>
      <c r="B451" s="42" t="s">
        <v>64</v>
      </c>
      <c r="C451" s="43">
        <v>4017187</v>
      </c>
      <c r="D451" s="56" t="s">
        <v>649</v>
      </c>
      <c r="E451" s="56" t="s">
        <v>650</v>
      </c>
      <c r="F451" s="45">
        <v>100</v>
      </c>
      <c r="G451" s="45"/>
      <c r="H451" s="45"/>
      <c r="I451" s="45"/>
      <c r="J451" s="46">
        <f>IF(VLOOKUP($C451,REV!$C:$AA,8,0)-'TRADE IN'!$F451=0,"",(VLOOKUP($C451,REV!$C:$AA,8,0)-'TRADE IN'!$F451))</f>
        <v>6799</v>
      </c>
      <c r="K451" s="46">
        <f>IF(VLOOKUP($C451,REV!$C:$AA,9,0)-'TRADE IN'!$F451=0,"",(VLOOKUP($C451,REV!$C:$AA,9,0)-'TRADE IN'!$F451))</f>
        <v>6799</v>
      </c>
      <c r="L451" s="46">
        <f>IF(VLOOKUP($C451,REV!$C:$AA,10,0)-'TRADE IN'!$F451=0,"",(VLOOKUP($C451,REV!$C:$AA,10,0)-'TRADE IN'!$F451))</f>
        <v>6799</v>
      </c>
      <c r="M451" s="46">
        <f>IF(VLOOKUP($C451,REV!$C:$AA,11,0)-'TRADE IN'!$F451=0,"",(VLOOKUP($C451,REV!$C:$AA,11,0)-'TRADE IN'!$F451))</f>
        <v>6799</v>
      </c>
      <c r="N451" s="46">
        <f>IF(VLOOKUP($C451,REV!$C:$AA,12,0)-'TRADE IN'!$F451=0,"",(VLOOKUP($C451,REV!$C:$AA,12,0)-'TRADE IN'!$F451))</f>
        <v>6799</v>
      </c>
      <c r="O451" s="46">
        <f>IF(VLOOKUP($C451,REV!$C:$AA,13,0)-'TRADE IN'!$F451=0,"",(VLOOKUP($C451,REV!$C:$AA,13,0)-'TRADE IN'!$F451))</f>
        <v>6699</v>
      </c>
      <c r="P451" s="46">
        <f>IF(VLOOKUP($C451,REV!$C:$AA,14,0)-'TRADE IN'!$F451=0,"",(VLOOKUP($C451,REV!$C:$AA,14,0)-'TRADE IN'!$F451))</f>
        <v>6599</v>
      </c>
      <c r="Q451" s="46">
        <f>IF(VLOOKUP($C451,REV!$C:$AA,15,0)-'TRADE IN'!$F451=0,"",(VLOOKUP($C451,REV!$C:$AA,15,0)-'TRADE IN'!$F451))</f>
        <v>6299</v>
      </c>
      <c r="R451" s="46">
        <f>IF(VLOOKUP($C451,REV!$C:$AA,16,0)-'TRADE IN'!$F451=0,"",(VLOOKUP($C451,REV!$C:$AA,16,0)-'TRADE IN'!$F451))</f>
        <v>6699</v>
      </c>
      <c r="S451" s="46">
        <f>IF(VLOOKUP($C451,REV!$C:$AA,17,0)-'TRADE IN'!$F451=0,"",(VLOOKUP($C451,REV!$C:$AA,17,0)-'TRADE IN'!$F451))</f>
        <v>6599</v>
      </c>
      <c r="T451" s="46">
        <f>IF(VLOOKUP($C451,REV!$C:$AA,18,0)-'TRADE IN'!$F451=0,"",(VLOOKUP($C451,REV!$C:$AA,18,0)-'TRADE IN'!$F451))</f>
        <v>6299</v>
      </c>
      <c r="U451" s="46">
        <f>IF(VLOOKUP($C451,REV!$C:$AA,19,0)-'TRADE IN'!$F451=0,"",(VLOOKUP($C451,REV!$C:$AA,19,0)-'TRADE IN'!$F451))</f>
        <v>6299</v>
      </c>
      <c r="V451" s="46">
        <f>IF(VLOOKUP($C451,REV!$C:$AA,20,0)-'TRADE IN'!$F451=0,"",(VLOOKUP($C451,REV!$C:$AA,20,0)-'TRADE IN'!$F451))</f>
        <v>6299</v>
      </c>
      <c r="W451" s="46">
        <f>IF(VLOOKUP($C451,REV!$C:$AA,21,0)-'TRADE IN'!$F451=0,"",(VLOOKUP($C451,REV!$C:$AA,21,0)-'TRADE IN'!$F451))</f>
        <v>6299</v>
      </c>
      <c r="X451" s="46">
        <f>IF(VLOOKUP($C451,REV!$C:$AA,22,0)-'TRADE IN'!$F451=0,"",(VLOOKUP($C451,REV!$C:$AA,22,0)-'TRADE IN'!$F451))</f>
        <v>6199</v>
      </c>
      <c r="Y451" s="46">
        <f>IF(VLOOKUP($C451,REV!$C:$AA,23,0)-'TRADE IN'!$F451=0,"",(VLOOKUP($C451,REV!$C:$AA,23,0)-'TRADE IN'!$F451))</f>
        <v>4599</v>
      </c>
      <c r="Z451" s="46">
        <f>IF(VLOOKUP($C451,REV!$C:$AA,24,0)-'TRADE IN'!$F451=0,"",(VLOOKUP($C451,REV!$C:$AA,24,0)-'TRADE IN'!$F451))</f>
        <v>4599</v>
      </c>
      <c r="AA451" s="46">
        <f>IF(VLOOKUP($C451,REV!$C:$AA,25,0)-'TRADE IN'!$F451=0,"",(VLOOKUP($C451,REV!$C:$AA,25,0)-'TRADE IN'!$F451))</f>
        <v>4549</v>
      </c>
      <c r="AB451" s="45"/>
      <c r="AC451" s="45"/>
      <c r="AD451" s="45"/>
      <c r="AE451" s="45"/>
      <c r="AF451" s="45"/>
      <c r="AG451" s="45"/>
      <c r="AH451" s="45"/>
      <c r="AI451" s="45"/>
      <c r="AJ451" s="45"/>
      <c r="AK451" s="45"/>
      <c r="AL451" s="45"/>
      <c r="AM451" s="45"/>
      <c r="AN451" s="45"/>
      <c r="AO451" s="45"/>
      <c r="AP451" s="45"/>
      <c r="AQ451" s="45"/>
      <c r="AR451" s="45"/>
      <c r="AS451" s="45"/>
      <c r="AT451" s="45"/>
      <c r="AU451" s="45"/>
      <c r="AV451" s="47"/>
      <c r="AW451" s="48" t="str">
        <f>REV!AW451</f>
        <v>13.08.2026</v>
      </c>
      <c r="AX451" s="149" t="s">
        <v>68</v>
      </c>
    </row>
    <row r="452" spans="1:50" ht="22.5" customHeight="1">
      <c r="A452" s="41" t="s">
        <v>63</v>
      </c>
      <c r="B452" s="42" t="s">
        <v>64</v>
      </c>
      <c r="C452" s="43">
        <v>4017183</v>
      </c>
      <c r="D452" s="56" t="s">
        <v>651</v>
      </c>
      <c r="E452" s="56" t="s">
        <v>652</v>
      </c>
      <c r="F452" s="45">
        <v>500</v>
      </c>
      <c r="G452" s="45"/>
      <c r="H452" s="45"/>
      <c r="I452" s="45"/>
      <c r="J452" s="46">
        <f>IF(VLOOKUP($C452,REV!$C:$AA,8,0)-'TRADE IN'!$F452=0,"",(VLOOKUP($C452,REV!$C:$AA,8,0)-'TRADE IN'!$F452))</f>
        <v>3899</v>
      </c>
      <c r="K452" s="46">
        <f>IF(VLOOKUP($C452,REV!$C:$AA,9,0)-'TRADE IN'!$F452=0,"",(VLOOKUP($C452,REV!$C:$AA,9,0)-'TRADE IN'!$F452))</f>
        <v>3899</v>
      </c>
      <c r="L452" s="46">
        <f>IF(VLOOKUP($C452,REV!$C:$AA,10,0)-'TRADE IN'!$F452=0,"",(VLOOKUP($C452,REV!$C:$AA,10,0)-'TRADE IN'!$F452))</f>
        <v>3899</v>
      </c>
      <c r="M452" s="46">
        <f>IF(VLOOKUP($C452,REV!$C:$AA,11,0)-'TRADE IN'!$F452=0,"",(VLOOKUP($C452,REV!$C:$AA,11,0)-'TRADE IN'!$F452))</f>
        <v>3899</v>
      </c>
      <c r="N452" s="46">
        <f>IF(VLOOKUP($C452,REV!$C:$AA,12,0)-'TRADE IN'!$F452=0,"",(VLOOKUP($C452,REV!$C:$AA,12,0)-'TRADE IN'!$F452))</f>
        <v>3899</v>
      </c>
      <c r="O452" s="46">
        <f>IF(VLOOKUP($C452,REV!$C:$AA,13,0)-'TRADE IN'!$F452=0,"",(VLOOKUP($C452,REV!$C:$AA,13,0)-'TRADE IN'!$F452))</f>
        <v>3799</v>
      </c>
      <c r="P452" s="46">
        <f>IF(VLOOKUP($C452,REV!$C:$AA,14,0)-'TRADE IN'!$F452=0,"",(VLOOKUP($C452,REV!$C:$AA,14,0)-'TRADE IN'!$F452))</f>
        <v>3699</v>
      </c>
      <c r="Q452" s="46">
        <f>IF(VLOOKUP($C452,REV!$C:$AA,15,0)-'TRADE IN'!$F452=0,"",(VLOOKUP($C452,REV!$C:$AA,15,0)-'TRADE IN'!$F452))</f>
        <v>3499</v>
      </c>
      <c r="R452" s="46">
        <f>IF(VLOOKUP($C452,REV!$C:$AA,16,0)-'TRADE IN'!$F452=0,"",(VLOOKUP($C452,REV!$C:$AA,16,0)-'TRADE IN'!$F452))</f>
        <v>3799</v>
      </c>
      <c r="S452" s="46">
        <f>IF(VLOOKUP($C452,REV!$C:$AA,17,0)-'TRADE IN'!$F452=0,"",(VLOOKUP($C452,REV!$C:$AA,17,0)-'TRADE IN'!$F452))</f>
        <v>3699</v>
      </c>
      <c r="T452" s="46">
        <f>IF(VLOOKUP($C452,REV!$C:$AA,18,0)-'TRADE IN'!$F452=0,"",(VLOOKUP($C452,REV!$C:$AA,18,0)-'TRADE IN'!$F452))</f>
        <v>3499</v>
      </c>
      <c r="U452" s="46">
        <f>IF(VLOOKUP($C452,REV!$C:$AA,19,0)-'TRADE IN'!$F452=0,"",(VLOOKUP($C452,REV!$C:$AA,19,0)-'TRADE IN'!$F452))</f>
        <v>3499</v>
      </c>
      <c r="V452" s="46">
        <f>IF(VLOOKUP($C452,REV!$C:$AA,20,0)-'TRADE IN'!$F452=0,"",(VLOOKUP($C452,REV!$C:$AA,20,0)-'TRADE IN'!$F452))</f>
        <v>3499</v>
      </c>
      <c r="W452" s="46">
        <f>IF(VLOOKUP($C452,REV!$C:$AA,21,0)-'TRADE IN'!$F452=0,"",(VLOOKUP($C452,REV!$C:$AA,21,0)-'TRADE IN'!$F452))</f>
        <v>3499</v>
      </c>
      <c r="X452" s="46">
        <f>IF(VLOOKUP($C452,REV!$C:$AA,22,0)-'TRADE IN'!$F452=0,"",(VLOOKUP($C452,REV!$C:$AA,22,0)-'TRADE IN'!$F452))</f>
        <v>3399</v>
      </c>
      <c r="Y452" s="46">
        <f>IF(VLOOKUP($C452,REV!$C:$AA,23,0)-'TRADE IN'!$F452=0,"",(VLOOKUP($C452,REV!$C:$AA,23,0)-'TRADE IN'!$F452))</f>
        <v>1899</v>
      </c>
      <c r="Z452" s="46">
        <f>IF(VLOOKUP($C452,REV!$C:$AA,24,0)-'TRADE IN'!$F452=0,"",(VLOOKUP($C452,REV!$C:$AA,24,0)-'TRADE IN'!$F452))</f>
        <v>1899</v>
      </c>
      <c r="AA452" s="46">
        <f>IF(VLOOKUP($C452,REV!$C:$AA,25,0)-'TRADE IN'!$F452=0,"",(VLOOKUP($C452,REV!$C:$AA,25,0)-'TRADE IN'!$F452))</f>
        <v>1899</v>
      </c>
      <c r="AB452" s="45"/>
      <c r="AC452" s="45"/>
      <c r="AD452" s="45"/>
      <c r="AE452" s="45"/>
      <c r="AF452" s="45"/>
      <c r="AG452" s="45"/>
      <c r="AH452" s="45"/>
      <c r="AI452" s="45"/>
      <c r="AJ452" s="45"/>
      <c r="AK452" s="45"/>
      <c r="AL452" s="45"/>
      <c r="AM452" s="45"/>
      <c r="AN452" s="45"/>
      <c r="AO452" s="45"/>
      <c r="AP452" s="45"/>
      <c r="AQ452" s="45"/>
      <c r="AR452" s="45"/>
      <c r="AS452" s="45"/>
      <c r="AT452" s="45"/>
      <c r="AU452" s="45"/>
      <c r="AV452" s="47"/>
      <c r="AW452" s="48" t="str">
        <f>REV!AW452</f>
        <v>13.08.2026</v>
      </c>
      <c r="AX452" s="149" t="s">
        <v>68</v>
      </c>
    </row>
    <row r="453" spans="1:50" ht="22.5" customHeight="1">
      <c r="A453" s="41" t="s">
        <v>63</v>
      </c>
      <c r="B453" s="42" t="s">
        <v>64</v>
      </c>
      <c r="C453" s="43">
        <v>4016326</v>
      </c>
      <c r="D453" s="56" t="s">
        <v>653</v>
      </c>
      <c r="E453" s="56" t="s">
        <v>654</v>
      </c>
      <c r="F453" s="45">
        <v>100</v>
      </c>
      <c r="G453" s="45"/>
      <c r="H453" s="45"/>
      <c r="I453" s="45"/>
      <c r="J453" s="46">
        <f>IF(VLOOKUP($C453,REV!$C:$AA,8,0)-'TRADE IN'!$F453=0,"",(VLOOKUP($C453,REV!$C:$AA,8,0)-'TRADE IN'!$F453))</f>
        <v>7199</v>
      </c>
      <c r="K453" s="46">
        <f>IF(VLOOKUP($C453,REV!$C:$AA,9,0)-'TRADE IN'!$F453=0,"",(VLOOKUP($C453,REV!$C:$AA,9,0)-'TRADE IN'!$F453))</f>
        <v>7199</v>
      </c>
      <c r="L453" s="46">
        <f>IF(VLOOKUP($C453,REV!$C:$AA,10,0)-'TRADE IN'!$F453=0,"",(VLOOKUP($C453,REV!$C:$AA,10,0)-'TRADE IN'!$F453))</f>
        <v>7199</v>
      </c>
      <c r="M453" s="46">
        <f>IF(VLOOKUP($C453,REV!$C:$AA,11,0)-'TRADE IN'!$F453=0,"",(VLOOKUP($C453,REV!$C:$AA,11,0)-'TRADE IN'!$F453))</f>
        <v>7199</v>
      </c>
      <c r="N453" s="46">
        <f>IF(VLOOKUP($C453,REV!$C:$AA,12,0)-'TRADE IN'!$F453=0,"",(VLOOKUP($C453,REV!$C:$AA,12,0)-'TRADE IN'!$F453))</f>
        <v>7199</v>
      </c>
      <c r="O453" s="46">
        <f>IF(VLOOKUP($C453,REV!$C:$AA,13,0)-'TRADE IN'!$F453=0,"",(VLOOKUP($C453,REV!$C:$AA,13,0)-'TRADE IN'!$F453))</f>
        <v>7099</v>
      </c>
      <c r="P453" s="46">
        <f>IF(VLOOKUP($C453,REV!$C:$AA,14,0)-'TRADE IN'!$F453=0,"",(VLOOKUP($C453,REV!$C:$AA,14,0)-'TRADE IN'!$F453))</f>
        <v>6999</v>
      </c>
      <c r="Q453" s="46">
        <f>IF(VLOOKUP($C453,REV!$C:$AA,15,0)-'TRADE IN'!$F453=0,"",(VLOOKUP($C453,REV!$C:$AA,15,0)-'TRADE IN'!$F453))</f>
        <v>6699</v>
      </c>
      <c r="R453" s="46">
        <f>IF(VLOOKUP($C453,REV!$C:$AA,16,0)-'TRADE IN'!$F453=0,"",(VLOOKUP($C453,REV!$C:$AA,16,0)-'TRADE IN'!$F453))</f>
        <v>7099</v>
      </c>
      <c r="S453" s="46">
        <f>IF(VLOOKUP($C453,REV!$C:$AA,17,0)-'TRADE IN'!$F453=0,"",(VLOOKUP($C453,REV!$C:$AA,17,0)-'TRADE IN'!$F453))</f>
        <v>6999</v>
      </c>
      <c r="T453" s="46">
        <f>IF(VLOOKUP($C453,REV!$C:$AA,18,0)-'TRADE IN'!$F453=0,"",(VLOOKUP($C453,REV!$C:$AA,18,0)-'TRADE IN'!$F453))</f>
        <v>6699</v>
      </c>
      <c r="U453" s="46">
        <f>IF(VLOOKUP($C453,REV!$C:$AA,19,0)-'TRADE IN'!$F453=0,"",(VLOOKUP($C453,REV!$C:$AA,19,0)-'TRADE IN'!$F453))</f>
        <v>6699</v>
      </c>
      <c r="V453" s="46">
        <f>IF(VLOOKUP($C453,REV!$C:$AA,20,0)-'TRADE IN'!$F453=0,"",(VLOOKUP($C453,REV!$C:$AA,20,0)-'TRADE IN'!$F453))</f>
        <v>6699</v>
      </c>
      <c r="W453" s="46">
        <f>IF(VLOOKUP($C453,REV!$C:$AA,21,0)-'TRADE IN'!$F453=0,"",(VLOOKUP($C453,REV!$C:$AA,21,0)-'TRADE IN'!$F453))</f>
        <v>6699</v>
      </c>
      <c r="X453" s="46">
        <f>IF(VLOOKUP($C453,REV!$C:$AA,22,0)-'TRADE IN'!$F453=0,"",(VLOOKUP($C453,REV!$C:$AA,22,0)-'TRADE IN'!$F453))</f>
        <v>6599</v>
      </c>
      <c r="Y453" s="46">
        <f>IF(VLOOKUP($C453,REV!$C:$AA,23,0)-'TRADE IN'!$F453=0,"",(VLOOKUP($C453,REV!$C:$AA,23,0)-'TRADE IN'!$F453))</f>
        <v>4899</v>
      </c>
      <c r="Z453" s="46">
        <f>IF(VLOOKUP($C453,REV!$C:$AA,24,0)-'TRADE IN'!$F453=0,"",(VLOOKUP($C453,REV!$C:$AA,24,0)-'TRADE IN'!$F453))</f>
        <v>4899</v>
      </c>
      <c r="AA453" s="46">
        <f>IF(VLOOKUP($C453,REV!$C:$AA,25,0)-'TRADE IN'!$F453=0,"",(VLOOKUP($C453,REV!$C:$AA,25,0)-'TRADE IN'!$F453))</f>
        <v>4899</v>
      </c>
      <c r="AB453" s="45"/>
      <c r="AC453" s="45"/>
      <c r="AD453" s="45"/>
      <c r="AE453" s="45"/>
      <c r="AF453" s="45"/>
      <c r="AG453" s="45"/>
      <c r="AH453" s="45"/>
      <c r="AI453" s="45"/>
      <c r="AJ453" s="45"/>
      <c r="AK453" s="45"/>
      <c r="AL453" s="45"/>
      <c r="AM453" s="45"/>
      <c r="AN453" s="45"/>
      <c r="AO453" s="45"/>
      <c r="AP453" s="45"/>
      <c r="AQ453" s="45"/>
      <c r="AR453" s="45"/>
      <c r="AS453" s="45"/>
      <c r="AT453" s="45"/>
      <c r="AU453" s="45"/>
      <c r="AV453" s="47"/>
      <c r="AW453" s="48" t="str">
        <f>REV!AW453</f>
        <v>13.08.2026</v>
      </c>
      <c r="AX453" s="149" t="s">
        <v>68</v>
      </c>
    </row>
    <row r="454" spans="1:50" ht="22.5" customHeight="1">
      <c r="A454" s="41" t="s">
        <v>63</v>
      </c>
      <c r="B454" s="42" t="s">
        <v>64</v>
      </c>
      <c r="C454" s="63">
        <v>4017186</v>
      </c>
      <c r="D454" s="64" t="s">
        <v>655</v>
      </c>
      <c r="E454" s="64" t="s">
        <v>656</v>
      </c>
      <c r="F454" s="46">
        <v>700</v>
      </c>
      <c r="G454" s="150"/>
      <c r="H454" s="150"/>
      <c r="I454" s="150"/>
      <c r="J454" s="46">
        <f>IF(VLOOKUP($C454,REV!$C:$AA,8,0)-'TRADE IN'!$F454=0,"",(VLOOKUP($C454,REV!$C:$AA,8,0)-'TRADE IN'!$F454))</f>
        <v>9099</v>
      </c>
      <c r="K454" s="46">
        <f>IF(VLOOKUP($C454,REV!$C:$AA,9,0)-'TRADE IN'!$F454=0,"",(VLOOKUP($C454,REV!$C:$AA,9,0)-'TRADE IN'!$F454))</f>
        <v>9099</v>
      </c>
      <c r="L454" s="46">
        <f>IF(VLOOKUP($C454,REV!$C:$AA,10,0)-'TRADE IN'!$F454=0,"",(VLOOKUP($C454,REV!$C:$AA,10,0)-'TRADE IN'!$F454))</f>
        <v>9099</v>
      </c>
      <c r="M454" s="46">
        <f>IF(VLOOKUP($C454,REV!$C:$AA,11,0)-'TRADE IN'!$F454=0,"",(VLOOKUP($C454,REV!$C:$AA,11,0)-'TRADE IN'!$F454))</f>
        <v>9099</v>
      </c>
      <c r="N454" s="46">
        <f>IF(VLOOKUP($C454,REV!$C:$AA,12,0)-'TRADE IN'!$F454=0,"",(VLOOKUP($C454,REV!$C:$AA,12,0)-'TRADE IN'!$F454))</f>
        <v>9099</v>
      </c>
      <c r="O454" s="46">
        <f>IF(VLOOKUP($C454,REV!$C:$AA,13,0)-'TRADE IN'!$F454=0,"",(VLOOKUP($C454,REV!$C:$AA,13,0)-'TRADE IN'!$F454))</f>
        <v>9049</v>
      </c>
      <c r="P454" s="46">
        <f>IF(VLOOKUP($C454,REV!$C:$AA,14,0)-'TRADE IN'!$F454=0,"",(VLOOKUP($C454,REV!$C:$AA,14,0)-'TRADE IN'!$F454))</f>
        <v>8999</v>
      </c>
      <c r="Q454" s="46">
        <f>IF(VLOOKUP($C454,REV!$C:$AA,15,0)-'TRADE IN'!$F454=0,"",(VLOOKUP($C454,REV!$C:$AA,15,0)-'TRADE IN'!$F454))</f>
        <v>8799</v>
      </c>
      <c r="R454" s="46">
        <f>IF(VLOOKUP($C454,REV!$C:$AA,16,0)-'TRADE IN'!$F454=0,"",(VLOOKUP($C454,REV!$C:$AA,16,0)-'TRADE IN'!$F454))</f>
        <v>9049</v>
      </c>
      <c r="S454" s="46">
        <f>IF(VLOOKUP($C454,REV!$C:$AA,17,0)-'TRADE IN'!$F454=0,"",(VLOOKUP($C454,REV!$C:$AA,17,0)-'TRADE IN'!$F454))</f>
        <v>8999</v>
      </c>
      <c r="T454" s="46">
        <f>IF(VLOOKUP($C454,REV!$C:$AA,18,0)-'TRADE IN'!$F454=0,"",(VLOOKUP($C454,REV!$C:$AA,18,0)-'TRADE IN'!$F454))</f>
        <v>8799</v>
      </c>
      <c r="U454" s="46">
        <f>IF(VLOOKUP($C454,REV!$C:$AA,19,0)-'TRADE IN'!$F454=0,"",(VLOOKUP($C454,REV!$C:$AA,19,0)-'TRADE IN'!$F454))</f>
        <v>8799</v>
      </c>
      <c r="V454" s="46">
        <f>IF(VLOOKUP($C454,REV!$C:$AA,20,0)-'TRADE IN'!$F454=0,"",(VLOOKUP($C454,REV!$C:$AA,20,0)-'TRADE IN'!$F454))</f>
        <v>8799</v>
      </c>
      <c r="W454" s="46">
        <f>IF(VLOOKUP($C454,REV!$C:$AA,21,0)-'TRADE IN'!$F454=0,"",(VLOOKUP($C454,REV!$C:$AA,21,0)-'TRADE IN'!$F454))</f>
        <v>8799</v>
      </c>
      <c r="X454" s="46">
        <f>IF(VLOOKUP($C454,REV!$C:$AA,22,0)-'TRADE IN'!$F454=0,"",(VLOOKUP($C454,REV!$C:$AA,22,0)-'TRADE IN'!$F454))</f>
        <v>8749</v>
      </c>
      <c r="Y454" s="46">
        <f>IF(VLOOKUP($C454,REV!$C:$AA,23,0)-'TRADE IN'!$F454=0,"",(VLOOKUP($C454,REV!$C:$AA,23,0)-'TRADE IN'!$F454))</f>
        <v>6299</v>
      </c>
      <c r="Z454" s="46">
        <f>IF(VLOOKUP($C454,REV!$C:$AA,24,0)-'TRADE IN'!$F454=0,"",(VLOOKUP($C454,REV!$C:$AA,24,0)-'TRADE IN'!$F454))</f>
        <v>6299</v>
      </c>
      <c r="AA454" s="46">
        <f>IF(VLOOKUP($C454,REV!$C:$AA,25,0)-'TRADE IN'!$F454=0,"",(VLOOKUP($C454,REV!$C:$AA,25,0)-'TRADE IN'!$F454))</f>
        <v>6299</v>
      </c>
      <c r="AB454" s="45"/>
      <c r="AC454" s="45"/>
      <c r="AD454" s="45"/>
      <c r="AE454" s="45"/>
      <c r="AF454" s="45"/>
      <c r="AG454" s="45"/>
      <c r="AH454" s="45"/>
      <c r="AI454" s="45"/>
      <c r="AJ454" s="45"/>
      <c r="AK454" s="45"/>
      <c r="AL454" s="45"/>
      <c r="AM454" s="45"/>
      <c r="AN454" s="45"/>
      <c r="AO454" s="45"/>
      <c r="AP454" s="45"/>
      <c r="AQ454" s="45"/>
      <c r="AR454" s="45"/>
      <c r="AS454" s="45"/>
      <c r="AT454" s="45"/>
      <c r="AU454" s="45"/>
      <c r="AV454" s="47"/>
      <c r="AW454" s="48" t="str">
        <f>REV!AW454</f>
        <v>13.08.2026</v>
      </c>
      <c r="AX454" s="149" t="s">
        <v>68</v>
      </c>
    </row>
    <row r="455" spans="1:50" ht="22.5" customHeight="1" thickBot="1">
      <c r="A455" s="65" t="s">
        <v>63</v>
      </c>
      <c r="B455" s="66" t="s">
        <v>64</v>
      </c>
      <c r="C455" s="151">
        <v>4017191</v>
      </c>
      <c r="D455" s="152" t="s">
        <v>657</v>
      </c>
      <c r="E455" s="152" t="s">
        <v>658</v>
      </c>
      <c r="F455" s="153">
        <v>100</v>
      </c>
      <c r="G455" s="153"/>
      <c r="H455" s="153"/>
      <c r="I455" s="153"/>
      <c r="J455" s="69">
        <f>IF(VLOOKUP($C455,REV!$C:$AA,8,0)-'TRADE IN'!$F455=0,"",(VLOOKUP($C455,REV!$C:$AA,8,0)-'TRADE IN'!$F455))</f>
        <v>9699</v>
      </c>
      <c r="K455" s="69">
        <f>IF(VLOOKUP($C455,REV!$C:$AA,9,0)-'TRADE IN'!$F455=0,"",(VLOOKUP($C455,REV!$C:$AA,9,0)-'TRADE IN'!$F455))</f>
        <v>9699</v>
      </c>
      <c r="L455" s="69">
        <f>IF(VLOOKUP($C455,REV!$C:$AA,10,0)-'TRADE IN'!$F455=0,"",(VLOOKUP($C455,REV!$C:$AA,10,0)-'TRADE IN'!$F455))</f>
        <v>9699</v>
      </c>
      <c r="M455" s="69">
        <f>IF(VLOOKUP($C455,REV!$C:$AA,11,0)-'TRADE IN'!$F455=0,"",(VLOOKUP($C455,REV!$C:$AA,11,0)-'TRADE IN'!$F455))</f>
        <v>9699</v>
      </c>
      <c r="N455" s="69">
        <f>IF(VLOOKUP($C455,REV!$C:$AA,12,0)-'TRADE IN'!$F455=0,"",(VLOOKUP($C455,REV!$C:$AA,12,0)-'TRADE IN'!$F455))</f>
        <v>9699</v>
      </c>
      <c r="O455" s="69">
        <f>IF(VLOOKUP($C455,REV!$C:$AA,13,0)-'TRADE IN'!$F455=0,"",(VLOOKUP($C455,REV!$C:$AA,13,0)-'TRADE IN'!$F455))</f>
        <v>9649</v>
      </c>
      <c r="P455" s="69">
        <f>IF(VLOOKUP($C455,REV!$C:$AA,14,0)-'TRADE IN'!$F455=0,"",(VLOOKUP($C455,REV!$C:$AA,14,0)-'TRADE IN'!$F455))</f>
        <v>9599</v>
      </c>
      <c r="Q455" s="69">
        <f>IF(VLOOKUP($C455,REV!$C:$AA,15,0)-'TRADE IN'!$F455=0,"",(VLOOKUP($C455,REV!$C:$AA,15,0)-'TRADE IN'!$F455))</f>
        <v>9399</v>
      </c>
      <c r="R455" s="69">
        <f>IF(VLOOKUP($C455,REV!$C:$AA,16,0)-'TRADE IN'!$F455=0,"",(VLOOKUP($C455,REV!$C:$AA,16,0)-'TRADE IN'!$F455))</f>
        <v>9649</v>
      </c>
      <c r="S455" s="69">
        <f>IF(VLOOKUP($C455,REV!$C:$AA,17,0)-'TRADE IN'!$F455=0,"",(VLOOKUP($C455,REV!$C:$AA,17,0)-'TRADE IN'!$F455))</f>
        <v>9599</v>
      </c>
      <c r="T455" s="69">
        <f>IF(VLOOKUP($C455,REV!$C:$AA,18,0)-'TRADE IN'!$F455=0,"",(VLOOKUP($C455,REV!$C:$AA,18,0)-'TRADE IN'!$F455))</f>
        <v>9399</v>
      </c>
      <c r="U455" s="69">
        <f>IF(VLOOKUP($C455,REV!$C:$AA,19,0)-'TRADE IN'!$F455=0,"",(VLOOKUP($C455,REV!$C:$AA,19,0)-'TRADE IN'!$F455))</f>
        <v>9399</v>
      </c>
      <c r="V455" s="69">
        <f>IF(VLOOKUP($C455,REV!$C:$AA,20,0)-'TRADE IN'!$F455=0,"",(VLOOKUP($C455,REV!$C:$AA,20,0)-'TRADE IN'!$F455))</f>
        <v>9399</v>
      </c>
      <c r="W455" s="69">
        <f>IF(VLOOKUP($C455,REV!$C:$AA,21,0)-'TRADE IN'!$F455=0,"",(VLOOKUP($C455,REV!$C:$AA,21,0)-'TRADE IN'!$F455))</f>
        <v>9399</v>
      </c>
      <c r="X455" s="69">
        <f>IF(VLOOKUP($C455,REV!$C:$AA,22,0)-'TRADE IN'!$F455=0,"",(VLOOKUP($C455,REV!$C:$AA,22,0)-'TRADE IN'!$F455))</f>
        <v>9349</v>
      </c>
      <c r="Y455" s="69">
        <f>IF(VLOOKUP($C455,REV!$C:$AA,23,0)-'TRADE IN'!$F455=0,"",(VLOOKUP($C455,REV!$C:$AA,23,0)-'TRADE IN'!$F455))</f>
        <v>8399</v>
      </c>
      <c r="Z455" s="69">
        <f>IF(VLOOKUP($C455,REV!$C:$AA,24,0)-'TRADE IN'!$F455=0,"",(VLOOKUP($C455,REV!$C:$AA,24,0)-'TRADE IN'!$F455))</f>
        <v>8399</v>
      </c>
      <c r="AA455" s="69">
        <f>IF(VLOOKUP($C455,REV!$C:$AA,25,0)-'TRADE IN'!$F455=0,"",(VLOOKUP($C455,REV!$C:$AA,25,0)-'TRADE IN'!$F455))</f>
        <v>8349</v>
      </c>
      <c r="AB455" s="153"/>
      <c r="AC455" s="153"/>
      <c r="AD455" s="153"/>
      <c r="AE455" s="153"/>
      <c r="AF455" s="153"/>
      <c r="AG455" s="153"/>
      <c r="AH455" s="153"/>
      <c r="AI455" s="153"/>
      <c r="AJ455" s="153"/>
      <c r="AK455" s="153"/>
      <c r="AL455" s="153"/>
      <c r="AM455" s="153"/>
      <c r="AN455" s="153"/>
      <c r="AO455" s="153"/>
      <c r="AP455" s="153"/>
      <c r="AQ455" s="153"/>
      <c r="AR455" s="153"/>
      <c r="AS455" s="153"/>
      <c r="AT455" s="153"/>
      <c r="AU455" s="153"/>
      <c r="AV455" s="47"/>
      <c r="AW455" s="70" t="str">
        <f>REV!AW455</f>
        <v>13.08.2026</v>
      </c>
      <c r="AX455" s="154" t="s">
        <v>68</v>
      </c>
    </row>
    <row r="456" spans="1:50" ht="22.5" customHeight="1">
      <c r="A456" s="74" t="s">
        <v>222</v>
      </c>
      <c r="B456" s="75" t="s">
        <v>64</v>
      </c>
      <c r="C456" s="43">
        <v>4013638</v>
      </c>
      <c r="D456" s="56" t="s">
        <v>659</v>
      </c>
      <c r="E456" s="56" t="s">
        <v>660</v>
      </c>
      <c r="F456" s="76"/>
      <c r="G456" s="77"/>
      <c r="H456" s="78"/>
      <c r="I456" s="45"/>
      <c r="J456" s="45">
        <f>IF(VLOOKUP($C456,REV!$C:$AA,8,0)-'TRADE IN'!$F456=0,"",(VLOOKUP($C456,REV!$C:$AA,8,0)-'TRADE IN'!$F456))</f>
        <v>99</v>
      </c>
      <c r="K456" s="45">
        <f>IF(VLOOKUP($C456,REV!$C:$AA,9,0)-'TRADE IN'!$F456=0,"",(VLOOKUP($C456,REV!$C:$AA,9,0)-'TRADE IN'!$F456))</f>
        <v>99</v>
      </c>
      <c r="L456" s="45">
        <f>IF(VLOOKUP($C456,REV!$C:$AA,10,0)-'TRADE IN'!$F456=0,"",(VLOOKUP($C456,REV!$C:$AA,10,0)-'TRADE IN'!$F456))</f>
        <v>99</v>
      </c>
      <c r="M456" s="45">
        <f>IF(VLOOKUP($C456,REV!$C:$AA,11,0)-'TRADE IN'!$F456=0,"",(VLOOKUP($C456,REV!$C:$AA,11,0)-'TRADE IN'!$F456))</f>
        <v>99</v>
      </c>
      <c r="N456" s="45">
        <f>IF(VLOOKUP($C456,REV!$C:$AA,12,0)-'TRADE IN'!$F456=0,"",(VLOOKUP($C456,REV!$C:$AA,12,0)-'TRADE IN'!$F456))</f>
        <v>99</v>
      </c>
      <c r="O456" s="45">
        <f>IF(VLOOKUP($C456,REV!$C:$AA,13,0)-'TRADE IN'!$F456=0,"",(VLOOKUP($C456,REV!$C:$AA,13,0)-'TRADE IN'!$F456))</f>
        <v>99</v>
      </c>
      <c r="P456" s="45">
        <f>IF(VLOOKUP($C456,REV!$C:$AA,14,0)-'TRADE IN'!$F456=0,"",(VLOOKUP($C456,REV!$C:$AA,14,0)-'TRADE IN'!$F456))</f>
        <v>99</v>
      </c>
      <c r="Q456" s="45">
        <f>IF(VLOOKUP($C456,REV!$C:$AA,15,0)-'TRADE IN'!$F456=0,"",(VLOOKUP($C456,REV!$C:$AA,15,0)-'TRADE IN'!$F456))</f>
        <v>99</v>
      </c>
      <c r="R456" s="45">
        <f>IF(VLOOKUP($C456,REV!$C:$AA,16,0)-'TRADE IN'!$F456=0,"",(VLOOKUP($C456,REV!$C:$AA,16,0)-'TRADE IN'!$F456))</f>
        <v>99</v>
      </c>
      <c r="S456" s="45">
        <f>IF(VLOOKUP($C456,REV!$C:$AA,17,0)-'TRADE IN'!$F456=0,"",(VLOOKUP($C456,REV!$C:$AA,17,0)-'TRADE IN'!$F456))</f>
        <v>99</v>
      </c>
      <c r="T456" s="45">
        <f>IF(VLOOKUP($C456,REV!$C:$AA,18,0)-'TRADE IN'!$F456=0,"",(VLOOKUP($C456,REV!$C:$AA,18,0)-'TRADE IN'!$F456))</f>
        <v>99</v>
      </c>
      <c r="U456" s="45">
        <f>IF(VLOOKUP($C456,REV!$C:$AA,19,0)-'TRADE IN'!$F456=0,"",(VLOOKUP($C456,REV!$C:$AA,19,0)-'TRADE IN'!$F456))</f>
        <v>99</v>
      </c>
      <c r="V456" s="45">
        <f>IF(VLOOKUP($C456,REV!$C:$AA,20,0)-'TRADE IN'!$F456=0,"",(VLOOKUP($C456,REV!$C:$AA,20,0)-'TRADE IN'!$F456))</f>
        <v>99</v>
      </c>
      <c r="W456" s="45">
        <f>IF(VLOOKUP($C456,REV!$C:$AA,21,0)-'TRADE IN'!$F456=0,"",(VLOOKUP($C456,REV!$C:$AA,21,0)-'TRADE IN'!$F456))</f>
        <v>99</v>
      </c>
      <c r="X456" s="45">
        <f>IF(VLOOKUP($C456,REV!$C:$AA,22,0)-'TRADE IN'!$F456=0,"",(VLOOKUP($C456,REV!$C:$AA,22,0)-'TRADE IN'!$F456))</f>
        <v>99</v>
      </c>
      <c r="Y456" s="45">
        <f>IF(VLOOKUP($C456,REV!$C:$AA,23,0)-'TRADE IN'!$F456=0,"",(VLOOKUP($C456,REV!$C:$AA,23,0)-'TRADE IN'!$F456))</f>
        <v>99</v>
      </c>
      <c r="Z456" s="45">
        <f>IF(VLOOKUP($C456,REV!$C:$AA,24,0)-'TRADE IN'!$F456=0,"",(VLOOKUP($C456,REV!$C:$AA,24,0)-'TRADE IN'!$F456))</f>
        <v>99</v>
      </c>
      <c r="AA456" s="45">
        <f>IF(VLOOKUP($C456,REV!$C:$AA,25,0)-'TRADE IN'!$F456=0,"",(VLOOKUP($C456,REV!$C:$AA,25,0)-'TRADE IN'!$F456))</f>
        <v>99</v>
      </c>
      <c r="AB456" s="45" t="str">
        <f>IF(VLOOKUP($C456,REV!$C:$AL,27,0)-'TRADE IN'!$F456=0,"",(VLOOKUP($C456,REV!$C:$AL,27,0)-'TRADE IN'!$F456))</f>
        <v/>
      </c>
      <c r="AC456" s="45" t="str">
        <f>IF(VLOOKUP($C456,REV!$C:$AL,28,0)-'TRADE IN'!$F456=0,"",(VLOOKUP($C456,REV!$C:$AL,28,0)-'TRADE IN'!$F456))</f>
        <v/>
      </c>
      <c r="AD456" s="45" t="str">
        <f>IF(VLOOKUP($C456,REV!$C:$AL,29,0)-'TRADE IN'!$F456=0,"",(VLOOKUP($C456,REV!$C:$AL,29,0)-'TRADE IN'!$F456))</f>
        <v/>
      </c>
      <c r="AE456" s="45" t="str">
        <f>IF(VLOOKUP($C456,REV!$C:$AL,30,0)-'TRADE IN'!$F456=0,"",(VLOOKUP($C456,REV!$C:$AL,30,0)-'TRADE IN'!$F456))</f>
        <v/>
      </c>
      <c r="AF456" s="45" t="str">
        <f>IF(VLOOKUP($C456,REV!$C:$AL,31,0)-'TRADE IN'!$F456=0,"",(VLOOKUP($C456,REV!$C:$AL,31,0)-'TRADE IN'!$F456))</f>
        <v/>
      </c>
      <c r="AG456" s="45" t="str">
        <f>IF(VLOOKUP($C456,REV!$C:$AL,31,0)-'TRADE IN'!$F456=0,"",(VLOOKUP($C456,REV!$C:$AL,31,0)-'TRADE IN'!$F456))</f>
        <v/>
      </c>
      <c r="AH456" s="45" t="str">
        <f>IF(VLOOKUP($C456,REV!$C:$AL,32,0)-'TRADE IN'!$F456=0,"",(VLOOKUP($C456,REV!$C:$AL,32,0)-'TRADE IN'!$F456))</f>
        <v/>
      </c>
      <c r="AI456" s="45" t="str">
        <f>IF(VLOOKUP($C456,REV!$C:$AL,33,0)-'TRADE IN'!$F456=0,"",(VLOOKUP($C456,REV!$C:$AL,33,0)-'TRADE IN'!$F456))</f>
        <v/>
      </c>
      <c r="AJ456" s="45" t="str">
        <f>IF(VLOOKUP($C456,REV!$C:$AL,34,0)-'TRADE IN'!$F456=0,"",(VLOOKUP($C456,REV!$C:$AL,34,0)-'TRADE IN'!$F456))</f>
        <v/>
      </c>
      <c r="AK456" s="45" t="str">
        <f>IF(VLOOKUP($C456,REV!$C:$AL,35,0)-'TRADE IN'!$F456=0,"",(VLOOKUP($C456,REV!$C:$AL,35,0)-'TRADE IN'!$F456))</f>
        <v/>
      </c>
      <c r="AL456" s="45" t="str">
        <f>IF(VLOOKUP($C456,REV!$C:$AL,36,0)-'TRADE IN'!$F456=0,"",(VLOOKUP($C456,REV!$C:$AL,36,0)-'TRADE IN'!$F456))</f>
        <v/>
      </c>
      <c r="AM456" s="45">
        <v>199</v>
      </c>
      <c r="AN456" s="45">
        <v>159</v>
      </c>
      <c r="AO456" s="45">
        <v>129</v>
      </c>
      <c r="AP456" s="45"/>
      <c r="AQ456" s="45"/>
      <c r="AR456" s="45"/>
      <c r="AS456" s="45"/>
      <c r="AT456" s="45"/>
      <c r="AU456" s="45"/>
      <c r="AW456" s="79" t="str">
        <f>REV!AW456</f>
        <v>13.08.2026</v>
      </c>
      <c r="AX456" s="155" t="s">
        <v>661</v>
      </c>
    </row>
    <row r="457" spans="1:50" ht="22.5" customHeight="1">
      <c r="A457" s="55" t="s">
        <v>222</v>
      </c>
      <c r="B457" s="42" t="s">
        <v>64</v>
      </c>
      <c r="C457" s="63">
        <v>4013131</v>
      </c>
      <c r="D457" s="64" t="s">
        <v>662</v>
      </c>
      <c r="E457" s="64" t="s">
        <v>663</v>
      </c>
      <c r="F457" s="76"/>
      <c r="G457" s="81"/>
      <c r="H457" s="78"/>
      <c r="I457" s="45"/>
      <c r="J457" s="45" t="str">
        <f>IF(VLOOKUP($C457,REV!$C:$AA,8,0)-'TRADE IN'!$F457=0,"",(VLOOKUP($C457,REV!$C:$AA,8,0)-'TRADE IN'!$F457))</f>
        <v/>
      </c>
      <c r="K457" s="45" t="str">
        <f>IF(VLOOKUP($C457,REV!$C:$AA,9,0)-'TRADE IN'!$F457=0,"",(VLOOKUP($C457,REV!$C:$AA,9,0)-'TRADE IN'!$F457))</f>
        <v/>
      </c>
      <c r="L457" s="45" t="str">
        <f>IF(VLOOKUP($C457,REV!$C:$AA,10,0)-'TRADE IN'!$F457=0,"",(VLOOKUP($C457,REV!$C:$AA,10,0)-'TRADE IN'!$F457))</f>
        <v/>
      </c>
      <c r="M457" s="45" t="str">
        <f>IF(VLOOKUP($C457,REV!$C:$AA,11,0)-'TRADE IN'!$F457=0,"",(VLOOKUP($C457,REV!$C:$AA,11,0)-'TRADE IN'!$F457))</f>
        <v/>
      </c>
      <c r="N457" s="45" t="str">
        <f>IF(VLOOKUP($C457,REV!$C:$AA,12,0)-'TRADE IN'!$F457=0,"",(VLOOKUP($C457,REV!$C:$AA,12,0)-'TRADE IN'!$F457))</f>
        <v/>
      </c>
      <c r="O457" s="45" t="str">
        <f>IF(VLOOKUP($C457,REV!$C:$AA,13,0)-'TRADE IN'!$F457=0,"",(VLOOKUP($C457,REV!$C:$AA,13,0)-'TRADE IN'!$F457))</f>
        <v/>
      </c>
      <c r="P457" s="45" t="str">
        <f>IF(VLOOKUP($C457,REV!$C:$AA,14,0)-'TRADE IN'!$F457=0,"",(VLOOKUP($C457,REV!$C:$AA,14,0)-'TRADE IN'!$F457))</f>
        <v/>
      </c>
      <c r="Q457" s="45" t="str">
        <f>IF(VLOOKUP($C457,REV!$C:$AA,15,0)-'TRADE IN'!$F457=0,"",(VLOOKUP($C457,REV!$C:$AA,15,0)-'TRADE IN'!$F457))</f>
        <v/>
      </c>
      <c r="R457" s="45" t="str">
        <f>IF(VLOOKUP($C457,REV!$C:$AA,16,0)-'TRADE IN'!$F457=0,"",(VLOOKUP($C457,REV!$C:$AA,16,0)-'TRADE IN'!$F457))</f>
        <v/>
      </c>
      <c r="S457" s="45" t="str">
        <f>IF(VLOOKUP($C457,REV!$C:$AA,17,0)-'TRADE IN'!$F457=0,"",(VLOOKUP($C457,REV!$C:$AA,17,0)-'TRADE IN'!$F457))</f>
        <v/>
      </c>
      <c r="T457" s="45" t="str">
        <f>IF(VLOOKUP($C457,REV!$C:$AA,18,0)-'TRADE IN'!$F457=0,"",(VLOOKUP($C457,REV!$C:$AA,18,0)-'TRADE IN'!$F457))</f>
        <v/>
      </c>
      <c r="U457" s="45" t="str">
        <f>IF(VLOOKUP($C457,REV!$C:$AA,19,0)-'TRADE IN'!$F457=0,"",(VLOOKUP($C457,REV!$C:$AA,19,0)-'TRADE IN'!$F457))</f>
        <v/>
      </c>
      <c r="V457" s="45" t="str">
        <f>IF(VLOOKUP($C457,REV!$C:$AA,20,0)-'TRADE IN'!$F457=0,"",(VLOOKUP($C457,REV!$C:$AA,20,0)-'TRADE IN'!$F457))</f>
        <v/>
      </c>
      <c r="W457" s="45" t="str">
        <f>IF(VLOOKUP($C457,REV!$C:$AA,21,0)-'TRADE IN'!$F457=0,"",(VLOOKUP($C457,REV!$C:$AA,21,0)-'TRADE IN'!$F457))</f>
        <v/>
      </c>
      <c r="X457" s="45" t="str">
        <f>IF(VLOOKUP($C457,REV!$C:$AA,22,0)-'TRADE IN'!$F457=0,"",(VLOOKUP($C457,REV!$C:$AA,22,0)-'TRADE IN'!$F457))</f>
        <v/>
      </c>
      <c r="Y457" s="45" t="str">
        <f>IF(VLOOKUP($C457,REV!$C:$AA,23,0)-'TRADE IN'!$F457=0,"",(VLOOKUP($C457,REV!$C:$AA,23,0)-'TRADE IN'!$F457))</f>
        <v/>
      </c>
      <c r="Z457" s="45" t="str">
        <f>IF(VLOOKUP($C457,REV!$C:$AA,24,0)-'TRADE IN'!$F457=0,"",(VLOOKUP($C457,REV!$C:$AA,24,0)-'TRADE IN'!$F457))</f>
        <v/>
      </c>
      <c r="AA457" s="45" t="str">
        <f>IF(VLOOKUP($C457,REV!$C:$AA,25,0)-'TRADE IN'!$F457=0,"",(VLOOKUP($C457,REV!$C:$AA,25,0)-'TRADE IN'!$F457))</f>
        <v/>
      </c>
      <c r="AB457" s="45" t="str">
        <f>IF(VLOOKUP($C457,REV!$C:$AL,27,0)-'TRADE IN'!$F457=0,"",(VLOOKUP($C457,REV!$C:$AL,27,0)-'TRADE IN'!$F457))</f>
        <v/>
      </c>
      <c r="AC457" s="45" t="str">
        <f>IF(VLOOKUP($C457,REV!$C:$AL,28,0)-'TRADE IN'!$F457=0,"",(VLOOKUP($C457,REV!$C:$AL,28,0)-'TRADE IN'!$F457))</f>
        <v/>
      </c>
      <c r="AD457" s="45" t="str">
        <f>IF(VLOOKUP($C457,REV!$C:$AL,29,0)-'TRADE IN'!$F457=0,"",(VLOOKUP($C457,REV!$C:$AL,29,0)-'TRADE IN'!$F457))</f>
        <v/>
      </c>
      <c r="AE457" s="45" t="str">
        <f>IF(VLOOKUP($C457,REV!$C:$AL,30,0)-'TRADE IN'!$F457=0,"",(VLOOKUP($C457,REV!$C:$AL,30,0)-'TRADE IN'!$F457))</f>
        <v/>
      </c>
      <c r="AF457" s="45" t="str">
        <f>IF(VLOOKUP($C457,REV!$C:$AL,31,0)-'TRADE IN'!$F457=0,"",(VLOOKUP($C457,REV!$C:$AL,31,0)-'TRADE IN'!$F457))</f>
        <v/>
      </c>
      <c r="AG457" s="45" t="str">
        <f>IF(VLOOKUP($C457,REV!$C:$AL,31,0)-'TRADE IN'!$F457=0,"",(VLOOKUP($C457,REV!$C:$AL,31,0)-'TRADE IN'!$F457))</f>
        <v/>
      </c>
      <c r="AH457" s="45" t="str">
        <f>IF(VLOOKUP($C457,REV!$C:$AL,32,0)-'TRADE IN'!$F457=0,"",(VLOOKUP($C457,REV!$C:$AL,32,0)-'TRADE IN'!$F457))</f>
        <v/>
      </c>
      <c r="AI457" s="45" t="str">
        <f>IF(VLOOKUP($C457,REV!$C:$AL,33,0)-'TRADE IN'!$F457=0,"",(VLOOKUP($C457,REV!$C:$AL,33,0)-'TRADE IN'!$F457))</f>
        <v/>
      </c>
      <c r="AJ457" s="45" t="str">
        <f>IF(VLOOKUP($C457,REV!$C:$AL,34,0)-'TRADE IN'!$F457=0,"",(VLOOKUP($C457,REV!$C:$AL,34,0)-'TRADE IN'!$F457))</f>
        <v/>
      </c>
      <c r="AK457" s="45" t="str">
        <f>IF(VLOOKUP($C457,REV!$C:$AL,35,0)-'TRADE IN'!$F457=0,"",(VLOOKUP($C457,REV!$C:$AL,35,0)-'TRADE IN'!$F457))</f>
        <v/>
      </c>
      <c r="AL457" s="45" t="str">
        <f>IF(VLOOKUP($C457,REV!$C:$AL,36,0)-'TRADE IN'!$F457=0,"",(VLOOKUP($C457,REV!$C:$AL,36,0)-'TRADE IN'!$F457))</f>
        <v/>
      </c>
      <c r="AM457" s="45">
        <v>199</v>
      </c>
      <c r="AN457" s="45">
        <v>159</v>
      </c>
      <c r="AO457" s="45">
        <v>129</v>
      </c>
      <c r="AP457" s="45"/>
      <c r="AQ457" s="45"/>
      <c r="AR457" s="45"/>
      <c r="AS457" s="45"/>
      <c r="AT457" s="45"/>
      <c r="AU457" s="45"/>
      <c r="AW457" s="48" t="str">
        <f>REV!AW457</f>
        <v>13.08.2026</v>
      </c>
      <c r="AX457" s="149" t="s">
        <v>661</v>
      </c>
    </row>
    <row r="458" spans="1:50" ht="22.5" customHeight="1">
      <c r="A458" s="55" t="s">
        <v>222</v>
      </c>
      <c r="B458" s="42" t="s">
        <v>64</v>
      </c>
      <c r="C458" s="63">
        <v>4013033</v>
      </c>
      <c r="D458" s="64" t="s">
        <v>664</v>
      </c>
      <c r="E458" s="64" t="s">
        <v>665</v>
      </c>
      <c r="F458" s="76"/>
      <c r="G458" s="77"/>
      <c r="H458" s="78"/>
      <c r="I458" s="45"/>
      <c r="J458" s="45" t="str">
        <f>IF(VLOOKUP($C458,REV!$C:$AA,8,0)-'TRADE IN'!$F458=0,"",(VLOOKUP($C458,REV!$C:$AA,8,0)-'TRADE IN'!$F458))</f>
        <v/>
      </c>
      <c r="K458" s="45" t="str">
        <f>IF(VLOOKUP($C458,REV!$C:$AA,9,0)-'TRADE IN'!$F458=0,"",(VLOOKUP($C458,REV!$C:$AA,9,0)-'TRADE IN'!$F458))</f>
        <v/>
      </c>
      <c r="L458" s="45" t="str">
        <f>IF(VLOOKUP($C458,REV!$C:$AA,10,0)-'TRADE IN'!$F458=0,"",(VLOOKUP($C458,REV!$C:$AA,10,0)-'TRADE IN'!$F458))</f>
        <v/>
      </c>
      <c r="M458" s="45" t="str">
        <f>IF(VLOOKUP($C458,REV!$C:$AA,11,0)-'TRADE IN'!$F458=0,"",(VLOOKUP($C458,REV!$C:$AA,11,0)-'TRADE IN'!$F458))</f>
        <v/>
      </c>
      <c r="N458" s="45" t="str">
        <f>IF(VLOOKUP($C458,REV!$C:$AA,12,0)-'TRADE IN'!$F458=0,"",(VLOOKUP($C458,REV!$C:$AA,12,0)-'TRADE IN'!$F458))</f>
        <v/>
      </c>
      <c r="O458" s="45" t="str">
        <f>IF(VLOOKUP($C458,REV!$C:$AA,13,0)-'TRADE IN'!$F458=0,"",(VLOOKUP($C458,REV!$C:$AA,13,0)-'TRADE IN'!$F458))</f>
        <v/>
      </c>
      <c r="P458" s="45" t="str">
        <f>IF(VLOOKUP($C458,REV!$C:$AA,14,0)-'TRADE IN'!$F458=0,"",(VLOOKUP($C458,REV!$C:$AA,14,0)-'TRADE IN'!$F458))</f>
        <v/>
      </c>
      <c r="Q458" s="45" t="str">
        <f>IF(VLOOKUP($C458,REV!$C:$AA,15,0)-'TRADE IN'!$F458=0,"",(VLOOKUP($C458,REV!$C:$AA,15,0)-'TRADE IN'!$F458))</f>
        <v/>
      </c>
      <c r="R458" s="45" t="str">
        <f>IF(VLOOKUP($C458,REV!$C:$AA,16,0)-'TRADE IN'!$F458=0,"",(VLOOKUP($C458,REV!$C:$AA,16,0)-'TRADE IN'!$F458))</f>
        <v/>
      </c>
      <c r="S458" s="45" t="str">
        <f>IF(VLOOKUP($C458,REV!$C:$AA,17,0)-'TRADE IN'!$F458=0,"",(VLOOKUP($C458,REV!$C:$AA,17,0)-'TRADE IN'!$F458))</f>
        <v/>
      </c>
      <c r="T458" s="45" t="str">
        <f>IF(VLOOKUP($C458,REV!$C:$AA,18,0)-'TRADE IN'!$F458=0,"",(VLOOKUP($C458,REV!$C:$AA,18,0)-'TRADE IN'!$F458))</f>
        <v/>
      </c>
      <c r="U458" s="45" t="str">
        <f>IF(VLOOKUP($C458,REV!$C:$AA,19,0)-'TRADE IN'!$F458=0,"",(VLOOKUP($C458,REV!$C:$AA,19,0)-'TRADE IN'!$F458))</f>
        <v/>
      </c>
      <c r="V458" s="45" t="str">
        <f>IF(VLOOKUP($C458,REV!$C:$AA,20,0)-'TRADE IN'!$F458=0,"",(VLOOKUP($C458,REV!$C:$AA,20,0)-'TRADE IN'!$F458))</f>
        <v/>
      </c>
      <c r="W458" s="45" t="str">
        <f>IF(VLOOKUP($C458,REV!$C:$AA,21,0)-'TRADE IN'!$F458=0,"",(VLOOKUP($C458,REV!$C:$AA,21,0)-'TRADE IN'!$F458))</f>
        <v/>
      </c>
      <c r="X458" s="45" t="str">
        <f>IF(VLOOKUP($C458,REV!$C:$AA,22,0)-'TRADE IN'!$F458=0,"",(VLOOKUP($C458,REV!$C:$AA,22,0)-'TRADE IN'!$F458))</f>
        <v/>
      </c>
      <c r="Y458" s="45" t="str">
        <f>IF(VLOOKUP($C458,REV!$C:$AA,23,0)-'TRADE IN'!$F458=0,"",(VLOOKUP($C458,REV!$C:$AA,23,0)-'TRADE IN'!$F458))</f>
        <v/>
      </c>
      <c r="Z458" s="45" t="str">
        <f>IF(VLOOKUP($C458,REV!$C:$AA,24,0)-'TRADE IN'!$F458=0,"",(VLOOKUP($C458,REV!$C:$AA,24,0)-'TRADE IN'!$F458))</f>
        <v/>
      </c>
      <c r="AA458" s="45" t="str">
        <f>IF(VLOOKUP($C458,REV!$C:$AA,25,0)-'TRADE IN'!$F458=0,"",(VLOOKUP($C458,REV!$C:$AA,25,0)-'TRADE IN'!$F458))</f>
        <v/>
      </c>
      <c r="AB458" s="45" t="str">
        <f>IF(VLOOKUP($C458,REV!$C:$AL,27,0)-'TRADE IN'!$F458=0,"",(VLOOKUP($C458,REV!$C:$AL,27,0)-'TRADE IN'!$F458))</f>
        <v/>
      </c>
      <c r="AC458" s="45" t="str">
        <f>IF(VLOOKUP($C458,REV!$C:$AL,28,0)-'TRADE IN'!$F458=0,"",(VLOOKUP($C458,REV!$C:$AL,28,0)-'TRADE IN'!$F458))</f>
        <v/>
      </c>
      <c r="AD458" s="45" t="str">
        <f>IF(VLOOKUP($C458,REV!$C:$AL,29,0)-'TRADE IN'!$F458=0,"",(VLOOKUP($C458,REV!$C:$AL,29,0)-'TRADE IN'!$F458))</f>
        <v/>
      </c>
      <c r="AE458" s="45" t="str">
        <f>IF(VLOOKUP($C458,REV!$C:$AL,30,0)-'TRADE IN'!$F458=0,"",(VLOOKUP($C458,REV!$C:$AL,30,0)-'TRADE IN'!$F458))</f>
        <v/>
      </c>
      <c r="AF458" s="45" t="str">
        <f>IF(VLOOKUP($C458,REV!$C:$AL,31,0)-'TRADE IN'!$F458=0,"",(VLOOKUP($C458,REV!$C:$AL,31,0)-'TRADE IN'!$F458))</f>
        <v/>
      </c>
      <c r="AG458" s="45" t="str">
        <f>IF(VLOOKUP($C458,REV!$C:$AL,31,0)-'TRADE IN'!$F458=0,"",(VLOOKUP($C458,REV!$C:$AL,31,0)-'TRADE IN'!$F458))</f>
        <v/>
      </c>
      <c r="AH458" s="45" t="str">
        <f>IF(VLOOKUP($C458,REV!$C:$AL,32,0)-'TRADE IN'!$F458=0,"",(VLOOKUP($C458,REV!$C:$AL,32,0)-'TRADE IN'!$F458))</f>
        <v/>
      </c>
      <c r="AI458" s="45" t="str">
        <f>IF(VLOOKUP($C458,REV!$C:$AL,33,0)-'TRADE IN'!$F458=0,"",(VLOOKUP($C458,REV!$C:$AL,33,0)-'TRADE IN'!$F458))</f>
        <v/>
      </c>
      <c r="AJ458" s="45" t="str">
        <f>IF(VLOOKUP($C458,REV!$C:$AL,34,0)-'TRADE IN'!$F458=0,"",(VLOOKUP($C458,REV!$C:$AL,34,0)-'TRADE IN'!$F458))</f>
        <v/>
      </c>
      <c r="AK458" s="45" t="str">
        <f>IF(VLOOKUP($C458,REV!$C:$AL,35,0)-'TRADE IN'!$F458=0,"",(VLOOKUP($C458,REV!$C:$AL,35,0)-'TRADE IN'!$F458))</f>
        <v/>
      </c>
      <c r="AL458" s="45" t="str">
        <f>IF(VLOOKUP($C458,REV!$C:$AL,36,0)-'TRADE IN'!$F458=0,"",(VLOOKUP($C458,REV!$C:$AL,36,0)-'TRADE IN'!$F458))</f>
        <v/>
      </c>
      <c r="AM458" s="45">
        <v>199</v>
      </c>
      <c r="AN458" s="45">
        <v>159</v>
      </c>
      <c r="AO458" s="45">
        <v>129</v>
      </c>
      <c r="AP458" s="45"/>
      <c r="AQ458" s="45"/>
      <c r="AR458" s="45"/>
      <c r="AS458" s="45"/>
      <c r="AT458" s="45"/>
      <c r="AU458" s="45"/>
      <c r="AW458" s="48" t="str">
        <f>REV!AW458</f>
        <v>13.08.2026</v>
      </c>
      <c r="AX458" s="149" t="s">
        <v>230</v>
      </c>
    </row>
    <row r="459" spans="1:50" ht="22.5" customHeight="1" thickBot="1">
      <c r="A459" s="82" t="s">
        <v>222</v>
      </c>
      <c r="B459" s="66" t="s">
        <v>64</v>
      </c>
      <c r="C459" s="67">
        <v>4011551</v>
      </c>
      <c r="D459" s="83" t="s">
        <v>666</v>
      </c>
      <c r="E459" s="68" t="s">
        <v>667</v>
      </c>
      <c r="F459" s="69"/>
      <c r="G459" s="69"/>
      <c r="H459" s="69"/>
      <c r="I459" s="69"/>
      <c r="J459" s="69" t="str">
        <f>IF(VLOOKUP($C459,REV!$C:$AA,8,0)-'TRADE IN'!$F459=0,"",(VLOOKUP($C459,REV!$C:$AA,8,0)-'TRADE IN'!$F459))</f>
        <v/>
      </c>
      <c r="K459" s="69" t="str">
        <f>IF(VLOOKUP($C459,REV!$C:$AA,9,0)-'TRADE IN'!$F459=0,"",(VLOOKUP($C459,REV!$C:$AA,9,0)-'TRADE IN'!$F459))</f>
        <v/>
      </c>
      <c r="L459" s="69" t="str">
        <f>IF(VLOOKUP($C459,REV!$C:$AA,10,0)-'TRADE IN'!$F459=0,"",(VLOOKUP($C459,REV!$C:$AA,10,0)-'TRADE IN'!$F459))</f>
        <v/>
      </c>
      <c r="M459" s="69" t="str">
        <f>IF(VLOOKUP($C459,REV!$C:$AA,11,0)-'TRADE IN'!$F459=0,"",(VLOOKUP($C459,REV!$C:$AA,11,0)-'TRADE IN'!$F459))</f>
        <v/>
      </c>
      <c r="N459" s="69" t="str">
        <f>IF(VLOOKUP($C459,REV!$C:$AA,12,0)-'TRADE IN'!$F459=0,"",(VLOOKUP($C459,REV!$C:$AA,12,0)-'TRADE IN'!$F459))</f>
        <v/>
      </c>
      <c r="O459" s="69" t="str">
        <f>IF(VLOOKUP($C459,REV!$C:$AA,13,0)-'TRADE IN'!$F459=0,"",(VLOOKUP($C459,REV!$C:$AA,13,0)-'TRADE IN'!$F459))</f>
        <v/>
      </c>
      <c r="P459" s="69" t="str">
        <f>IF(VLOOKUP($C459,REV!$C:$AA,14,0)-'TRADE IN'!$F459=0,"",(VLOOKUP($C459,REV!$C:$AA,14,0)-'TRADE IN'!$F459))</f>
        <v/>
      </c>
      <c r="Q459" s="69" t="str">
        <f>IF(VLOOKUP($C459,REV!$C:$AA,15,0)-'TRADE IN'!$F459=0,"",(VLOOKUP($C459,REV!$C:$AA,15,0)-'TRADE IN'!$F459))</f>
        <v/>
      </c>
      <c r="R459" s="69" t="str">
        <f>IF(VLOOKUP($C459,REV!$C:$AA,16,0)-'TRADE IN'!$F459=0,"",(VLOOKUP($C459,REV!$C:$AA,16,0)-'TRADE IN'!$F459))</f>
        <v/>
      </c>
      <c r="S459" s="69" t="str">
        <f>IF(VLOOKUP($C459,REV!$C:$AA,17,0)-'TRADE IN'!$F459=0,"",(VLOOKUP($C459,REV!$C:$AA,17,0)-'TRADE IN'!$F459))</f>
        <v/>
      </c>
      <c r="T459" s="69" t="str">
        <f>IF(VLOOKUP($C459,REV!$C:$AA,18,0)-'TRADE IN'!$F459=0,"",(VLOOKUP($C459,REV!$C:$AA,18,0)-'TRADE IN'!$F459))</f>
        <v/>
      </c>
      <c r="U459" s="69" t="str">
        <f>IF(VLOOKUP($C459,REV!$C:$AA,19,0)-'TRADE IN'!$F459=0,"",(VLOOKUP($C459,REV!$C:$AA,19,0)-'TRADE IN'!$F459))</f>
        <v/>
      </c>
      <c r="V459" s="69" t="str">
        <f>IF(VLOOKUP($C459,REV!$C:$AA,20,0)-'TRADE IN'!$F459=0,"",(VLOOKUP($C459,REV!$C:$AA,20,0)-'TRADE IN'!$F459))</f>
        <v/>
      </c>
      <c r="W459" s="69" t="str">
        <f>IF(VLOOKUP($C459,REV!$C:$AA,21,0)-'TRADE IN'!$F459=0,"",(VLOOKUP($C459,REV!$C:$AA,21,0)-'TRADE IN'!$F459))</f>
        <v/>
      </c>
      <c r="X459" s="69" t="str">
        <f>IF(VLOOKUP($C459,REV!$C:$AA,22,0)-'TRADE IN'!$F459=0,"",(VLOOKUP($C459,REV!$C:$AA,22,0)-'TRADE IN'!$F459))</f>
        <v/>
      </c>
      <c r="Y459" s="69" t="str">
        <f>IF(VLOOKUP($C459,REV!$C:$AA,23,0)-'TRADE IN'!$F459=0,"",(VLOOKUP($C459,REV!$C:$AA,23,0)-'TRADE IN'!$F459))</f>
        <v/>
      </c>
      <c r="Z459" s="69" t="str">
        <f>IF(VLOOKUP($C459,REV!$C:$AA,24,0)-'TRADE IN'!$F459=0,"",(VLOOKUP($C459,REV!$C:$AA,24,0)-'TRADE IN'!$F459))</f>
        <v/>
      </c>
      <c r="AA459" s="69" t="str">
        <f>IF(VLOOKUP($C459,REV!$C:$AA,25,0)-'TRADE IN'!$F459=0,"",(VLOOKUP($C459,REV!$C:$AA,25,0)-'TRADE IN'!$F459))</f>
        <v/>
      </c>
      <c r="AB459" s="69" t="str">
        <f>IF(VLOOKUP($C459,REV!$C:$AL,27,0)-'TRADE IN'!$F459=0,"",(VLOOKUP($C459,REV!$C:$AL,27,0)-'TRADE IN'!$F459))</f>
        <v/>
      </c>
      <c r="AC459" s="69" t="str">
        <f>IF(VLOOKUP($C459,REV!$C:$AL,28,0)-'TRADE IN'!$F459=0,"",(VLOOKUP($C459,REV!$C:$AL,28,0)-'TRADE IN'!$F459))</f>
        <v/>
      </c>
      <c r="AD459" s="69" t="str">
        <f>IF(VLOOKUP($C459,REV!$C:$AL,29,0)-'TRADE IN'!$F459=0,"",(VLOOKUP($C459,REV!$C:$AL,29,0)-'TRADE IN'!$F459))</f>
        <v/>
      </c>
      <c r="AE459" s="69" t="str">
        <f>IF(VLOOKUP($C459,REV!$C:$AL,30,0)-'TRADE IN'!$F459=0,"",(VLOOKUP($C459,REV!$C:$AL,30,0)-'TRADE IN'!$F459))</f>
        <v/>
      </c>
      <c r="AF459" s="69" t="str">
        <f>IF(VLOOKUP($C459,REV!$C:$AL,31,0)-'TRADE IN'!$F459=0,"",(VLOOKUP($C459,REV!$C:$AL,31,0)-'TRADE IN'!$F459))</f>
        <v/>
      </c>
      <c r="AG459" s="69" t="str">
        <f>IF(VLOOKUP($C459,REV!$C:$AL,31,0)-'TRADE IN'!$F459=0,"",(VLOOKUP($C459,REV!$C:$AL,31,0)-'TRADE IN'!$F459))</f>
        <v/>
      </c>
      <c r="AH459" s="69" t="str">
        <f>IF(VLOOKUP($C459,REV!$C:$AL,32,0)-'TRADE IN'!$F459=0,"",(VLOOKUP($C459,REV!$C:$AL,32,0)-'TRADE IN'!$F459))</f>
        <v/>
      </c>
      <c r="AI459" s="69" t="str">
        <f>IF(VLOOKUP($C459,REV!$C:$AL,33,0)-'TRADE IN'!$F459=0,"",(VLOOKUP($C459,REV!$C:$AL,33,0)-'TRADE IN'!$F459))</f>
        <v/>
      </c>
      <c r="AJ459" s="69" t="str">
        <f>IF(VLOOKUP($C459,REV!$C:$AL,34,0)-'TRADE IN'!$F459=0,"",(VLOOKUP($C459,REV!$C:$AL,34,0)-'TRADE IN'!$F459))</f>
        <v/>
      </c>
      <c r="AK459" s="69" t="str">
        <f>IF(VLOOKUP($C459,REV!$C:$AL,35,0)-'TRADE IN'!$F459=0,"",(VLOOKUP($C459,REV!$C:$AL,35,0)-'TRADE IN'!$F459))</f>
        <v/>
      </c>
      <c r="AL459" s="69" t="str">
        <f>IF(VLOOKUP($C459,REV!$C:$AL,36,0)-'TRADE IN'!$F459=0,"",(VLOOKUP($C459,REV!$C:$AL,36,0)-'TRADE IN'!$F459))</f>
        <v/>
      </c>
      <c r="AM459" s="69"/>
      <c r="AN459" s="69"/>
      <c r="AO459" s="69"/>
      <c r="AP459" s="69"/>
      <c r="AQ459" s="69"/>
      <c r="AR459" s="69"/>
      <c r="AS459" s="69"/>
      <c r="AT459" s="69"/>
      <c r="AU459" s="69"/>
      <c r="AW459" s="84" t="str">
        <f>REV!AW459</f>
        <v>13.08.2026</v>
      </c>
      <c r="AX459" s="154" t="s">
        <v>230</v>
      </c>
    </row>
    <row r="460" spans="1:50" ht="22.5" customHeight="1">
      <c r="A460" s="74" t="s">
        <v>222</v>
      </c>
      <c r="B460" s="75" t="s">
        <v>64</v>
      </c>
      <c r="C460" s="56">
        <v>4011550</v>
      </c>
      <c r="D460" s="86" t="s">
        <v>668</v>
      </c>
      <c r="E460" s="56" t="s">
        <v>668</v>
      </c>
      <c r="F460" s="46"/>
      <c r="J460" s="45" t="str">
        <f>IF(VLOOKUP($C460,REV!$C:$AA,8,0)-'TRADE IN'!$F460=0,"",(VLOOKUP($C460,REV!$C:$AA,8,0)-'TRADE IN'!$F460))</f>
        <v/>
      </c>
      <c r="K460" s="45" t="str">
        <f>IF(VLOOKUP($C460,REV!$C:$AA,9,0)-'TRADE IN'!$F460=0,"",(VLOOKUP($C460,REV!$C:$AA,9,0)-'TRADE IN'!$F460))</f>
        <v/>
      </c>
      <c r="L460" s="45" t="str">
        <f>IF(VLOOKUP($C460,REV!$C:$AA,10,0)-'TRADE IN'!$F460=0,"",(VLOOKUP($C460,REV!$C:$AA,10,0)-'TRADE IN'!$F460))</f>
        <v/>
      </c>
      <c r="M460" s="45" t="str">
        <f>IF(VLOOKUP($C460,REV!$C:$AA,11,0)-'TRADE IN'!$F460=0,"",(VLOOKUP($C460,REV!$C:$AA,11,0)-'TRADE IN'!$F460))</f>
        <v/>
      </c>
      <c r="N460" s="45" t="str">
        <f>IF(VLOOKUP($C460,REV!$C:$AA,12,0)-'TRADE IN'!$F460=0,"",(VLOOKUP($C460,REV!$C:$AA,12,0)-'TRADE IN'!$F460))</f>
        <v/>
      </c>
      <c r="O460" s="45" t="str">
        <f>IF(VLOOKUP($C460,REV!$C:$AA,13,0)-'TRADE IN'!$F460=0,"",(VLOOKUP($C460,REV!$C:$AA,13,0)-'TRADE IN'!$F460))</f>
        <v/>
      </c>
      <c r="P460" s="45" t="str">
        <f>IF(VLOOKUP($C460,REV!$C:$AA,14,0)-'TRADE IN'!$F460=0,"",(VLOOKUP($C460,REV!$C:$AA,14,0)-'TRADE IN'!$F460))</f>
        <v/>
      </c>
      <c r="Q460" s="45" t="str">
        <f>IF(VLOOKUP($C460,REV!$C:$AA,15,0)-'TRADE IN'!$F460=0,"",(VLOOKUP($C460,REV!$C:$AA,15,0)-'TRADE IN'!$F460))</f>
        <v/>
      </c>
      <c r="R460" s="45" t="str">
        <f>IF(VLOOKUP($C460,REV!$C:$AA,16,0)-'TRADE IN'!$F460=0,"",(VLOOKUP($C460,REV!$C:$AA,16,0)-'TRADE IN'!$F460))</f>
        <v/>
      </c>
      <c r="S460" s="45" t="str">
        <f>IF(VLOOKUP($C460,REV!$C:$AA,17,0)-'TRADE IN'!$F460=0,"",(VLOOKUP($C460,REV!$C:$AA,17,0)-'TRADE IN'!$F460))</f>
        <v/>
      </c>
      <c r="T460" s="45" t="str">
        <f>IF(VLOOKUP($C460,REV!$C:$AA,18,0)-'TRADE IN'!$F460=0,"",(VLOOKUP($C460,REV!$C:$AA,18,0)-'TRADE IN'!$F460))</f>
        <v/>
      </c>
      <c r="U460" s="45" t="str">
        <f>IF(VLOOKUP($C460,REV!$C:$AA,19,0)-'TRADE IN'!$F460=0,"",(VLOOKUP($C460,REV!$C:$AA,19,0)-'TRADE IN'!$F460))</f>
        <v/>
      </c>
      <c r="V460" s="45" t="str">
        <f>IF(VLOOKUP($C460,REV!$C:$AA,20,0)-'TRADE IN'!$F460=0,"",(VLOOKUP($C460,REV!$C:$AA,20,0)-'TRADE IN'!$F460))</f>
        <v/>
      </c>
      <c r="W460" s="45" t="str">
        <f>IF(VLOOKUP($C460,REV!$C:$AA,21,0)-'TRADE IN'!$F460=0,"",(VLOOKUP($C460,REV!$C:$AA,21,0)-'TRADE IN'!$F460))</f>
        <v/>
      </c>
      <c r="X460" s="45" t="str">
        <f>IF(VLOOKUP($C460,REV!$C:$AA,22,0)-'TRADE IN'!$F460=0,"",(VLOOKUP($C460,REV!$C:$AA,22,0)-'TRADE IN'!$F460))</f>
        <v/>
      </c>
      <c r="Y460" s="45" t="str">
        <f>IF(VLOOKUP($C460,REV!$C:$AA,23,0)-'TRADE IN'!$F460=0,"",(VLOOKUP($C460,REV!$C:$AA,23,0)-'TRADE IN'!$F460))</f>
        <v/>
      </c>
      <c r="Z460" s="45" t="str">
        <f>IF(VLOOKUP($C460,REV!$C:$AA,24,0)-'TRADE IN'!$F460=0,"",(VLOOKUP($C460,REV!$C:$AA,24,0)-'TRADE IN'!$F460))</f>
        <v/>
      </c>
      <c r="AA460" s="45" t="str">
        <f>IF(VLOOKUP($C460,REV!$C:$AA,25,0)-'TRADE IN'!$F460=0,"",(VLOOKUP($C460,REV!$C:$AA,25,0)-'TRADE IN'!$F460))</f>
        <v/>
      </c>
      <c r="AB460" s="45" t="str">
        <f>IF(VLOOKUP($C460,REV!$C:$AL,27,0)-'TRADE IN'!$F460=0,"",(VLOOKUP($C460,REV!$C:$AL,27,0)-'TRADE IN'!$F460))</f>
        <v/>
      </c>
      <c r="AC460" s="45" t="str">
        <f>IF(VLOOKUP($C460,REV!$C:$AL,28,0)-'TRADE IN'!$F460=0,"",(VLOOKUP($C460,REV!$C:$AL,28,0)-'TRADE IN'!$F460))</f>
        <v/>
      </c>
      <c r="AD460" s="45" t="str">
        <f>IF(VLOOKUP($C460,REV!$C:$AL,29,0)-'TRADE IN'!$F460=0,"",(VLOOKUP($C460,REV!$C:$AL,29,0)-'TRADE IN'!$F460))</f>
        <v/>
      </c>
      <c r="AE460" s="45" t="str">
        <f>IF(VLOOKUP($C460,REV!$C:$AL,30,0)-'TRADE IN'!$F460=0,"",(VLOOKUP($C460,REV!$C:$AL,30,0)-'TRADE IN'!$F460))</f>
        <v/>
      </c>
      <c r="AF460" s="45" t="str">
        <f>IF(VLOOKUP($C460,REV!$C:$AL,31,0)-'TRADE IN'!$F460=0,"",(VLOOKUP($C460,REV!$C:$AL,31,0)-'TRADE IN'!$F460))</f>
        <v/>
      </c>
      <c r="AG460" s="45" t="str">
        <f>IF(VLOOKUP($C460,REV!$C:$AL,31,0)-'TRADE IN'!$F460=0,"",(VLOOKUP($C460,REV!$C:$AL,31,0)-'TRADE IN'!$F460))</f>
        <v/>
      </c>
      <c r="AH460" s="45" t="str">
        <f>IF(VLOOKUP($C460,REV!$C:$AL,32,0)-'TRADE IN'!$F460=0,"",(VLOOKUP($C460,REV!$C:$AL,32,0)-'TRADE IN'!$F460))</f>
        <v/>
      </c>
      <c r="AI460" s="45" t="str">
        <f>IF(VLOOKUP($C460,REV!$C:$AL,33,0)-'TRADE IN'!$F460=0,"",(VLOOKUP($C460,REV!$C:$AL,33,0)-'TRADE IN'!$F460))</f>
        <v/>
      </c>
      <c r="AJ460" s="45" t="str">
        <f>IF(VLOOKUP($C460,REV!$C:$AL,34,0)-'TRADE IN'!$F460=0,"",(VLOOKUP($C460,REV!$C:$AL,34,0)-'TRADE IN'!$F460))</f>
        <v/>
      </c>
      <c r="AK460" s="45" t="str">
        <f>IF(VLOOKUP($C460,REV!$C:$AL,35,0)-'TRADE IN'!$F460=0,"",(VLOOKUP($C460,REV!$C:$AL,35,0)-'TRADE IN'!$F460))</f>
        <v/>
      </c>
      <c r="AL460" s="45" t="str">
        <f>IF(VLOOKUP($C460,REV!$C:$AL,36,0)-'TRADE IN'!$F460=0,"",(VLOOKUP($C460,REV!$C:$AL,36,0)-'TRADE IN'!$F460))</f>
        <v/>
      </c>
      <c r="AM460" s="45"/>
      <c r="AN460" s="45"/>
      <c r="AO460" s="45"/>
      <c r="AP460" s="45">
        <v>575</v>
      </c>
      <c r="AQ460" s="45">
        <v>575</v>
      </c>
      <c r="AR460" s="45">
        <v>575</v>
      </c>
      <c r="AS460" s="87">
        <v>199</v>
      </c>
      <c r="AT460" s="87">
        <v>159</v>
      </c>
      <c r="AU460" s="88">
        <v>99.9</v>
      </c>
      <c r="AW460" s="156" t="str">
        <f>REV!AW460</f>
        <v>13.08.2026</v>
      </c>
      <c r="AX460" s="155" t="s">
        <v>230</v>
      </c>
    </row>
    <row r="461" spans="1:50" ht="22.5" customHeight="1">
      <c r="A461" s="55" t="s">
        <v>222</v>
      </c>
      <c r="B461" s="42" t="s">
        <v>64</v>
      </c>
      <c r="C461" s="63">
        <v>4012041</v>
      </c>
      <c r="D461" s="62" t="s">
        <v>669</v>
      </c>
      <c r="E461" s="56" t="s">
        <v>669</v>
      </c>
      <c r="F461" s="46"/>
      <c r="I461" s="93"/>
      <c r="J461" s="45" t="str">
        <f>IF(VLOOKUP($C461,REV!$C:$AA,8,0)-'TRADE IN'!$F461=0,"",(VLOOKUP($C461,REV!$C:$AA,8,0)-'TRADE IN'!$F461))</f>
        <v/>
      </c>
      <c r="K461" s="45" t="str">
        <f>IF(VLOOKUP($C461,REV!$C:$AA,9,0)-'TRADE IN'!$F461=0,"",(VLOOKUP($C461,REV!$C:$AA,9,0)-'TRADE IN'!$F461))</f>
        <v/>
      </c>
      <c r="L461" s="45" t="str">
        <f>IF(VLOOKUP($C461,REV!$C:$AA,10,0)-'TRADE IN'!$F461=0,"",(VLOOKUP($C461,REV!$C:$AA,10,0)-'TRADE IN'!$F461))</f>
        <v/>
      </c>
      <c r="M461" s="45" t="str">
        <f>IF(VLOOKUP($C461,REV!$C:$AA,11,0)-'TRADE IN'!$F461=0,"",(VLOOKUP($C461,REV!$C:$AA,11,0)-'TRADE IN'!$F461))</f>
        <v/>
      </c>
      <c r="N461" s="45" t="str">
        <f>IF(VLOOKUP($C461,REV!$C:$AA,12,0)-'TRADE IN'!$F461=0,"",(VLOOKUP($C461,REV!$C:$AA,12,0)-'TRADE IN'!$F461))</f>
        <v/>
      </c>
      <c r="O461" s="45" t="str">
        <f>IF(VLOOKUP($C461,REV!$C:$AA,13,0)-'TRADE IN'!$F461=0,"",(VLOOKUP($C461,REV!$C:$AA,13,0)-'TRADE IN'!$F461))</f>
        <v/>
      </c>
      <c r="P461" s="45" t="str">
        <f>IF(VLOOKUP($C461,REV!$C:$AA,14,0)-'TRADE IN'!$F461=0,"",(VLOOKUP($C461,REV!$C:$AA,14,0)-'TRADE IN'!$F461))</f>
        <v/>
      </c>
      <c r="Q461" s="45" t="str">
        <f>IF(VLOOKUP($C461,REV!$C:$AA,15,0)-'TRADE IN'!$F461=0,"",(VLOOKUP($C461,REV!$C:$AA,15,0)-'TRADE IN'!$F461))</f>
        <v/>
      </c>
      <c r="R461" s="45" t="str">
        <f>IF(VLOOKUP($C461,REV!$C:$AA,16,0)-'TRADE IN'!$F461=0,"",(VLOOKUP($C461,REV!$C:$AA,16,0)-'TRADE IN'!$F461))</f>
        <v/>
      </c>
      <c r="S461" s="45" t="str">
        <f>IF(VLOOKUP($C461,REV!$C:$AA,17,0)-'TRADE IN'!$F461=0,"",(VLOOKUP($C461,REV!$C:$AA,17,0)-'TRADE IN'!$F461))</f>
        <v/>
      </c>
      <c r="T461" s="45" t="str">
        <f>IF(VLOOKUP($C461,REV!$C:$AA,18,0)-'TRADE IN'!$F461=0,"",(VLOOKUP($C461,REV!$C:$AA,18,0)-'TRADE IN'!$F461))</f>
        <v/>
      </c>
      <c r="U461" s="45" t="str">
        <f>IF(VLOOKUP($C461,REV!$C:$AA,19,0)-'TRADE IN'!$F461=0,"",(VLOOKUP($C461,REV!$C:$AA,19,0)-'TRADE IN'!$F461))</f>
        <v/>
      </c>
      <c r="V461" s="45" t="str">
        <f>IF(VLOOKUP($C461,REV!$C:$AA,20,0)-'TRADE IN'!$F461=0,"",(VLOOKUP($C461,REV!$C:$AA,20,0)-'TRADE IN'!$F461))</f>
        <v/>
      </c>
      <c r="W461" s="45" t="str">
        <f>IF(VLOOKUP($C461,REV!$C:$AA,21,0)-'TRADE IN'!$F461=0,"",(VLOOKUP($C461,REV!$C:$AA,21,0)-'TRADE IN'!$F461))</f>
        <v/>
      </c>
      <c r="X461" s="45" t="str">
        <f>IF(VLOOKUP($C461,REV!$C:$AA,22,0)-'TRADE IN'!$F461=0,"",(VLOOKUP($C461,REV!$C:$AA,22,0)-'TRADE IN'!$F461))</f>
        <v/>
      </c>
      <c r="Y461" s="45" t="str">
        <f>IF(VLOOKUP($C461,REV!$C:$AA,23,0)-'TRADE IN'!$F461=0,"",(VLOOKUP($C461,REV!$C:$AA,23,0)-'TRADE IN'!$F461))</f>
        <v/>
      </c>
      <c r="Z461" s="45" t="str">
        <f>IF(VLOOKUP($C461,REV!$C:$AA,24,0)-'TRADE IN'!$F461=0,"",(VLOOKUP($C461,REV!$C:$AA,24,0)-'TRADE IN'!$F461))</f>
        <v/>
      </c>
      <c r="AA461" s="45" t="str">
        <f>IF(VLOOKUP($C461,REV!$C:$AA,25,0)-'TRADE IN'!$F461=0,"",(VLOOKUP($C461,REV!$C:$AA,25,0)-'TRADE IN'!$F461))</f>
        <v/>
      </c>
      <c r="AB461" s="45" t="str">
        <f>IF(VLOOKUP($C461,REV!$C:$AL,27,0)-'TRADE IN'!$F461=0,"",(VLOOKUP($C461,REV!$C:$AL,27,0)-'TRADE IN'!$F461))</f>
        <v/>
      </c>
      <c r="AC461" s="45" t="str">
        <f>IF(VLOOKUP($C461,REV!$C:$AL,28,0)-'TRADE IN'!$F461=0,"",(VLOOKUP($C461,REV!$C:$AL,28,0)-'TRADE IN'!$F461))</f>
        <v/>
      </c>
      <c r="AD461" s="45" t="str">
        <f>IF(VLOOKUP($C461,REV!$C:$AL,29,0)-'TRADE IN'!$F461=0,"",(VLOOKUP($C461,REV!$C:$AL,29,0)-'TRADE IN'!$F461))</f>
        <v/>
      </c>
      <c r="AE461" s="45" t="str">
        <f>IF(VLOOKUP($C461,REV!$C:$AL,30,0)-'TRADE IN'!$F461=0,"",(VLOOKUP($C461,REV!$C:$AL,30,0)-'TRADE IN'!$F461))</f>
        <v/>
      </c>
      <c r="AF461" s="45" t="str">
        <f>IF(VLOOKUP($C461,REV!$C:$AL,31,0)-'TRADE IN'!$F461=0,"",(VLOOKUP($C461,REV!$C:$AL,31,0)-'TRADE IN'!$F461))</f>
        <v/>
      </c>
      <c r="AG461" s="45" t="str">
        <f>IF(VLOOKUP($C461,REV!$C:$AL,31,0)-'TRADE IN'!$F461=0,"",(VLOOKUP($C461,REV!$C:$AL,31,0)-'TRADE IN'!$F461))</f>
        <v/>
      </c>
      <c r="AH461" s="45" t="str">
        <f>IF(VLOOKUP($C461,REV!$C:$AL,32,0)-'TRADE IN'!$F461=0,"",(VLOOKUP($C461,REV!$C:$AL,32,0)-'TRADE IN'!$F461))</f>
        <v/>
      </c>
      <c r="AI461" s="45" t="str">
        <f>IF(VLOOKUP($C461,REV!$C:$AL,33,0)-'TRADE IN'!$F461=0,"",(VLOOKUP($C461,REV!$C:$AL,33,0)-'TRADE IN'!$F461))</f>
        <v/>
      </c>
      <c r="AJ461" s="45" t="str">
        <f>IF(VLOOKUP($C461,REV!$C:$AL,34,0)-'TRADE IN'!$F461=0,"",(VLOOKUP($C461,REV!$C:$AL,34,0)-'TRADE IN'!$F461))</f>
        <v/>
      </c>
      <c r="AK461" s="45" t="str">
        <f>IF(VLOOKUP($C461,REV!$C:$AL,35,0)-'TRADE IN'!$F461=0,"",(VLOOKUP($C461,REV!$C:$AL,35,0)-'TRADE IN'!$F461))</f>
        <v/>
      </c>
      <c r="AL461" s="45" t="str">
        <f>IF(VLOOKUP($C461,REV!$C:$AL,36,0)-'TRADE IN'!$F461=0,"",(VLOOKUP($C461,REV!$C:$AL,36,0)-'TRADE IN'!$F461))</f>
        <v/>
      </c>
      <c r="AM461" s="45"/>
      <c r="AN461" s="45"/>
      <c r="AO461" s="45"/>
      <c r="AP461" s="45">
        <v>575</v>
      </c>
      <c r="AQ461" s="45">
        <v>575</v>
      </c>
      <c r="AR461" s="45">
        <v>575</v>
      </c>
      <c r="AS461" s="87">
        <v>199</v>
      </c>
      <c r="AT461" s="87">
        <v>159</v>
      </c>
      <c r="AU461" s="88">
        <v>99.9</v>
      </c>
      <c r="AW461" s="157" t="str">
        <f>REV!AW461</f>
        <v>13.08.2026</v>
      </c>
      <c r="AX461" s="149" t="s">
        <v>230</v>
      </c>
    </row>
    <row r="462" spans="1:50" ht="22.5" customHeight="1">
      <c r="A462" s="55" t="s">
        <v>222</v>
      </c>
      <c r="B462" s="42" t="s">
        <v>64</v>
      </c>
      <c r="C462" s="43">
        <v>4012242</v>
      </c>
      <c r="D462" s="62" t="s">
        <v>670</v>
      </c>
      <c r="E462" s="56" t="s">
        <v>670</v>
      </c>
      <c r="F462" s="46"/>
      <c r="G462" s="47"/>
      <c r="H462" s="4"/>
      <c r="I462" s="47"/>
      <c r="J462" s="45" t="str">
        <f>IF(VLOOKUP($C462,REV!$C:$AA,8,0)-'TRADE IN'!$F462=0,"",(VLOOKUP($C462,REV!$C:$AA,8,0)-'TRADE IN'!$F462))</f>
        <v/>
      </c>
      <c r="K462" s="45" t="str">
        <f>IF(VLOOKUP($C462,REV!$C:$AA,9,0)-'TRADE IN'!$F462=0,"",(VLOOKUP($C462,REV!$C:$AA,9,0)-'TRADE IN'!$F462))</f>
        <v/>
      </c>
      <c r="L462" s="45" t="str">
        <f>IF(VLOOKUP($C462,REV!$C:$AA,10,0)-'TRADE IN'!$F462=0,"",(VLOOKUP($C462,REV!$C:$AA,10,0)-'TRADE IN'!$F462))</f>
        <v/>
      </c>
      <c r="M462" s="45" t="str">
        <f>IF(VLOOKUP($C462,REV!$C:$AA,11,0)-'TRADE IN'!$F462=0,"",(VLOOKUP($C462,REV!$C:$AA,11,0)-'TRADE IN'!$F462))</f>
        <v/>
      </c>
      <c r="N462" s="45" t="str">
        <f>IF(VLOOKUP($C462,REV!$C:$AA,12,0)-'TRADE IN'!$F462=0,"",(VLOOKUP($C462,REV!$C:$AA,12,0)-'TRADE IN'!$F462))</f>
        <v/>
      </c>
      <c r="O462" s="45" t="str">
        <f>IF(VLOOKUP($C462,REV!$C:$AA,13,0)-'TRADE IN'!$F462=0,"",(VLOOKUP($C462,REV!$C:$AA,13,0)-'TRADE IN'!$F462))</f>
        <v/>
      </c>
      <c r="P462" s="45" t="str">
        <f>IF(VLOOKUP($C462,REV!$C:$AA,14,0)-'TRADE IN'!$F462=0,"",(VLOOKUP($C462,REV!$C:$AA,14,0)-'TRADE IN'!$F462))</f>
        <v/>
      </c>
      <c r="Q462" s="45" t="str">
        <f>IF(VLOOKUP($C462,REV!$C:$AA,15,0)-'TRADE IN'!$F462=0,"",(VLOOKUP($C462,REV!$C:$AA,15,0)-'TRADE IN'!$F462))</f>
        <v/>
      </c>
      <c r="R462" s="45" t="str">
        <f>IF(VLOOKUP($C462,REV!$C:$AA,16,0)-'TRADE IN'!$F462=0,"",(VLOOKUP($C462,REV!$C:$AA,16,0)-'TRADE IN'!$F462))</f>
        <v/>
      </c>
      <c r="S462" s="45" t="str">
        <f>IF(VLOOKUP($C462,REV!$C:$AA,17,0)-'TRADE IN'!$F462=0,"",(VLOOKUP($C462,REV!$C:$AA,17,0)-'TRADE IN'!$F462))</f>
        <v/>
      </c>
      <c r="T462" s="45" t="str">
        <f>IF(VLOOKUP($C462,REV!$C:$AA,18,0)-'TRADE IN'!$F462=0,"",(VLOOKUP($C462,REV!$C:$AA,18,0)-'TRADE IN'!$F462))</f>
        <v/>
      </c>
      <c r="U462" s="45" t="str">
        <f>IF(VLOOKUP($C462,REV!$C:$AA,19,0)-'TRADE IN'!$F462=0,"",(VLOOKUP($C462,REV!$C:$AA,19,0)-'TRADE IN'!$F462))</f>
        <v/>
      </c>
      <c r="V462" s="45" t="str">
        <f>IF(VLOOKUP($C462,REV!$C:$AA,20,0)-'TRADE IN'!$F462=0,"",(VLOOKUP($C462,REV!$C:$AA,20,0)-'TRADE IN'!$F462))</f>
        <v/>
      </c>
      <c r="W462" s="45" t="str">
        <f>IF(VLOOKUP($C462,REV!$C:$AA,21,0)-'TRADE IN'!$F462=0,"",(VLOOKUP($C462,REV!$C:$AA,21,0)-'TRADE IN'!$F462))</f>
        <v/>
      </c>
      <c r="X462" s="45" t="str">
        <f>IF(VLOOKUP($C462,REV!$C:$AA,22,0)-'TRADE IN'!$F462=0,"",(VLOOKUP($C462,REV!$C:$AA,22,0)-'TRADE IN'!$F462))</f>
        <v/>
      </c>
      <c r="Y462" s="45" t="str">
        <f>IF(VLOOKUP($C462,REV!$C:$AA,23,0)-'TRADE IN'!$F462=0,"",(VLOOKUP($C462,REV!$C:$AA,23,0)-'TRADE IN'!$F462))</f>
        <v/>
      </c>
      <c r="Z462" s="45" t="str">
        <f>IF(VLOOKUP($C462,REV!$C:$AA,24,0)-'TRADE IN'!$F462=0,"",(VLOOKUP($C462,REV!$C:$AA,24,0)-'TRADE IN'!$F462))</f>
        <v/>
      </c>
      <c r="AA462" s="45" t="str">
        <f>IF(VLOOKUP($C462,REV!$C:$AA,25,0)-'TRADE IN'!$F462=0,"",(VLOOKUP($C462,REV!$C:$AA,25,0)-'TRADE IN'!$F462))</f>
        <v/>
      </c>
      <c r="AB462" s="45" t="str">
        <f>IF(VLOOKUP($C462,REV!$C:$AL,27,0)-'TRADE IN'!$F462=0,"",(VLOOKUP($C462,REV!$C:$AL,27,0)-'TRADE IN'!$F462))</f>
        <v/>
      </c>
      <c r="AC462" s="45" t="str">
        <f>IF(VLOOKUP($C462,REV!$C:$AL,28,0)-'TRADE IN'!$F462=0,"",(VLOOKUP($C462,REV!$C:$AL,28,0)-'TRADE IN'!$F462))</f>
        <v/>
      </c>
      <c r="AD462" s="45" t="str">
        <f>IF(VLOOKUP($C462,REV!$C:$AL,29,0)-'TRADE IN'!$F462=0,"",(VLOOKUP($C462,REV!$C:$AL,29,0)-'TRADE IN'!$F462))</f>
        <v/>
      </c>
      <c r="AE462" s="45" t="str">
        <f>IF(VLOOKUP($C462,REV!$C:$AL,30,0)-'TRADE IN'!$F462=0,"",(VLOOKUP($C462,REV!$C:$AL,30,0)-'TRADE IN'!$F462))</f>
        <v/>
      </c>
      <c r="AF462" s="45" t="str">
        <f>IF(VLOOKUP($C462,REV!$C:$AL,31,0)-'TRADE IN'!$F462=0,"",(VLOOKUP($C462,REV!$C:$AL,31,0)-'TRADE IN'!$F462))</f>
        <v/>
      </c>
      <c r="AG462" s="45" t="str">
        <f>IF(VLOOKUP($C462,REV!$C:$AL,31,0)-'TRADE IN'!$F462=0,"",(VLOOKUP($C462,REV!$C:$AL,31,0)-'TRADE IN'!$F462))</f>
        <v/>
      </c>
      <c r="AH462" s="45" t="str">
        <f>IF(VLOOKUP($C462,REV!$C:$AL,32,0)-'TRADE IN'!$F462=0,"",(VLOOKUP($C462,REV!$C:$AL,32,0)-'TRADE IN'!$F462))</f>
        <v/>
      </c>
      <c r="AI462" s="45" t="str">
        <f>IF(VLOOKUP($C462,REV!$C:$AL,33,0)-'TRADE IN'!$F462=0,"",(VLOOKUP($C462,REV!$C:$AL,33,0)-'TRADE IN'!$F462))</f>
        <v/>
      </c>
      <c r="AJ462" s="45" t="str">
        <f>IF(VLOOKUP($C462,REV!$C:$AL,34,0)-'TRADE IN'!$F462=0,"",(VLOOKUP($C462,REV!$C:$AL,34,0)-'TRADE IN'!$F462))</f>
        <v/>
      </c>
      <c r="AK462" s="45" t="str">
        <f>IF(VLOOKUP($C462,REV!$C:$AL,35,0)-'TRADE IN'!$F462=0,"",(VLOOKUP($C462,REV!$C:$AL,35,0)-'TRADE IN'!$F462))</f>
        <v/>
      </c>
      <c r="AL462" s="45" t="str">
        <f>IF(VLOOKUP($C462,REV!$C:$AL,36,0)-'TRADE IN'!$F462=0,"",(VLOOKUP($C462,REV!$C:$AL,36,0)-'TRADE IN'!$F462))</f>
        <v/>
      </c>
      <c r="AM462" s="45"/>
      <c r="AN462" s="45"/>
      <c r="AO462" s="45"/>
      <c r="AP462" s="45">
        <v>575</v>
      </c>
      <c r="AQ462" s="45">
        <v>575</v>
      </c>
      <c r="AR462" s="45">
        <v>575</v>
      </c>
      <c r="AS462" s="87">
        <v>199</v>
      </c>
      <c r="AT462" s="87">
        <v>159</v>
      </c>
      <c r="AU462" s="88">
        <v>99.9</v>
      </c>
      <c r="AW462" s="157" t="str">
        <f>REV!AW462</f>
        <v>13.08.2026</v>
      </c>
      <c r="AX462" s="149" t="s">
        <v>230</v>
      </c>
    </row>
    <row r="463" spans="1:50" ht="22.5" customHeight="1">
      <c r="A463" s="55" t="s">
        <v>222</v>
      </c>
      <c r="B463" s="42" t="s">
        <v>64</v>
      </c>
      <c r="C463" s="43">
        <v>4012590</v>
      </c>
      <c r="D463" s="62" t="s">
        <v>671</v>
      </c>
      <c r="E463" s="56" t="s">
        <v>671</v>
      </c>
      <c r="F463" s="46"/>
      <c r="J463" s="45" t="str">
        <f>IF(VLOOKUP($C463,REV!$C:$AA,8,0)-'TRADE IN'!$F463=0,"",(VLOOKUP($C463,REV!$C:$AA,8,0)-'TRADE IN'!$F463))</f>
        <v/>
      </c>
      <c r="K463" s="45" t="str">
        <f>IF(VLOOKUP($C463,REV!$C:$AA,9,0)-'TRADE IN'!$F463=0,"",(VLOOKUP($C463,REV!$C:$AA,9,0)-'TRADE IN'!$F463))</f>
        <v/>
      </c>
      <c r="L463" s="45" t="str">
        <f>IF(VLOOKUP($C463,REV!$C:$AA,10,0)-'TRADE IN'!$F463=0,"",(VLOOKUP($C463,REV!$C:$AA,10,0)-'TRADE IN'!$F463))</f>
        <v/>
      </c>
      <c r="M463" s="45" t="str">
        <f>IF(VLOOKUP($C463,REV!$C:$AA,11,0)-'TRADE IN'!$F463=0,"",(VLOOKUP($C463,REV!$C:$AA,11,0)-'TRADE IN'!$F463))</f>
        <v/>
      </c>
      <c r="N463" s="45" t="str">
        <f>IF(VLOOKUP($C463,REV!$C:$AA,12,0)-'TRADE IN'!$F463=0,"",(VLOOKUP($C463,REV!$C:$AA,12,0)-'TRADE IN'!$F463))</f>
        <v/>
      </c>
      <c r="O463" s="45" t="str">
        <f>IF(VLOOKUP($C463,REV!$C:$AA,13,0)-'TRADE IN'!$F463=0,"",(VLOOKUP($C463,REV!$C:$AA,13,0)-'TRADE IN'!$F463))</f>
        <v/>
      </c>
      <c r="P463" s="45" t="str">
        <f>IF(VLOOKUP($C463,REV!$C:$AA,14,0)-'TRADE IN'!$F463=0,"",(VLOOKUP($C463,REV!$C:$AA,14,0)-'TRADE IN'!$F463))</f>
        <v/>
      </c>
      <c r="Q463" s="45" t="str">
        <f>IF(VLOOKUP($C463,REV!$C:$AA,15,0)-'TRADE IN'!$F463=0,"",(VLOOKUP($C463,REV!$C:$AA,15,0)-'TRADE IN'!$F463))</f>
        <v/>
      </c>
      <c r="R463" s="45" t="str">
        <f>IF(VLOOKUP($C463,REV!$C:$AA,16,0)-'TRADE IN'!$F463=0,"",(VLOOKUP($C463,REV!$C:$AA,16,0)-'TRADE IN'!$F463))</f>
        <v/>
      </c>
      <c r="S463" s="45" t="str">
        <f>IF(VLOOKUP($C463,REV!$C:$AA,17,0)-'TRADE IN'!$F463=0,"",(VLOOKUP($C463,REV!$C:$AA,17,0)-'TRADE IN'!$F463))</f>
        <v/>
      </c>
      <c r="T463" s="45" t="str">
        <f>IF(VLOOKUP($C463,REV!$C:$AA,18,0)-'TRADE IN'!$F463=0,"",(VLOOKUP($C463,REV!$C:$AA,18,0)-'TRADE IN'!$F463))</f>
        <v/>
      </c>
      <c r="U463" s="45" t="str">
        <f>IF(VLOOKUP($C463,REV!$C:$AA,19,0)-'TRADE IN'!$F463=0,"",(VLOOKUP($C463,REV!$C:$AA,19,0)-'TRADE IN'!$F463))</f>
        <v/>
      </c>
      <c r="V463" s="45" t="str">
        <f>IF(VLOOKUP($C463,REV!$C:$AA,20,0)-'TRADE IN'!$F463=0,"",(VLOOKUP($C463,REV!$C:$AA,20,0)-'TRADE IN'!$F463))</f>
        <v/>
      </c>
      <c r="W463" s="45" t="str">
        <f>IF(VLOOKUP($C463,REV!$C:$AA,21,0)-'TRADE IN'!$F463=0,"",(VLOOKUP($C463,REV!$C:$AA,21,0)-'TRADE IN'!$F463))</f>
        <v/>
      </c>
      <c r="X463" s="45" t="str">
        <f>IF(VLOOKUP($C463,REV!$C:$AA,22,0)-'TRADE IN'!$F463=0,"",(VLOOKUP($C463,REV!$C:$AA,22,0)-'TRADE IN'!$F463))</f>
        <v/>
      </c>
      <c r="Y463" s="45" t="str">
        <f>IF(VLOOKUP($C463,REV!$C:$AA,23,0)-'TRADE IN'!$F463=0,"",(VLOOKUP($C463,REV!$C:$AA,23,0)-'TRADE IN'!$F463))</f>
        <v/>
      </c>
      <c r="Z463" s="45" t="str">
        <f>IF(VLOOKUP($C463,REV!$C:$AA,24,0)-'TRADE IN'!$F463=0,"",(VLOOKUP($C463,REV!$C:$AA,24,0)-'TRADE IN'!$F463))</f>
        <v/>
      </c>
      <c r="AA463" s="45" t="str">
        <f>IF(VLOOKUP($C463,REV!$C:$AA,25,0)-'TRADE IN'!$F463=0,"",(VLOOKUP($C463,REV!$C:$AA,25,0)-'TRADE IN'!$F463))</f>
        <v/>
      </c>
      <c r="AB463" s="45" t="str">
        <f>IF(VLOOKUP($C463,REV!$C:$AL,27,0)-'TRADE IN'!$F463=0,"",(VLOOKUP($C463,REV!$C:$AL,27,0)-'TRADE IN'!$F463))</f>
        <v/>
      </c>
      <c r="AC463" s="45" t="str">
        <f>IF(VLOOKUP($C463,REV!$C:$AL,28,0)-'TRADE IN'!$F463=0,"",(VLOOKUP($C463,REV!$C:$AL,28,0)-'TRADE IN'!$F463))</f>
        <v/>
      </c>
      <c r="AD463" s="45" t="str">
        <f>IF(VLOOKUP($C463,REV!$C:$AL,29,0)-'TRADE IN'!$F463=0,"",(VLOOKUP($C463,REV!$C:$AL,29,0)-'TRADE IN'!$F463))</f>
        <v/>
      </c>
      <c r="AE463" s="45" t="str">
        <f>IF(VLOOKUP($C463,REV!$C:$AL,30,0)-'TRADE IN'!$F463=0,"",(VLOOKUP($C463,REV!$C:$AL,30,0)-'TRADE IN'!$F463))</f>
        <v/>
      </c>
      <c r="AF463" s="45" t="str">
        <f>IF(VLOOKUP($C463,REV!$C:$AL,31,0)-'TRADE IN'!$F463=0,"",(VLOOKUP($C463,REV!$C:$AL,31,0)-'TRADE IN'!$F463))</f>
        <v/>
      </c>
      <c r="AG463" s="45" t="str">
        <f>IF(VLOOKUP($C463,REV!$C:$AL,31,0)-'TRADE IN'!$F463=0,"",(VLOOKUP($C463,REV!$C:$AL,31,0)-'TRADE IN'!$F463))</f>
        <v/>
      </c>
      <c r="AH463" s="45" t="str">
        <f>IF(VLOOKUP($C463,REV!$C:$AL,32,0)-'TRADE IN'!$F463=0,"",(VLOOKUP($C463,REV!$C:$AL,32,0)-'TRADE IN'!$F463))</f>
        <v/>
      </c>
      <c r="AI463" s="45" t="str">
        <f>IF(VLOOKUP($C463,REV!$C:$AL,33,0)-'TRADE IN'!$F463=0,"",(VLOOKUP($C463,REV!$C:$AL,33,0)-'TRADE IN'!$F463))</f>
        <v/>
      </c>
      <c r="AJ463" s="45" t="str">
        <f>IF(VLOOKUP($C463,REV!$C:$AL,34,0)-'TRADE IN'!$F463=0,"",(VLOOKUP($C463,REV!$C:$AL,34,0)-'TRADE IN'!$F463))</f>
        <v/>
      </c>
      <c r="AK463" s="45" t="str">
        <f>IF(VLOOKUP($C463,REV!$C:$AL,35,0)-'TRADE IN'!$F463=0,"",(VLOOKUP($C463,REV!$C:$AL,35,0)-'TRADE IN'!$F463))</f>
        <v/>
      </c>
      <c r="AL463" s="45" t="str">
        <f>IF(VLOOKUP($C463,REV!$C:$AL,36,0)-'TRADE IN'!$F463=0,"",(VLOOKUP($C463,REV!$C:$AL,36,0)-'TRADE IN'!$F463))</f>
        <v/>
      </c>
      <c r="AM463" s="45"/>
      <c r="AN463" s="45"/>
      <c r="AO463" s="45"/>
      <c r="AP463" s="45">
        <v>575</v>
      </c>
      <c r="AQ463" s="45">
        <v>575</v>
      </c>
      <c r="AR463" s="45">
        <v>575</v>
      </c>
      <c r="AS463" s="87">
        <v>199</v>
      </c>
      <c r="AT463" s="87">
        <v>159</v>
      </c>
      <c r="AU463" s="88">
        <v>99.9</v>
      </c>
      <c r="AW463" s="157" t="str">
        <f>REV!AW463</f>
        <v>13.08.2026</v>
      </c>
      <c r="AX463" s="149" t="s">
        <v>230</v>
      </c>
    </row>
    <row r="464" spans="1:50" ht="22.5" customHeight="1">
      <c r="A464" s="55" t="s">
        <v>222</v>
      </c>
      <c r="B464" s="42" t="s">
        <v>64</v>
      </c>
      <c r="C464" s="43">
        <v>4012681</v>
      </c>
      <c r="D464" s="62" t="s">
        <v>672</v>
      </c>
      <c r="E464" s="56" t="s">
        <v>672</v>
      </c>
      <c r="F464" s="46"/>
      <c r="J464" s="45" t="str">
        <f>IF(VLOOKUP($C464,REV!$C:$AA,8,0)-'TRADE IN'!$F464=0,"",(VLOOKUP($C464,REV!$C:$AA,8,0)-'TRADE IN'!$F464))</f>
        <v/>
      </c>
      <c r="K464" s="45" t="str">
        <f>IF(VLOOKUP($C464,REV!$C:$AA,9,0)-'TRADE IN'!$F464=0,"",(VLOOKUP($C464,REV!$C:$AA,9,0)-'TRADE IN'!$F464))</f>
        <v/>
      </c>
      <c r="L464" s="45" t="str">
        <f>IF(VLOOKUP($C464,REV!$C:$AA,10,0)-'TRADE IN'!$F464=0,"",(VLOOKUP($C464,REV!$C:$AA,10,0)-'TRADE IN'!$F464))</f>
        <v/>
      </c>
      <c r="M464" s="45" t="str">
        <f>IF(VLOOKUP($C464,REV!$C:$AA,11,0)-'TRADE IN'!$F464=0,"",(VLOOKUP($C464,REV!$C:$AA,11,0)-'TRADE IN'!$F464))</f>
        <v/>
      </c>
      <c r="N464" s="45" t="str">
        <f>IF(VLOOKUP($C464,REV!$C:$AA,12,0)-'TRADE IN'!$F464=0,"",(VLOOKUP($C464,REV!$C:$AA,12,0)-'TRADE IN'!$F464))</f>
        <v/>
      </c>
      <c r="O464" s="45" t="str">
        <f>IF(VLOOKUP($C464,REV!$C:$AA,13,0)-'TRADE IN'!$F464=0,"",(VLOOKUP($C464,REV!$C:$AA,13,0)-'TRADE IN'!$F464))</f>
        <v/>
      </c>
      <c r="P464" s="45" t="str">
        <f>IF(VLOOKUP($C464,REV!$C:$AA,14,0)-'TRADE IN'!$F464=0,"",(VLOOKUP($C464,REV!$C:$AA,14,0)-'TRADE IN'!$F464))</f>
        <v/>
      </c>
      <c r="Q464" s="45" t="str">
        <f>IF(VLOOKUP($C464,REV!$C:$AA,15,0)-'TRADE IN'!$F464=0,"",(VLOOKUP($C464,REV!$C:$AA,15,0)-'TRADE IN'!$F464))</f>
        <v/>
      </c>
      <c r="R464" s="45" t="str">
        <f>IF(VLOOKUP($C464,REV!$C:$AA,16,0)-'TRADE IN'!$F464=0,"",(VLOOKUP($C464,REV!$C:$AA,16,0)-'TRADE IN'!$F464))</f>
        <v/>
      </c>
      <c r="S464" s="45" t="str">
        <f>IF(VLOOKUP($C464,REV!$C:$AA,17,0)-'TRADE IN'!$F464=0,"",(VLOOKUP($C464,REV!$C:$AA,17,0)-'TRADE IN'!$F464))</f>
        <v/>
      </c>
      <c r="T464" s="45" t="str">
        <f>IF(VLOOKUP($C464,REV!$C:$AA,18,0)-'TRADE IN'!$F464=0,"",(VLOOKUP($C464,REV!$C:$AA,18,0)-'TRADE IN'!$F464))</f>
        <v/>
      </c>
      <c r="U464" s="45" t="str">
        <f>IF(VLOOKUP($C464,REV!$C:$AA,19,0)-'TRADE IN'!$F464=0,"",(VLOOKUP($C464,REV!$C:$AA,19,0)-'TRADE IN'!$F464))</f>
        <v/>
      </c>
      <c r="V464" s="45" t="str">
        <f>IF(VLOOKUP($C464,REV!$C:$AA,20,0)-'TRADE IN'!$F464=0,"",(VLOOKUP($C464,REV!$C:$AA,20,0)-'TRADE IN'!$F464))</f>
        <v/>
      </c>
      <c r="W464" s="45" t="str">
        <f>IF(VLOOKUP($C464,REV!$C:$AA,21,0)-'TRADE IN'!$F464=0,"",(VLOOKUP($C464,REV!$C:$AA,21,0)-'TRADE IN'!$F464))</f>
        <v/>
      </c>
      <c r="X464" s="45" t="str">
        <f>IF(VLOOKUP($C464,REV!$C:$AA,22,0)-'TRADE IN'!$F464=0,"",(VLOOKUP($C464,REV!$C:$AA,22,0)-'TRADE IN'!$F464))</f>
        <v/>
      </c>
      <c r="Y464" s="45" t="str">
        <f>IF(VLOOKUP($C464,REV!$C:$AA,23,0)-'TRADE IN'!$F464=0,"",(VLOOKUP($C464,REV!$C:$AA,23,0)-'TRADE IN'!$F464))</f>
        <v/>
      </c>
      <c r="Z464" s="45" t="str">
        <f>IF(VLOOKUP($C464,REV!$C:$AA,24,0)-'TRADE IN'!$F464=0,"",(VLOOKUP($C464,REV!$C:$AA,24,0)-'TRADE IN'!$F464))</f>
        <v/>
      </c>
      <c r="AA464" s="45" t="str">
        <f>IF(VLOOKUP($C464,REV!$C:$AA,25,0)-'TRADE IN'!$F464=0,"",(VLOOKUP($C464,REV!$C:$AA,25,0)-'TRADE IN'!$F464))</f>
        <v/>
      </c>
      <c r="AB464" s="45" t="str">
        <f>IF(VLOOKUP($C464,REV!$C:$AL,27,0)-'TRADE IN'!$F464=0,"",(VLOOKUP($C464,REV!$C:$AL,27,0)-'TRADE IN'!$F464))</f>
        <v/>
      </c>
      <c r="AC464" s="45" t="str">
        <f>IF(VLOOKUP($C464,REV!$C:$AL,28,0)-'TRADE IN'!$F464=0,"",(VLOOKUP($C464,REV!$C:$AL,28,0)-'TRADE IN'!$F464))</f>
        <v/>
      </c>
      <c r="AD464" s="45" t="str">
        <f>IF(VLOOKUP($C464,REV!$C:$AL,29,0)-'TRADE IN'!$F464=0,"",(VLOOKUP($C464,REV!$C:$AL,29,0)-'TRADE IN'!$F464))</f>
        <v/>
      </c>
      <c r="AE464" s="45" t="str">
        <f>IF(VLOOKUP($C464,REV!$C:$AL,30,0)-'TRADE IN'!$F464=0,"",(VLOOKUP($C464,REV!$C:$AL,30,0)-'TRADE IN'!$F464))</f>
        <v/>
      </c>
      <c r="AF464" s="45" t="str">
        <f>IF(VLOOKUP($C464,REV!$C:$AL,31,0)-'TRADE IN'!$F464=0,"",(VLOOKUP($C464,REV!$C:$AL,31,0)-'TRADE IN'!$F464))</f>
        <v/>
      </c>
      <c r="AG464" s="45" t="str">
        <f>IF(VLOOKUP($C464,REV!$C:$AL,31,0)-'TRADE IN'!$F464=0,"",(VLOOKUP($C464,REV!$C:$AL,31,0)-'TRADE IN'!$F464))</f>
        <v/>
      </c>
      <c r="AH464" s="45" t="str">
        <f>IF(VLOOKUP($C464,REV!$C:$AL,32,0)-'TRADE IN'!$F464=0,"",(VLOOKUP($C464,REV!$C:$AL,32,0)-'TRADE IN'!$F464))</f>
        <v/>
      </c>
      <c r="AI464" s="45" t="str">
        <f>IF(VLOOKUP($C464,REV!$C:$AL,33,0)-'TRADE IN'!$F464=0,"",(VLOOKUP($C464,REV!$C:$AL,33,0)-'TRADE IN'!$F464))</f>
        <v/>
      </c>
      <c r="AJ464" s="45" t="str">
        <f>IF(VLOOKUP($C464,REV!$C:$AL,34,0)-'TRADE IN'!$F464=0,"",(VLOOKUP($C464,REV!$C:$AL,34,0)-'TRADE IN'!$F464))</f>
        <v/>
      </c>
      <c r="AK464" s="45" t="str">
        <f>IF(VLOOKUP($C464,REV!$C:$AL,35,0)-'TRADE IN'!$F464=0,"",(VLOOKUP($C464,REV!$C:$AL,35,0)-'TRADE IN'!$F464))</f>
        <v/>
      </c>
      <c r="AL464" s="45" t="str">
        <f>IF(VLOOKUP($C464,REV!$C:$AL,36,0)-'TRADE IN'!$F464=0,"",(VLOOKUP($C464,REV!$C:$AL,36,0)-'TRADE IN'!$F464))</f>
        <v/>
      </c>
      <c r="AM464" s="45"/>
      <c r="AN464" s="45"/>
      <c r="AO464" s="45"/>
      <c r="AP464" s="45">
        <v>575</v>
      </c>
      <c r="AQ464" s="45">
        <v>575</v>
      </c>
      <c r="AR464" s="45">
        <v>575</v>
      </c>
      <c r="AS464" s="87">
        <v>199</v>
      </c>
      <c r="AT464" s="87">
        <v>159</v>
      </c>
      <c r="AU464" s="88">
        <v>99.9</v>
      </c>
      <c r="AW464" s="157" t="str">
        <f>REV!AW464</f>
        <v>13.08.2026</v>
      </c>
      <c r="AX464" s="149" t="s">
        <v>230</v>
      </c>
    </row>
    <row r="465" spans="1:50" ht="22.5" customHeight="1" thickBot="1">
      <c r="A465" s="82" t="s">
        <v>222</v>
      </c>
      <c r="B465" s="66" t="s">
        <v>64</v>
      </c>
      <c r="C465" s="67">
        <v>4012680</v>
      </c>
      <c r="D465" s="89" t="s">
        <v>673</v>
      </c>
      <c r="E465" s="68" t="s">
        <v>673</v>
      </c>
      <c r="F465" s="69"/>
      <c r="G465" s="158"/>
      <c r="H465" s="158"/>
      <c r="I465" s="158"/>
      <c r="J465" s="69" t="str">
        <f>IF(VLOOKUP($C465,REV!$C:$AA,8,0)-'TRADE IN'!$F465=0,"",(VLOOKUP($C465,REV!$C:$AA,8,0)-'TRADE IN'!$F465))</f>
        <v/>
      </c>
      <c r="K465" s="69" t="str">
        <f>IF(VLOOKUP($C465,REV!$C:$AA,9,0)-'TRADE IN'!$F465=0,"",(VLOOKUP($C465,REV!$C:$AA,9,0)-'TRADE IN'!$F465))</f>
        <v/>
      </c>
      <c r="L465" s="69" t="str">
        <f>IF(VLOOKUP($C465,REV!$C:$AA,10,0)-'TRADE IN'!$F465=0,"",(VLOOKUP($C465,REV!$C:$AA,10,0)-'TRADE IN'!$F465))</f>
        <v/>
      </c>
      <c r="M465" s="69" t="str">
        <f>IF(VLOOKUP($C465,REV!$C:$AA,11,0)-'TRADE IN'!$F465=0,"",(VLOOKUP($C465,REV!$C:$AA,11,0)-'TRADE IN'!$F465))</f>
        <v/>
      </c>
      <c r="N465" s="69" t="str">
        <f>IF(VLOOKUP($C465,REV!$C:$AA,12,0)-'TRADE IN'!$F465=0,"",(VLOOKUP($C465,REV!$C:$AA,12,0)-'TRADE IN'!$F465))</f>
        <v/>
      </c>
      <c r="O465" s="69" t="str">
        <f>IF(VLOOKUP($C465,REV!$C:$AA,13,0)-'TRADE IN'!$F465=0,"",(VLOOKUP($C465,REV!$C:$AA,13,0)-'TRADE IN'!$F465))</f>
        <v/>
      </c>
      <c r="P465" s="69" t="str">
        <f>IF(VLOOKUP($C465,REV!$C:$AA,14,0)-'TRADE IN'!$F465=0,"",(VLOOKUP($C465,REV!$C:$AA,14,0)-'TRADE IN'!$F465))</f>
        <v/>
      </c>
      <c r="Q465" s="69" t="str">
        <f>IF(VLOOKUP($C465,REV!$C:$AA,15,0)-'TRADE IN'!$F465=0,"",(VLOOKUP($C465,REV!$C:$AA,15,0)-'TRADE IN'!$F465))</f>
        <v/>
      </c>
      <c r="R465" s="69" t="str">
        <f>IF(VLOOKUP($C465,REV!$C:$AA,16,0)-'TRADE IN'!$F465=0,"",(VLOOKUP($C465,REV!$C:$AA,16,0)-'TRADE IN'!$F465))</f>
        <v/>
      </c>
      <c r="S465" s="69" t="str">
        <f>IF(VLOOKUP($C465,REV!$C:$AA,17,0)-'TRADE IN'!$F465=0,"",(VLOOKUP($C465,REV!$C:$AA,17,0)-'TRADE IN'!$F465))</f>
        <v/>
      </c>
      <c r="T465" s="69" t="str">
        <f>IF(VLOOKUP($C465,REV!$C:$AA,18,0)-'TRADE IN'!$F465=0,"",(VLOOKUP($C465,REV!$C:$AA,18,0)-'TRADE IN'!$F465))</f>
        <v/>
      </c>
      <c r="U465" s="69" t="str">
        <f>IF(VLOOKUP($C465,REV!$C:$AA,19,0)-'TRADE IN'!$F465=0,"",(VLOOKUP($C465,REV!$C:$AA,19,0)-'TRADE IN'!$F465))</f>
        <v/>
      </c>
      <c r="V465" s="69" t="str">
        <f>IF(VLOOKUP($C465,REV!$C:$AA,20,0)-'TRADE IN'!$F465=0,"",(VLOOKUP($C465,REV!$C:$AA,20,0)-'TRADE IN'!$F465))</f>
        <v/>
      </c>
      <c r="W465" s="69" t="str">
        <f>IF(VLOOKUP($C465,REV!$C:$AA,21,0)-'TRADE IN'!$F465=0,"",(VLOOKUP($C465,REV!$C:$AA,21,0)-'TRADE IN'!$F465))</f>
        <v/>
      </c>
      <c r="X465" s="69" t="str">
        <f>IF(VLOOKUP($C465,REV!$C:$AA,22,0)-'TRADE IN'!$F465=0,"",(VLOOKUP($C465,REV!$C:$AA,22,0)-'TRADE IN'!$F465))</f>
        <v/>
      </c>
      <c r="Y465" s="69" t="str">
        <f>IF(VLOOKUP($C465,REV!$C:$AA,23,0)-'TRADE IN'!$F465=0,"",(VLOOKUP($C465,REV!$C:$AA,23,0)-'TRADE IN'!$F465))</f>
        <v/>
      </c>
      <c r="Z465" s="69" t="str">
        <f>IF(VLOOKUP($C465,REV!$C:$AA,24,0)-'TRADE IN'!$F465=0,"",(VLOOKUP($C465,REV!$C:$AA,24,0)-'TRADE IN'!$F465))</f>
        <v/>
      </c>
      <c r="AA465" s="69" t="str">
        <f>IF(VLOOKUP($C465,REV!$C:$AA,25,0)-'TRADE IN'!$F465=0,"",(VLOOKUP($C465,REV!$C:$AA,25,0)-'TRADE IN'!$F465))</f>
        <v/>
      </c>
      <c r="AB465" s="69" t="str">
        <f>IF(VLOOKUP($C465,REV!$C:$AL,27,0)-'TRADE IN'!$F465=0,"",(VLOOKUP($C465,REV!$C:$AL,27,0)-'TRADE IN'!$F465))</f>
        <v/>
      </c>
      <c r="AC465" s="69" t="str">
        <f>IF(VLOOKUP($C465,REV!$C:$AL,28,0)-'TRADE IN'!$F465=0,"",(VLOOKUP($C465,REV!$C:$AL,28,0)-'TRADE IN'!$F465))</f>
        <v/>
      </c>
      <c r="AD465" s="69" t="str">
        <f>IF(VLOOKUP($C465,REV!$C:$AL,29,0)-'TRADE IN'!$F465=0,"",(VLOOKUP($C465,REV!$C:$AL,29,0)-'TRADE IN'!$F465))</f>
        <v/>
      </c>
      <c r="AE465" s="69" t="str">
        <f>IF(VLOOKUP($C465,REV!$C:$AL,30,0)-'TRADE IN'!$F465=0,"",(VLOOKUP($C465,REV!$C:$AL,30,0)-'TRADE IN'!$F465))</f>
        <v/>
      </c>
      <c r="AF465" s="69" t="str">
        <f>IF(VLOOKUP($C465,REV!$C:$AL,31,0)-'TRADE IN'!$F465=0,"",(VLOOKUP($C465,REV!$C:$AL,31,0)-'TRADE IN'!$F465))</f>
        <v/>
      </c>
      <c r="AG465" s="69" t="str">
        <f>IF(VLOOKUP($C465,REV!$C:$AL,31,0)-'TRADE IN'!$F465=0,"",(VLOOKUP($C465,REV!$C:$AL,31,0)-'TRADE IN'!$F465))</f>
        <v/>
      </c>
      <c r="AH465" s="69" t="str">
        <f>IF(VLOOKUP($C465,REV!$C:$AL,32,0)-'TRADE IN'!$F465=0,"",(VLOOKUP($C465,REV!$C:$AL,32,0)-'TRADE IN'!$F465))</f>
        <v/>
      </c>
      <c r="AI465" s="69" t="str">
        <f>IF(VLOOKUP($C465,REV!$C:$AL,33,0)-'TRADE IN'!$F465=0,"",(VLOOKUP($C465,REV!$C:$AL,33,0)-'TRADE IN'!$F465))</f>
        <v/>
      </c>
      <c r="AJ465" s="69" t="str">
        <f>IF(VLOOKUP($C465,REV!$C:$AL,34,0)-'TRADE IN'!$F465=0,"",(VLOOKUP($C465,REV!$C:$AL,34,0)-'TRADE IN'!$F465))</f>
        <v/>
      </c>
      <c r="AK465" s="69" t="str">
        <f>IF(VLOOKUP($C465,REV!$C:$AL,35,0)-'TRADE IN'!$F465=0,"",(VLOOKUP($C465,REV!$C:$AL,35,0)-'TRADE IN'!$F465))</f>
        <v/>
      </c>
      <c r="AL465" s="69" t="str">
        <f>IF(VLOOKUP($C465,REV!$C:$AL,36,0)-'TRADE IN'!$F465=0,"",(VLOOKUP($C465,REV!$C:$AL,36,0)-'TRADE IN'!$F465))</f>
        <v/>
      </c>
      <c r="AM465" s="69"/>
      <c r="AN465" s="69"/>
      <c r="AO465" s="69"/>
      <c r="AP465" s="69">
        <v>575</v>
      </c>
      <c r="AQ465" s="69">
        <v>575</v>
      </c>
      <c r="AR465" s="69">
        <v>575</v>
      </c>
      <c r="AS465" s="90">
        <v>199</v>
      </c>
      <c r="AT465" s="90">
        <v>159</v>
      </c>
      <c r="AU465" s="91">
        <v>99.9</v>
      </c>
      <c r="AW465" s="84" t="str">
        <f>REV!AW465</f>
        <v>13.08.2026</v>
      </c>
      <c r="AX465" s="154" t="s">
        <v>230</v>
      </c>
    </row>
    <row r="466" spans="1:50" ht="23" customHeight="1">
      <c r="B466" s="123" t="s">
        <v>732</v>
      </c>
      <c r="C466" s="122">
        <v>4017353</v>
      </c>
      <c r="D466" s="143" t="s">
        <v>824</v>
      </c>
      <c r="E466" s="107" t="s">
        <v>825</v>
      </c>
      <c r="F466" s="159"/>
      <c r="G466" s="160"/>
      <c r="H466" s="160"/>
      <c r="I466" s="160"/>
      <c r="J466" s="160">
        <f>IF(VLOOKUP($C466,'ACESSÓRIOS REV'!$C:$AL,8,0)-'TRADE IN'!$F466=0,"",(VLOOKUP($C466,'ACESSÓRIOS REV'!$C:$AL,8,0)-'TRADE IN'!$F466))</f>
        <v>4549</v>
      </c>
      <c r="K466" s="160">
        <f>IF(VLOOKUP($C466,'ACESSÓRIOS REV'!$C:$AL,9,0)-'TRADE IN'!$F466=0,"",(VLOOKUP($C466,'ACESSÓRIOS REV'!$C:$AL,9,0)-'TRADE IN'!$F466))</f>
        <v>4549</v>
      </c>
      <c r="L466" s="160">
        <f>IF(VLOOKUP($C466,'ACESSÓRIOS REV'!$C:$AL,10,0)-'TRADE IN'!$F466=0,"",(VLOOKUP($C466,'ACESSÓRIOS REV'!$C:$AL,10,0)-'TRADE IN'!$F466))</f>
        <v>4549</v>
      </c>
      <c r="M466" s="160">
        <f>IF(VLOOKUP($C466,'ACESSÓRIOS REV'!$C:$AL,11,0)-'TRADE IN'!$F466=0,"",(VLOOKUP($C466,'ACESSÓRIOS REV'!$C:$AL,11,0)-'TRADE IN'!$F466))</f>
        <v>4549</v>
      </c>
      <c r="N466" s="160">
        <f>IF(VLOOKUP($C466,'ACESSÓRIOS REV'!$C:$AL,12,0)-'TRADE IN'!$F466=0,"",(VLOOKUP($C466,'ACESSÓRIOS REV'!$C:$AL,12,0)-'TRADE IN'!$F466))</f>
        <v>4549</v>
      </c>
      <c r="O466" s="160">
        <f>IF(VLOOKUP($C466,'ACESSÓRIOS REV'!$C:$AL,13,0)-'TRADE IN'!$F466=0,"",(VLOOKUP($C466,'ACESSÓRIOS REV'!$C:$AL,13,0)-'TRADE IN'!$F466))</f>
        <v>4499</v>
      </c>
      <c r="P466" s="160">
        <f>IF(VLOOKUP($C466,'ACESSÓRIOS REV'!$C:$AL,14,0)-'TRADE IN'!$F466=0,"",(VLOOKUP($C466,'ACESSÓRIOS REV'!$C:$AL,14,0)-'TRADE IN'!$F466))</f>
        <v>4399</v>
      </c>
      <c r="Q466" s="160">
        <f>IF(VLOOKUP($C466,'ACESSÓRIOS REV'!$C:$AL,15,0)-'TRADE IN'!$F466=0,"",(VLOOKUP($C466,'ACESSÓRIOS REV'!$C:$AL,15,0)-'TRADE IN'!$F466))</f>
        <v>4199</v>
      </c>
      <c r="R466" s="160">
        <f>IF(VLOOKUP($C466,'ACESSÓRIOS REV'!$C:$AL,16,0)-'TRADE IN'!$F466=0,"",(VLOOKUP($C466,'ACESSÓRIOS REV'!$C:$AL,16,0)-'TRADE IN'!$F466))</f>
        <v>4499</v>
      </c>
      <c r="S466" s="160">
        <f>IF(VLOOKUP($C466,'ACESSÓRIOS REV'!$C:$AL,17,0)-'TRADE IN'!$F466=0,"",(VLOOKUP($C466,'ACESSÓRIOS REV'!$C:$AL,17,0)-'TRADE IN'!$F466))</f>
        <v>4399</v>
      </c>
      <c r="T466" s="160">
        <f>IF(VLOOKUP($C466,'ACESSÓRIOS REV'!$C:$AL,18,0)-'TRADE IN'!$F466=0,"",(VLOOKUP($C466,'ACESSÓRIOS REV'!$C:$AL,18,0)-'TRADE IN'!$F466))</f>
        <v>4199</v>
      </c>
      <c r="U466" s="160">
        <f>IF(VLOOKUP($C466,'ACESSÓRIOS REV'!$C:$AL,19,0)-'TRADE IN'!$F466=0,"",(VLOOKUP($C466,'ACESSÓRIOS REV'!$C:$AL,19,0)-'TRADE IN'!$F466))</f>
        <v>4199</v>
      </c>
      <c r="V466" s="160">
        <f>IF(VLOOKUP($C466,'ACESSÓRIOS REV'!$C:$AL,20,0)-'TRADE IN'!$F466=0,"",(VLOOKUP($C466,'ACESSÓRIOS REV'!$C:$AL,20,0)-'TRADE IN'!$F466))</f>
        <v>4199</v>
      </c>
      <c r="W466" s="160">
        <f>IF(VLOOKUP($C466,'ACESSÓRIOS REV'!$C:$AL,21,0)-'TRADE IN'!$F466=0,"",(VLOOKUP($C466,'ACESSÓRIOS REV'!$C:$AL,21,0)-'TRADE IN'!$F466))</f>
        <v>4199</v>
      </c>
      <c r="X466" s="160">
        <f>IF(VLOOKUP($C466,'ACESSÓRIOS REV'!$C:$AL,22,0)-'TRADE IN'!$F466=0,"",(VLOOKUP($C466,'ACESSÓRIOS REV'!$C:$AL,22,0)-'TRADE IN'!$F466))</f>
        <v>4099</v>
      </c>
      <c r="Y466" s="160">
        <f>IF(VLOOKUP($C466,'ACESSÓRIOS REV'!$C:$AL,23,0)-'TRADE IN'!$F466=0,"",(VLOOKUP($C466,'ACESSÓRIOS REV'!$C:$AL,23,0)-'TRADE IN'!$F466))</f>
        <v>3599</v>
      </c>
      <c r="Z466" s="160">
        <f>IF(VLOOKUP($C466,'ACESSÓRIOS REV'!$C:$AL,24,0)-'TRADE IN'!$F466=0,"",(VLOOKUP($C466,'ACESSÓRIOS REV'!$C:$AL,24,0)-'TRADE IN'!$F466))</f>
        <v>3599</v>
      </c>
      <c r="AA466" s="160">
        <f>IF(VLOOKUP($C466,'ACESSÓRIOS REV'!$C:$AL,25,0)-'TRADE IN'!$F466=0,"",(VLOOKUP($C466,'ACESSÓRIOS REV'!$C:$AL,25,0)-'TRADE IN'!$F466))</f>
        <v>3599</v>
      </c>
      <c r="AB466" s="160">
        <f>IF(VLOOKUP($C466,'ACESSÓRIOS REV'!$C:$AL,27,0)-'TRADE IN'!$F466=0,"",(VLOOKUP($C466,'ACESSÓRIOS REV'!$C:$AL,27,0)-'TRADE IN'!$F466))</f>
        <v>4549</v>
      </c>
      <c r="AC466" s="160">
        <f>IF(VLOOKUP($C466,'ACESSÓRIOS REV'!$C:$AL,28,0)-'TRADE IN'!$F466=0,"",(VLOOKUP($C466,'ACESSÓRIOS REV'!$C:$AL,28,0)-'TRADE IN'!$F466))</f>
        <v>4549</v>
      </c>
      <c r="AD466" s="160">
        <f>IF(VLOOKUP($C466,'ACESSÓRIOS REV'!$C:$AL,29,0)-'TRADE IN'!$F466=0,"",(VLOOKUP($C466,'ACESSÓRIOS REV'!$C:$AL,29,0)-'TRADE IN'!$F466))</f>
        <v>4499</v>
      </c>
      <c r="AE466" s="160">
        <f>IF(VLOOKUP($C466,'ACESSÓRIOS REV'!$C:$AL,30,0)-'TRADE IN'!$F466=0,"",(VLOOKUP($C466,'ACESSÓRIOS REV'!$C:$AL,30,0)-'TRADE IN'!$F466))</f>
        <v>4499</v>
      </c>
      <c r="AF466" s="160">
        <f>IF(VLOOKUP($C466,'ACESSÓRIOS REV'!$C:$AL,31,0)-'TRADE IN'!$F466=0,"",(VLOOKUP($C466,'ACESSÓRIOS REV'!$C:$AL,31,0)-'TRADE IN'!$F466))</f>
        <v>4499</v>
      </c>
      <c r="AG466" s="160">
        <f>IF(VLOOKUP($C466,'ACESSÓRIOS REV'!$C:$AL,31,0)-'TRADE IN'!$F466=0,"",(VLOOKUP($C466,'ACESSÓRIOS REV'!$C:$AL,31,0)-'TRADE IN'!$F466))</f>
        <v>4499</v>
      </c>
      <c r="AH466" s="160">
        <f>IF(VLOOKUP($C466,'ACESSÓRIOS REV'!$C:$AL,32,0)-'TRADE IN'!$F466=0,"",(VLOOKUP($C466,'ACESSÓRIOS REV'!$C:$AL,32,0)-'TRADE IN'!$F466))</f>
        <v>4499</v>
      </c>
      <c r="AI466" s="160">
        <f>IF(VLOOKUP($C466,'ACESSÓRIOS REV'!$C:$AL,33,0)-'TRADE IN'!$F466=0,"",(VLOOKUP($C466,'ACESSÓRIOS REV'!$C:$AL,33,0)-'TRADE IN'!$F466))</f>
        <v>4199</v>
      </c>
      <c r="AJ466" s="160">
        <f>IF(VLOOKUP($C466,'ACESSÓRIOS REV'!$C:$AL,34,0)-'TRADE IN'!$F466=0,"",(VLOOKUP($C466,'ACESSÓRIOS REV'!$C:$AL,34,0)-'TRADE IN'!$F466))</f>
        <v>4199</v>
      </c>
      <c r="AK466" s="160">
        <f>IF(VLOOKUP($C466,'ACESSÓRIOS REV'!$C:$AL,35,0)-'TRADE IN'!$F466=0,"",(VLOOKUP($C466,'ACESSÓRIOS REV'!$C:$AL,35,0)-'TRADE IN'!$F466))</f>
        <v>4199</v>
      </c>
      <c r="AL466" s="160">
        <f>IF(VLOOKUP($C466,'ACESSÓRIOS REV'!$C:$AL,36,0)-'TRADE IN'!$F466=0,"",(VLOOKUP($C466,'ACESSÓRIOS REV'!$C:$AL,36,0)-'TRADE IN'!$F466))</f>
        <v>3599</v>
      </c>
      <c r="AM466" s="161"/>
      <c r="AN466" s="161"/>
      <c r="AO466" s="161"/>
      <c r="AP466" s="161"/>
      <c r="AQ466" s="161"/>
      <c r="AR466" s="161"/>
      <c r="AS466" s="161"/>
      <c r="AT466" s="161"/>
      <c r="AU466" s="161"/>
      <c r="AW466" s="120" t="s">
        <v>680</v>
      </c>
    </row>
    <row r="467" spans="1:50" ht="23" customHeight="1">
      <c r="B467" s="123" t="s">
        <v>681</v>
      </c>
      <c r="C467" s="122">
        <v>4016511</v>
      </c>
      <c r="D467" s="143" t="s">
        <v>826</v>
      </c>
      <c r="E467" s="107" t="s">
        <v>827</v>
      </c>
      <c r="F467" s="159"/>
      <c r="G467" s="160"/>
      <c r="H467" s="160"/>
      <c r="I467" s="160"/>
      <c r="J467" s="160">
        <f>IF(VLOOKUP($C467,'ACESSÓRIOS REV'!$C:$AL,8,0)-'TRADE IN'!$F467=0,"",(VLOOKUP($C467,'ACESSÓRIOS REV'!$C:$AL,8,0)-'TRADE IN'!$F467))</f>
        <v>4549</v>
      </c>
      <c r="K467" s="160">
        <f>IF(VLOOKUP($C467,'ACESSÓRIOS REV'!$C:$AL,9,0)-'TRADE IN'!$F467=0,"",(VLOOKUP($C467,'ACESSÓRIOS REV'!$C:$AL,9,0)-'TRADE IN'!$F467))</f>
        <v>4549</v>
      </c>
      <c r="L467" s="160">
        <f>IF(VLOOKUP($C467,'ACESSÓRIOS REV'!$C:$AL,10,0)-'TRADE IN'!$F467=0,"",(VLOOKUP($C467,'ACESSÓRIOS REV'!$C:$AL,10,0)-'TRADE IN'!$F467))</f>
        <v>4549</v>
      </c>
      <c r="M467" s="160">
        <f>IF(VLOOKUP($C467,'ACESSÓRIOS REV'!$C:$AL,11,0)-'TRADE IN'!$F467=0,"",(VLOOKUP($C467,'ACESSÓRIOS REV'!$C:$AL,11,0)-'TRADE IN'!$F467))</f>
        <v>4549</v>
      </c>
      <c r="N467" s="160">
        <f>IF(VLOOKUP($C467,'ACESSÓRIOS REV'!$C:$AL,12,0)-'TRADE IN'!$F467=0,"",(VLOOKUP($C467,'ACESSÓRIOS REV'!$C:$AL,12,0)-'TRADE IN'!$F467))</f>
        <v>4549</v>
      </c>
      <c r="O467" s="160">
        <f>IF(VLOOKUP($C467,'ACESSÓRIOS REV'!$C:$AL,13,0)-'TRADE IN'!$F467=0,"",(VLOOKUP($C467,'ACESSÓRIOS REV'!$C:$AL,13,0)-'TRADE IN'!$F467))</f>
        <v>4499</v>
      </c>
      <c r="P467" s="160">
        <f>IF(VLOOKUP($C467,'ACESSÓRIOS REV'!$C:$AL,14,0)-'TRADE IN'!$F467=0,"",(VLOOKUP($C467,'ACESSÓRIOS REV'!$C:$AL,14,0)-'TRADE IN'!$F467))</f>
        <v>4399</v>
      </c>
      <c r="Q467" s="160">
        <f>IF(VLOOKUP($C467,'ACESSÓRIOS REV'!$C:$AL,15,0)-'TRADE IN'!$F467=0,"",(VLOOKUP($C467,'ACESSÓRIOS REV'!$C:$AL,15,0)-'TRADE IN'!$F467))</f>
        <v>4199</v>
      </c>
      <c r="R467" s="160">
        <f>IF(VLOOKUP($C467,'ACESSÓRIOS REV'!$C:$AL,16,0)-'TRADE IN'!$F467=0,"",(VLOOKUP($C467,'ACESSÓRIOS REV'!$C:$AL,16,0)-'TRADE IN'!$F467))</f>
        <v>4499</v>
      </c>
      <c r="S467" s="160">
        <f>IF(VLOOKUP($C467,'ACESSÓRIOS REV'!$C:$AL,17,0)-'TRADE IN'!$F467=0,"",(VLOOKUP($C467,'ACESSÓRIOS REV'!$C:$AL,17,0)-'TRADE IN'!$F467))</f>
        <v>4399</v>
      </c>
      <c r="T467" s="160">
        <f>IF(VLOOKUP($C467,'ACESSÓRIOS REV'!$C:$AL,18,0)-'TRADE IN'!$F467=0,"",(VLOOKUP($C467,'ACESSÓRIOS REV'!$C:$AL,18,0)-'TRADE IN'!$F467))</f>
        <v>4199</v>
      </c>
      <c r="U467" s="160">
        <f>IF(VLOOKUP($C467,'ACESSÓRIOS REV'!$C:$AL,19,0)-'TRADE IN'!$F467=0,"",(VLOOKUP($C467,'ACESSÓRIOS REV'!$C:$AL,19,0)-'TRADE IN'!$F467))</f>
        <v>4199</v>
      </c>
      <c r="V467" s="160">
        <f>IF(VLOOKUP($C467,'ACESSÓRIOS REV'!$C:$AL,20,0)-'TRADE IN'!$F467=0,"",(VLOOKUP($C467,'ACESSÓRIOS REV'!$C:$AL,20,0)-'TRADE IN'!$F467))</f>
        <v>4199</v>
      </c>
      <c r="W467" s="160">
        <f>IF(VLOOKUP($C467,'ACESSÓRIOS REV'!$C:$AL,21,0)-'TRADE IN'!$F467=0,"",(VLOOKUP($C467,'ACESSÓRIOS REV'!$C:$AL,21,0)-'TRADE IN'!$F467))</f>
        <v>4199</v>
      </c>
      <c r="X467" s="160">
        <f>IF(VLOOKUP($C467,'ACESSÓRIOS REV'!$C:$AL,22,0)-'TRADE IN'!$F467=0,"",(VLOOKUP($C467,'ACESSÓRIOS REV'!$C:$AL,22,0)-'TRADE IN'!$F467))</f>
        <v>4099</v>
      </c>
      <c r="Y467" s="160">
        <f>IF(VLOOKUP($C467,'ACESSÓRIOS REV'!$C:$AL,23,0)-'TRADE IN'!$F467=0,"",(VLOOKUP($C467,'ACESSÓRIOS REV'!$C:$AL,23,0)-'TRADE IN'!$F467))</f>
        <v>3599</v>
      </c>
      <c r="Z467" s="160">
        <f>IF(VLOOKUP($C467,'ACESSÓRIOS REV'!$C:$AL,24,0)-'TRADE IN'!$F467=0,"",(VLOOKUP($C467,'ACESSÓRIOS REV'!$C:$AL,24,0)-'TRADE IN'!$F467))</f>
        <v>3599</v>
      </c>
      <c r="AA467" s="160">
        <f>IF(VLOOKUP($C467,'ACESSÓRIOS REV'!$C:$AL,25,0)-'TRADE IN'!$F467=0,"",(VLOOKUP($C467,'ACESSÓRIOS REV'!$C:$AL,25,0)-'TRADE IN'!$F467))</f>
        <v>3599</v>
      </c>
      <c r="AB467" s="160">
        <f>IF(VLOOKUP($C467,'ACESSÓRIOS REV'!$C:$AL,27,0)-'TRADE IN'!$F467=0,"",(VLOOKUP($C467,'ACESSÓRIOS REV'!$C:$AL,27,0)-'TRADE IN'!$F467))</f>
        <v>4549</v>
      </c>
      <c r="AC467" s="160">
        <f>IF(VLOOKUP($C467,'ACESSÓRIOS REV'!$C:$AL,28,0)-'TRADE IN'!$F467=0,"",(VLOOKUP($C467,'ACESSÓRIOS REV'!$C:$AL,28,0)-'TRADE IN'!$F467))</f>
        <v>4549</v>
      </c>
      <c r="AD467" s="160">
        <f>IF(VLOOKUP($C467,'ACESSÓRIOS REV'!$C:$AL,29,0)-'TRADE IN'!$F467=0,"",(VLOOKUP($C467,'ACESSÓRIOS REV'!$C:$AL,29,0)-'TRADE IN'!$F467))</f>
        <v>4499</v>
      </c>
      <c r="AE467" s="160">
        <f>IF(VLOOKUP($C467,'ACESSÓRIOS REV'!$C:$AL,30,0)-'TRADE IN'!$F467=0,"",(VLOOKUP($C467,'ACESSÓRIOS REV'!$C:$AL,30,0)-'TRADE IN'!$F467))</f>
        <v>4499</v>
      </c>
      <c r="AF467" s="160">
        <f>IF(VLOOKUP($C467,'ACESSÓRIOS REV'!$C:$AL,31,0)-'TRADE IN'!$F467=0,"",(VLOOKUP($C467,'ACESSÓRIOS REV'!$C:$AL,31,0)-'TRADE IN'!$F467))</f>
        <v>4499</v>
      </c>
      <c r="AG467" s="160">
        <f>IF(VLOOKUP($C467,'ACESSÓRIOS REV'!$C:$AL,31,0)-'TRADE IN'!$F467=0,"",(VLOOKUP($C467,'ACESSÓRIOS REV'!$C:$AL,31,0)-'TRADE IN'!$F467))</f>
        <v>4499</v>
      </c>
      <c r="AH467" s="160">
        <f>IF(VLOOKUP($C467,'ACESSÓRIOS REV'!$C:$AL,32,0)-'TRADE IN'!$F467=0,"",(VLOOKUP($C467,'ACESSÓRIOS REV'!$C:$AL,32,0)-'TRADE IN'!$F467))</f>
        <v>4499</v>
      </c>
      <c r="AI467" s="160">
        <f>IF(VLOOKUP($C467,'ACESSÓRIOS REV'!$C:$AL,33,0)-'TRADE IN'!$F467=0,"",(VLOOKUP($C467,'ACESSÓRIOS REV'!$C:$AL,33,0)-'TRADE IN'!$F467))</f>
        <v>4199</v>
      </c>
      <c r="AJ467" s="160">
        <f>IF(VLOOKUP($C467,'ACESSÓRIOS REV'!$C:$AL,34,0)-'TRADE IN'!$F467=0,"",(VLOOKUP($C467,'ACESSÓRIOS REV'!$C:$AL,34,0)-'TRADE IN'!$F467))</f>
        <v>4199</v>
      </c>
      <c r="AK467" s="160">
        <f>IF(VLOOKUP($C467,'ACESSÓRIOS REV'!$C:$AL,35,0)-'TRADE IN'!$F467=0,"",(VLOOKUP($C467,'ACESSÓRIOS REV'!$C:$AL,35,0)-'TRADE IN'!$F467))</f>
        <v>4199</v>
      </c>
      <c r="AL467" s="160">
        <f>IF(VLOOKUP($C467,'ACESSÓRIOS REV'!$C:$AL,36,0)-'TRADE IN'!$F467=0,"",(VLOOKUP($C467,'ACESSÓRIOS REV'!$C:$AL,36,0)-'TRADE IN'!$F467))</f>
        <v>3599</v>
      </c>
      <c r="AM467" s="162"/>
      <c r="AN467" s="162"/>
      <c r="AO467" s="162"/>
      <c r="AP467" s="162"/>
      <c r="AQ467" s="162"/>
      <c r="AR467" s="162"/>
      <c r="AS467" s="162"/>
      <c r="AT467" s="162"/>
      <c r="AU467" s="162"/>
      <c r="AW467" s="120" t="s">
        <v>680</v>
      </c>
    </row>
    <row r="468" spans="1:50" ht="23" customHeight="1">
      <c r="B468" s="123" t="s">
        <v>681</v>
      </c>
      <c r="C468" s="122">
        <v>4016960</v>
      </c>
      <c r="D468" s="143" t="s">
        <v>828</v>
      </c>
      <c r="E468" s="107" t="s">
        <v>829</v>
      </c>
      <c r="F468" s="159"/>
      <c r="G468" s="160"/>
      <c r="H468" s="160"/>
      <c r="I468" s="160"/>
      <c r="J468" s="160">
        <f>IF(VLOOKUP($C468,'ACESSÓRIOS REV'!$C:$AL,8,0)-'TRADE IN'!$F468=0,"",(VLOOKUP($C468,'ACESSÓRIOS REV'!$C:$AL,8,0)-'TRADE IN'!$F468))</f>
        <v>4549</v>
      </c>
      <c r="K468" s="160">
        <f>IF(VLOOKUP($C468,'ACESSÓRIOS REV'!$C:$AL,9,0)-'TRADE IN'!$F468=0,"",(VLOOKUP($C468,'ACESSÓRIOS REV'!$C:$AL,9,0)-'TRADE IN'!$F468))</f>
        <v>4549</v>
      </c>
      <c r="L468" s="160">
        <f>IF(VLOOKUP($C468,'ACESSÓRIOS REV'!$C:$AL,10,0)-'TRADE IN'!$F468=0,"",(VLOOKUP($C468,'ACESSÓRIOS REV'!$C:$AL,10,0)-'TRADE IN'!$F468))</f>
        <v>4549</v>
      </c>
      <c r="M468" s="160">
        <f>IF(VLOOKUP($C468,'ACESSÓRIOS REV'!$C:$AL,11,0)-'TRADE IN'!$F468=0,"",(VLOOKUP($C468,'ACESSÓRIOS REV'!$C:$AL,11,0)-'TRADE IN'!$F468))</f>
        <v>4549</v>
      </c>
      <c r="N468" s="160">
        <f>IF(VLOOKUP($C468,'ACESSÓRIOS REV'!$C:$AL,12,0)-'TRADE IN'!$F468=0,"",(VLOOKUP($C468,'ACESSÓRIOS REV'!$C:$AL,12,0)-'TRADE IN'!$F468))</f>
        <v>4549</v>
      </c>
      <c r="O468" s="160">
        <f>IF(VLOOKUP($C468,'ACESSÓRIOS REV'!$C:$AL,13,0)-'TRADE IN'!$F468=0,"",(VLOOKUP($C468,'ACESSÓRIOS REV'!$C:$AL,13,0)-'TRADE IN'!$F468))</f>
        <v>4499</v>
      </c>
      <c r="P468" s="160">
        <f>IF(VLOOKUP($C468,'ACESSÓRIOS REV'!$C:$AL,14,0)-'TRADE IN'!$F468=0,"",(VLOOKUP($C468,'ACESSÓRIOS REV'!$C:$AL,14,0)-'TRADE IN'!$F468))</f>
        <v>4399</v>
      </c>
      <c r="Q468" s="160">
        <f>IF(VLOOKUP($C468,'ACESSÓRIOS REV'!$C:$AL,15,0)-'TRADE IN'!$F468=0,"",(VLOOKUP($C468,'ACESSÓRIOS REV'!$C:$AL,15,0)-'TRADE IN'!$F468))</f>
        <v>4199</v>
      </c>
      <c r="R468" s="160">
        <f>IF(VLOOKUP($C468,'ACESSÓRIOS REV'!$C:$AL,16,0)-'TRADE IN'!$F468=0,"",(VLOOKUP($C468,'ACESSÓRIOS REV'!$C:$AL,16,0)-'TRADE IN'!$F468))</f>
        <v>4499</v>
      </c>
      <c r="S468" s="160">
        <f>IF(VLOOKUP($C468,'ACESSÓRIOS REV'!$C:$AL,17,0)-'TRADE IN'!$F468=0,"",(VLOOKUP($C468,'ACESSÓRIOS REV'!$C:$AL,17,0)-'TRADE IN'!$F468))</f>
        <v>4399</v>
      </c>
      <c r="T468" s="160">
        <f>IF(VLOOKUP($C468,'ACESSÓRIOS REV'!$C:$AL,18,0)-'TRADE IN'!$F468=0,"",(VLOOKUP($C468,'ACESSÓRIOS REV'!$C:$AL,18,0)-'TRADE IN'!$F468))</f>
        <v>4199</v>
      </c>
      <c r="U468" s="160">
        <f>IF(VLOOKUP($C468,'ACESSÓRIOS REV'!$C:$AL,19,0)-'TRADE IN'!$F468=0,"",(VLOOKUP($C468,'ACESSÓRIOS REV'!$C:$AL,19,0)-'TRADE IN'!$F468))</f>
        <v>4199</v>
      </c>
      <c r="V468" s="160">
        <f>IF(VLOOKUP($C468,'ACESSÓRIOS REV'!$C:$AL,20,0)-'TRADE IN'!$F468=0,"",(VLOOKUP($C468,'ACESSÓRIOS REV'!$C:$AL,20,0)-'TRADE IN'!$F468))</f>
        <v>4199</v>
      </c>
      <c r="W468" s="160">
        <f>IF(VLOOKUP($C468,'ACESSÓRIOS REV'!$C:$AL,21,0)-'TRADE IN'!$F468=0,"",(VLOOKUP($C468,'ACESSÓRIOS REV'!$C:$AL,21,0)-'TRADE IN'!$F468))</f>
        <v>4199</v>
      </c>
      <c r="X468" s="160">
        <f>IF(VLOOKUP($C468,'ACESSÓRIOS REV'!$C:$AL,22,0)-'TRADE IN'!$F468=0,"",(VLOOKUP($C468,'ACESSÓRIOS REV'!$C:$AL,22,0)-'TRADE IN'!$F468))</f>
        <v>4099</v>
      </c>
      <c r="Y468" s="160">
        <f>IF(VLOOKUP($C468,'ACESSÓRIOS REV'!$C:$AL,23,0)-'TRADE IN'!$F468=0,"",(VLOOKUP($C468,'ACESSÓRIOS REV'!$C:$AL,23,0)-'TRADE IN'!$F468))</f>
        <v>3599</v>
      </c>
      <c r="Z468" s="160">
        <f>IF(VLOOKUP($C468,'ACESSÓRIOS REV'!$C:$AL,24,0)-'TRADE IN'!$F468=0,"",(VLOOKUP($C468,'ACESSÓRIOS REV'!$C:$AL,24,0)-'TRADE IN'!$F468))</f>
        <v>3599</v>
      </c>
      <c r="AA468" s="160">
        <f>IF(VLOOKUP($C468,'ACESSÓRIOS REV'!$C:$AL,25,0)-'TRADE IN'!$F468=0,"",(VLOOKUP($C468,'ACESSÓRIOS REV'!$C:$AL,25,0)-'TRADE IN'!$F468))</f>
        <v>3599</v>
      </c>
      <c r="AB468" s="160">
        <f>IF(VLOOKUP($C468,'ACESSÓRIOS REV'!$C:$AL,27,0)-'TRADE IN'!$F468=0,"",(VLOOKUP($C468,'ACESSÓRIOS REV'!$C:$AL,27,0)-'TRADE IN'!$F468))</f>
        <v>4549</v>
      </c>
      <c r="AC468" s="160">
        <f>IF(VLOOKUP($C468,'ACESSÓRIOS REV'!$C:$AL,28,0)-'TRADE IN'!$F468=0,"",(VLOOKUP($C468,'ACESSÓRIOS REV'!$C:$AL,28,0)-'TRADE IN'!$F468))</f>
        <v>4549</v>
      </c>
      <c r="AD468" s="160">
        <f>IF(VLOOKUP($C468,'ACESSÓRIOS REV'!$C:$AL,29,0)-'TRADE IN'!$F468=0,"",(VLOOKUP($C468,'ACESSÓRIOS REV'!$C:$AL,29,0)-'TRADE IN'!$F468))</f>
        <v>4499</v>
      </c>
      <c r="AE468" s="160">
        <f>IF(VLOOKUP($C468,'ACESSÓRIOS REV'!$C:$AL,30,0)-'TRADE IN'!$F468=0,"",(VLOOKUP($C468,'ACESSÓRIOS REV'!$C:$AL,30,0)-'TRADE IN'!$F468))</f>
        <v>4499</v>
      </c>
      <c r="AF468" s="160">
        <f>IF(VLOOKUP($C468,'ACESSÓRIOS REV'!$C:$AL,31,0)-'TRADE IN'!$F468=0,"",(VLOOKUP($C468,'ACESSÓRIOS REV'!$C:$AL,31,0)-'TRADE IN'!$F468))</f>
        <v>4499</v>
      </c>
      <c r="AG468" s="160">
        <f>IF(VLOOKUP($C468,'ACESSÓRIOS REV'!$C:$AL,31,0)-'TRADE IN'!$F468=0,"",(VLOOKUP($C468,'ACESSÓRIOS REV'!$C:$AL,31,0)-'TRADE IN'!$F468))</f>
        <v>4499</v>
      </c>
      <c r="AH468" s="160">
        <f>IF(VLOOKUP($C468,'ACESSÓRIOS REV'!$C:$AL,32,0)-'TRADE IN'!$F468=0,"",(VLOOKUP($C468,'ACESSÓRIOS REV'!$C:$AL,32,0)-'TRADE IN'!$F468))</f>
        <v>4499</v>
      </c>
      <c r="AI468" s="160">
        <f>IF(VLOOKUP($C468,'ACESSÓRIOS REV'!$C:$AL,33,0)-'TRADE IN'!$F468=0,"",(VLOOKUP($C468,'ACESSÓRIOS REV'!$C:$AL,33,0)-'TRADE IN'!$F468))</f>
        <v>4199</v>
      </c>
      <c r="AJ468" s="160">
        <f>IF(VLOOKUP($C468,'ACESSÓRIOS REV'!$C:$AL,34,0)-'TRADE IN'!$F468=0,"",(VLOOKUP($C468,'ACESSÓRIOS REV'!$C:$AL,34,0)-'TRADE IN'!$F468))</f>
        <v>4199</v>
      </c>
      <c r="AK468" s="160">
        <f>IF(VLOOKUP($C468,'ACESSÓRIOS REV'!$C:$AL,35,0)-'TRADE IN'!$F468=0,"",(VLOOKUP($C468,'ACESSÓRIOS REV'!$C:$AL,35,0)-'TRADE IN'!$F468))</f>
        <v>4199</v>
      </c>
      <c r="AL468" s="160">
        <f>IF(VLOOKUP($C468,'ACESSÓRIOS REV'!$C:$AL,36,0)-'TRADE IN'!$F468=0,"",(VLOOKUP($C468,'ACESSÓRIOS REV'!$C:$AL,36,0)-'TRADE IN'!$F468))</f>
        <v>3599</v>
      </c>
      <c r="AM468" s="162"/>
      <c r="AN468" s="162"/>
      <c r="AO468" s="162"/>
      <c r="AP468" s="162"/>
      <c r="AQ468" s="162"/>
      <c r="AR468" s="162"/>
      <c r="AS468" s="162"/>
      <c r="AT468" s="162"/>
      <c r="AU468" s="162"/>
      <c r="AW468" s="120" t="s">
        <v>680</v>
      </c>
    </row>
    <row r="469" spans="1:50" ht="23" customHeight="1">
      <c r="B469" s="123" t="s">
        <v>681</v>
      </c>
      <c r="C469" s="122">
        <v>4017129</v>
      </c>
      <c r="D469" s="143" t="s">
        <v>830</v>
      </c>
      <c r="E469" s="107" t="s">
        <v>831</v>
      </c>
      <c r="F469" s="159"/>
      <c r="G469" s="160"/>
      <c r="H469" s="160"/>
      <c r="I469" s="160"/>
      <c r="J469" s="160">
        <f>IF(VLOOKUP($C469,'ACESSÓRIOS REV'!$C:$AL,8,0)-'TRADE IN'!$F469=0,"",(VLOOKUP($C469,'ACESSÓRIOS REV'!$C:$AL,8,0)-'TRADE IN'!$F469))</f>
        <v>4549</v>
      </c>
      <c r="K469" s="160">
        <f>IF(VLOOKUP($C469,'ACESSÓRIOS REV'!$C:$AL,9,0)-'TRADE IN'!$F469=0,"",(VLOOKUP($C469,'ACESSÓRIOS REV'!$C:$AL,9,0)-'TRADE IN'!$F469))</f>
        <v>4549</v>
      </c>
      <c r="L469" s="160">
        <f>IF(VLOOKUP($C469,'ACESSÓRIOS REV'!$C:$AL,10,0)-'TRADE IN'!$F469=0,"",(VLOOKUP($C469,'ACESSÓRIOS REV'!$C:$AL,10,0)-'TRADE IN'!$F469))</f>
        <v>4549</v>
      </c>
      <c r="M469" s="160">
        <f>IF(VLOOKUP($C469,'ACESSÓRIOS REV'!$C:$AL,11,0)-'TRADE IN'!$F469=0,"",(VLOOKUP($C469,'ACESSÓRIOS REV'!$C:$AL,11,0)-'TRADE IN'!$F469))</f>
        <v>4549</v>
      </c>
      <c r="N469" s="160">
        <f>IF(VLOOKUP($C469,'ACESSÓRIOS REV'!$C:$AL,12,0)-'TRADE IN'!$F469=0,"",(VLOOKUP($C469,'ACESSÓRIOS REV'!$C:$AL,12,0)-'TRADE IN'!$F469))</f>
        <v>4549</v>
      </c>
      <c r="O469" s="160">
        <f>IF(VLOOKUP($C469,'ACESSÓRIOS REV'!$C:$AL,13,0)-'TRADE IN'!$F469=0,"",(VLOOKUP($C469,'ACESSÓRIOS REV'!$C:$AL,13,0)-'TRADE IN'!$F469))</f>
        <v>4499</v>
      </c>
      <c r="P469" s="160">
        <f>IF(VLOOKUP($C469,'ACESSÓRIOS REV'!$C:$AL,14,0)-'TRADE IN'!$F469=0,"",(VLOOKUP($C469,'ACESSÓRIOS REV'!$C:$AL,14,0)-'TRADE IN'!$F469))</f>
        <v>4399</v>
      </c>
      <c r="Q469" s="160">
        <f>IF(VLOOKUP($C469,'ACESSÓRIOS REV'!$C:$AL,15,0)-'TRADE IN'!$F469=0,"",(VLOOKUP($C469,'ACESSÓRIOS REV'!$C:$AL,15,0)-'TRADE IN'!$F469))</f>
        <v>4199</v>
      </c>
      <c r="R469" s="160">
        <f>IF(VLOOKUP($C469,'ACESSÓRIOS REV'!$C:$AL,16,0)-'TRADE IN'!$F469=0,"",(VLOOKUP($C469,'ACESSÓRIOS REV'!$C:$AL,16,0)-'TRADE IN'!$F469))</f>
        <v>4499</v>
      </c>
      <c r="S469" s="160">
        <f>IF(VLOOKUP($C469,'ACESSÓRIOS REV'!$C:$AL,17,0)-'TRADE IN'!$F469=0,"",(VLOOKUP($C469,'ACESSÓRIOS REV'!$C:$AL,17,0)-'TRADE IN'!$F469))</f>
        <v>4399</v>
      </c>
      <c r="T469" s="160">
        <f>IF(VLOOKUP($C469,'ACESSÓRIOS REV'!$C:$AL,18,0)-'TRADE IN'!$F469=0,"",(VLOOKUP($C469,'ACESSÓRIOS REV'!$C:$AL,18,0)-'TRADE IN'!$F469))</f>
        <v>4199</v>
      </c>
      <c r="U469" s="160">
        <f>IF(VLOOKUP($C469,'ACESSÓRIOS REV'!$C:$AL,19,0)-'TRADE IN'!$F469=0,"",(VLOOKUP($C469,'ACESSÓRIOS REV'!$C:$AL,19,0)-'TRADE IN'!$F469))</f>
        <v>4199</v>
      </c>
      <c r="V469" s="160">
        <f>IF(VLOOKUP($C469,'ACESSÓRIOS REV'!$C:$AL,20,0)-'TRADE IN'!$F469=0,"",(VLOOKUP($C469,'ACESSÓRIOS REV'!$C:$AL,20,0)-'TRADE IN'!$F469))</f>
        <v>4199</v>
      </c>
      <c r="W469" s="160">
        <f>IF(VLOOKUP($C469,'ACESSÓRIOS REV'!$C:$AL,21,0)-'TRADE IN'!$F469=0,"",(VLOOKUP($C469,'ACESSÓRIOS REV'!$C:$AL,21,0)-'TRADE IN'!$F469))</f>
        <v>4199</v>
      </c>
      <c r="X469" s="160">
        <f>IF(VLOOKUP($C469,'ACESSÓRIOS REV'!$C:$AL,22,0)-'TRADE IN'!$F469=0,"",(VLOOKUP($C469,'ACESSÓRIOS REV'!$C:$AL,22,0)-'TRADE IN'!$F469))</f>
        <v>4099</v>
      </c>
      <c r="Y469" s="160">
        <f>IF(VLOOKUP($C469,'ACESSÓRIOS REV'!$C:$AL,23,0)-'TRADE IN'!$F469=0,"",(VLOOKUP($C469,'ACESSÓRIOS REV'!$C:$AL,23,0)-'TRADE IN'!$F469))</f>
        <v>3599</v>
      </c>
      <c r="Z469" s="160">
        <f>IF(VLOOKUP($C469,'ACESSÓRIOS REV'!$C:$AL,24,0)-'TRADE IN'!$F469=0,"",(VLOOKUP($C469,'ACESSÓRIOS REV'!$C:$AL,24,0)-'TRADE IN'!$F469))</f>
        <v>3599</v>
      </c>
      <c r="AA469" s="160">
        <f>IF(VLOOKUP($C469,'ACESSÓRIOS REV'!$C:$AL,25,0)-'TRADE IN'!$F469=0,"",(VLOOKUP($C469,'ACESSÓRIOS REV'!$C:$AL,25,0)-'TRADE IN'!$F469))</f>
        <v>3599</v>
      </c>
      <c r="AB469" s="160">
        <f>IF(VLOOKUP($C469,'ACESSÓRIOS REV'!$C:$AL,27,0)-'TRADE IN'!$F469=0,"",(VLOOKUP($C469,'ACESSÓRIOS REV'!$C:$AL,27,0)-'TRADE IN'!$F469))</f>
        <v>4549</v>
      </c>
      <c r="AC469" s="160">
        <f>IF(VLOOKUP($C469,'ACESSÓRIOS REV'!$C:$AL,28,0)-'TRADE IN'!$F469=0,"",(VLOOKUP($C469,'ACESSÓRIOS REV'!$C:$AL,28,0)-'TRADE IN'!$F469))</f>
        <v>4549</v>
      </c>
      <c r="AD469" s="160">
        <f>IF(VLOOKUP($C469,'ACESSÓRIOS REV'!$C:$AL,29,0)-'TRADE IN'!$F469=0,"",(VLOOKUP($C469,'ACESSÓRIOS REV'!$C:$AL,29,0)-'TRADE IN'!$F469))</f>
        <v>4499</v>
      </c>
      <c r="AE469" s="160">
        <f>IF(VLOOKUP($C469,'ACESSÓRIOS REV'!$C:$AL,30,0)-'TRADE IN'!$F469=0,"",(VLOOKUP($C469,'ACESSÓRIOS REV'!$C:$AL,30,0)-'TRADE IN'!$F469))</f>
        <v>4499</v>
      </c>
      <c r="AF469" s="160">
        <f>IF(VLOOKUP($C469,'ACESSÓRIOS REV'!$C:$AL,31,0)-'TRADE IN'!$F469=0,"",(VLOOKUP($C469,'ACESSÓRIOS REV'!$C:$AL,31,0)-'TRADE IN'!$F469))</f>
        <v>4499</v>
      </c>
      <c r="AG469" s="160">
        <f>IF(VLOOKUP($C469,'ACESSÓRIOS REV'!$C:$AL,31,0)-'TRADE IN'!$F469=0,"",(VLOOKUP($C469,'ACESSÓRIOS REV'!$C:$AL,31,0)-'TRADE IN'!$F469))</f>
        <v>4499</v>
      </c>
      <c r="AH469" s="160">
        <f>IF(VLOOKUP($C469,'ACESSÓRIOS REV'!$C:$AL,32,0)-'TRADE IN'!$F469=0,"",(VLOOKUP($C469,'ACESSÓRIOS REV'!$C:$AL,32,0)-'TRADE IN'!$F469))</f>
        <v>4499</v>
      </c>
      <c r="AI469" s="160">
        <f>IF(VLOOKUP($C469,'ACESSÓRIOS REV'!$C:$AL,33,0)-'TRADE IN'!$F469=0,"",(VLOOKUP($C469,'ACESSÓRIOS REV'!$C:$AL,33,0)-'TRADE IN'!$F469))</f>
        <v>4199</v>
      </c>
      <c r="AJ469" s="160">
        <f>IF(VLOOKUP($C469,'ACESSÓRIOS REV'!$C:$AL,34,0)-'TRADE IN'!$F469=0,"",(VLOOKUP($C469,'ACESSÓRIOS REV'!$C:$AL,34,0)-'TRADE IN'!$F469))</f>
        <v>4199</v>
      </c>
      <c r="AK469" s="160">
        <f>IF(VLOOKUP($C469,'ACESSÓRIOS REV'!$C:$AL,35,0)-'TRADE IN'!$F469=0,"",(VLOOKUP($C469,'ACESSÓRIOS REV'!$C:$AL,35,0)-'TRADE IN'!$F469))</f>
        <v>4199</v>
      </c>
      <c r="AL469" s="160">
        <f>IF(VLOOKUP($C469,'ACESSÓRIOS REV'!$C:$AL,36,0)-'TRADE IN'!$F469=0,"",(VLOOKUP($C469,'ACESSÓRIOS REV'!$C:$AL,36,0)-'TRADE IN'!$F469))</f>
        <v>3599</v>
      </c>
      <c r="AM469" s="162"/>
      <c r="AN469" s="162"/>
      <c r="AO469" s="162"/>
      <c r="AP469" s="162"/>
      <c r="AQ469" s="162"/>
      <c r="AR469" s="162"/>
      <c r="AS469" s="162"/>
      <c r="AT469" s="162"/>
      <c r="AU469" s="162"/>
      <c r="AW469" s="120" t="s">
        <v>680</v>
      </c>
    </row>
    <row r="470" spans="1:50" ht="23" customHeight="1">
      <c r="B470" s="123" t="s">
        <v>681</v>
      </c>
      <c r="C470" s="122">
        <v>4016309</v>
      </c>
      <c r="D470" s="143" t="s">
        <v>832</v>
      </c>
      <c r="E470" s="107" t="s">
        <v>833</v>
      </c>
      <c r="F470" s="159"/>
      <c r="G470" s="160"/>
      <c r="H470" s="160"/>
      <c r="I470" s="160"/>
      <c r="J470" s="160">
        <f>IF(VLOOKUP($C470,'ACESSÓRIOS REV'!$C:$AL,8,0)-'TRADE IN'!$F470=0,"",(VLOOKUP($C470,'ACESSÓRIOS REV'!$C:$AL,8,0)-'TRADE IN'!$F470))</f>
        <v>5049</v>
      </c>
      <c r="K470" s="160">
        <f>IF(VLOOKUP($C470,'ACESSÓRIOS REV'!$C:$AL,9,0)-'TRADE IN'!$F470=0,"",(VLOOKUP($C470,'ACESSÓRIOS REV'!$C:$AL,9,0)-'TRADE IN'!$F470))</f>
        <v>5049</v>
      </c>
      <c r="L470" s="160">
        <f>IF(VLOOKUP($C470,'ACESSÓRIOS REV'!$C:$AL,10,0)-'TRADE IN'!$F470=0,"",(VLOOKUP($C470,'ACESSÓRIOS REV'!$C:$AL,10,0)-'TRADE IN'!$F470))</f>
        <v>5049</v>
      </c>
      <c r="M470" s="160">
        <f>IF(VLOOKUP($C470,'ACESSÓRIOS REV'!$C:$AL,11,0)-'TRADE IN'!$F470=0,"",(VLOOKUP($C470,'ACESSÓRIOS REV'!$C:$AL,11,0)-'TRADE IN'!$F470))</f>
        <v>5049</v>
      </c>
      <c r="N470" s="160">
        <f>IF(VLOOKUP($C470,'ACESSÓRIOS REV'!$C:$AL,12,0)-'TRADE IN'!$F470=0,"",(VLOOKUP($C470,'ACESSÓRIOS REV'!$C:$AL,12,0)-'TRADE IN'!$F470))</f>
        <v>5049</v>
      </c>
      <c r="O470" s="160">
        <f>IF(VLOOKUP($C470,'ACESSÓRIOS REV'!$C:$AL,13,0)-'TRADE IN'!$F470=0,"",(VLOOKUP($C470,'ACESSÓRIOS REV'!$C:$AL,13,0)-'TRADE IN'!$F470))</f>
        <v>4999</v>
      </c>
      <c r="P470" s="160">
        <f>IF(VLOOKUP($C470,'ACESSÓRIOS REV'!$C:$AL,14,0)-'TRADE IN'!$F470=0,"",(VLOOKUP($C470,'ACESSÓRIOS REV'!$C:$AL,14,0)-'TRADE IN'!$F470))</f>
        <v>4899</v>
      </c>
      <c r="Q470" s="160">
        <f>IF(VLOOKUP($C470,'ACESSÓRIOS REV'!$C:$AL,15,0)-'TRADE IN'!$F470=0,"",(VLOOKUP($C470,'ACESSÓRIOS REV'!$C:$AL,15,0)-'TRADE IN'!$F470))</f>
        <v>4699</v>
      </c>
      <c r="R470" s="160">
        <f>IF(VLOOKUP($C470,'ACESSÓRIOS REV'!$C:$AL,16,0)-'TRADE IN'!$F470=0,"",(VLOOKUP($C470,'ACESSÓRIOS REV'!$C:$AL,16,0)-'TRADE IN'!$F470))</f>
        <v>4999</v>
      </c>
      <c r="S470" s="160">
        <f>IF(VLOOKUP($C470,'ACESSÓRIOS REV'!$C:$AL,17,0)-'TRADE IN'!$F470=0,"",(VLOOKUP($C470,'ACESSÓRIOS REV'!$C:$AL,17,0)-'TRADE IN'!$F470))</f>
        <v>4899</v>
      </c>
      <c r="T470" s="160">
        <f>IF(VLOOKUP($C470,'ACESSÓRIOS REV'!$C:$AL,18,0)-'TRADE IN'!$F470=0,"",(VLOOKUP($C470,'ACESSÓRIOS REV'!$C:$AL,18,0)-'TRADE IN'!$F470))</f>
        <v>4699</v>
      </c>
      <c r="U470" s="160">
        <f>IF(VLOOKUP($C470,'ACESSÓRIOS REV'!$C:$AL,19,0)-'TRADE IN'!$F470=0,"",(VLOOKUP($C470,'ACESSÓRIOS REV'!$C:$AL,19,0)-'TRADE IN'!$F470))</f>
        <v>4699</v>
      </c>
      <c r="V470" s="160">
        <f>IF(VLOOKUP($C470,'ACESSÓRIOS REV'!$C:$AL,20,0)-'TRADE IN'!$F470=0,"",(VLOOKUP($C470,'ACESSÓRIOS REV'!$C:$AL,20,0)-'TRADE IN'!$F470))</f>
        <v>4699</v>
      </c>
      <c r="W470" s="160">
        <f>IF(VLOOKUP($C470,'ACESSÓRIOS REV'!$C:$AL,21,0)-'TRADE IN'!$F470=0,"",(VLOOKUP($C470,'ACESSÓRIOS REV'!$C:$AL,21,0)-'TRADE IN'!$F470))</f>
        <v>4699</v>
      </c>
      <c r="X470" s="160">
        <f>IF(VLOOKUP($C470,'ACESSÓRIOS REV'!$C:$AL,22,0)-'TRADE IN'!$F470=0,"",(VLOOKUP($C470,'ACESSÓRIOS REV'!$C:$AL,22,0)-'TRADE IN'!$F470))</f>
        <v>4599</v>
      </c>
      <c r="Y470" s="160">
        <f>IF(VLOOKUP($C470,'ACESSÓRIOS REV'!$C:$AL,23,0)-'TRADE IN'!$F470=0,"",(VLOOKUP($C470,'ACESSÓRIOS REV'!$C:$AL,23,0)-'TRADE IN'!$F470))</f>
        <v>3999</v>
      </c>
      <c r="Z470" s="160">
        <f>IF(VLOOKUP($C470,'ACESSÓRIOS REV'!$C:$AL,24,0)-'TRADE IN'!$F470=0,"",(VLOOKUP($C470,'ACESSÓRIOS REV'!$C:$AL,24,0)-'TRADE IN'!$F470))</f>
        <v>3999</v>
      </c>
      <c r="AA470" s="160">
        <f>IF(VLOOKUP($C470,'ACESSÓRIOS REV'!$C:$AL,25,0)-'TRADE IN'!$F470=0,"",(VLOOKUP($C470,'ACESSÓRIOS REV'!$C:$AL,25,0)-'TRADE IN'!$F470))</f>
        <v>3999</v>
      </c>
      <c r="AB470" s="160">
        <f>IF(VLOOKUP($C470,'ACESSÓRIOS REV'!$C:$AL,27,0)-'TRADE IN'!$F470=0,"",(VLOOKUP($C470,'ACESSÓRIOS REV'!$C:$AL,27,0)-'TRADE IN'!$F470))</f>
        <v>5049</v>
      </c>
      <c r="AC470" s="160">
        <f>IF(VLOOKUP($C470,'ACESSÓRIOS REV'!$C:$AL,28,0)-'TRADE IN'!$F470=0,"",(VLOOKUP($C470,'ACESSÓRIOS REV'!$C:$AL,28,0)-'TRADE IN'!$F470))</f>
        <v>5049</v>
      </c>
      <c r="AD470" s="160">
        <f>IF(VLOOKUP($C470,'ACESSÓRIOS REV'!$C:$AL,29,0)-'TRADE IN'!$F470=0,"",(VLOOKUP($C470,'ACESSÓRIOS REV'!$C:$AL,29,0)-'TRADE IN'!$F470))</f>
        <v>4999</v>
      </c>
      <c r="AE470" s="160">
        <f>IF(VLOOKUP($C470,'ACESSÓRIOS REV'!$C:$AL,30,0)-'TRADE IN'!$F470=0,"",(VLOOKUP($C470,'ACESSÓRIOS REV'!$C:$AL,30,0)-'TRADE IN'!$F470))</f>
        <v>4999</v>
      </c>
      <c r="AF470" s="160">
        <f>IF(VLOOKUP($C470,'ACESSÓRIOS REV'!$C:$AL,31,0)-'TRADE IN'!$F470=0,"",(VLOOKUP($C470,'ACESSÓRIOS REV'!$C:$AL,31,0)-'TRADE IN'!$F470))</f>
        <v>4999</v>
      </c>
      <c r="AG470" s="160">
        <f>IF(VLOOKUP($C470,'ACESSÓRIOS REV'!$C:$AL,31,0)-'TRADE IN'!$F470=0,"",(VLOOKUP($C470,'ACESSÓRIOS REV'!$C:$AL,31,0)-'TRADE IN'!$F470))</f>
        <v>4999</v>
      </c>
      <c r="AH470" s="160">
        <f>IF(VLOOKUP($C470,'ACESSÓRIOS REV'!$C:$AL,32,0)-'TRADE IN'!$F470=0,"",(VLOOKUP($C470,'ACESSÓRIOS REV'!$C:$AL,32,0)-'TRADE IN'!$F470))</f>
        <v>4999</v>
      </c>
      <c r="AI470" s="160">
        <f>IF(VLOOKUP($C470,'ACESSÓRIOS REV'!$C:$AL,33,0)-'TRADE IN'!$F470=0,"",(VLOOKUP($C470,'ACESSÓRIOS REV'!$C:$AL,33,0)-'TRADE IN'!$F470))</f>
        <v>4699</v>
      </c>
      <c r="AJ470" s="160">
        <f>IF(VLOOKUP($C470,'ACESSÓRIOS REV'!$C:$AL,34,0)-'TRADE IN'!$F470=0,"",(VLOOKUP($C470,'ACESSÓRIOS REV'!$C:$AL,34,0)-'TRADE IN'!$F470))</f>
        <v>4699</v>
      </c>
      <c r="AK470" s="160">
        <f>IF(VLOOKUP($C470,'ACESSÓRIOS REV'!$C:$AL,35,0)-'TRADE IN'!$F470=0,"",(VLOOKUP($C470,'ACESSÓRIOS REV'!$C:$AL,35,0)-'TRADE IN'!$F470))</f>
        <v>4699</v>
      </c>
      <c r="AL470" s="160">
        <f>IF(VLOOKUP($C470,'ACESSÓRIOS REV'!$C:$AL,36,0)-'TRADE IN'!$F470=0,"",(VLOOKUP($C470,'ACESSÓRIOS REV'!$C:$AL,36,0)-'TRADE IN'!$F470))</f>
        <v>3999</v>
      </c>
      <c r="AM470" s="162"/>
      <c r="AN470" s="162"/>
      <c r="AO470" s="162"/>
      <c r="AP470" s="162"/>
      <c r="AQ470" s="162"/>
      <c r="AR470" s="162"/>
      <c r="AS470" s="162"/>
      <c r="AT470" s="162"/>
      <c r="AU470" s="162"/>
      <c r="AW470" s="120" t="s">
        <v>680</v>
      </c>
    </row>
    <row r="471" spans="1:50" ht="23" customHeight="1">
      <c r="B471" s="123" t="s">
        <v>732</v>
      </c>
      <c r="C471" s="122">
        <v>4016958</v>
      </c>
      <c r="D471" s="143" t="s">
        <v>834</v>
      </c>
      <c r="E471" s="107" t="s">
        <v>835</v>
      </c>
      <c r="F471" s="159"/>
      <c r="G471" s="160"/>
      <c r="H471" s="160"/>
      <c r="I471" s="160"/>
      <c r="J471" s="160">
        <f>IF(VLOOKUP($C471,'ACESSÓRIOS REV'!$C:$AL,8,0)-'TRADE IN'!$F471=0,"",(VLOOKUP($C471,'ACESSÓRIOS REV'!$C:$AL,8,0)-'TRADE IN'!$F471))</f>
        <v>5049</v>
      </c>
      <c r="K471" s="160">
        <f>IF(VLOOKUP($C471,'ACESSÓRIOS REV'!$C:$AL,9,0)-'TRADE IN'!$F471=0,"",(VLOOKUP($C471,'ACESSÓRIOS REV'!$C:$AL,9,0)-'TRADE IN'!$F471))</f>
        <v>5049</v>
      </c>
      <c r="L471" s="160">
        <f>IF(VLOOKUP($C471,'ACESSÓRIOS REV'!$C:$AL,10,0)-'TRADE IN'!$F471=0,"",(VLOOKUP($C471,'ACESSÓRIOS REV'!$C:$AL,10,0)-'TRADE IN'!$F471))</f>
        <v>5049</v>
      </c>
      <c r="M471" s="160">
        <f>IF(VLOOKUP($C471,'ACESSÓRIOS REV'!$C:$AL,11,0)-'TRADE IN'!$F471=0,"",(VLOOKUP($C471,'ACESSÓRIOS REV'!$C:$AL,11,0)-'TRADE IN'!$F471))</f>
        <v>5049</v>
      </c>
      <c r="N471" s="160">
        <f>IF(VLOOKUP($C471,'ACESSÓRIOS REV'!$C:$AL,12,0)-'TRADE IN'!$F471=0,"",(VLOOKUP($C471,'ACESSÓRIOS REV'!$C:$AL,12,0)-'TRADE IN'!$F471))</f>
        <v>5049</v>
      </c>
      <c r="O471" s="160">
        <f>IF(VLOOKUP($C471,'ACESSÓRIOS REV'!$C:$AL,13,0)-'TRADE IN'!$F471=0,"",(VLOOKUP($C471,'ACESSÓRIOS REV'!$C:$AL,13,0)-'TRADE IN'!$F471))</f>
        <v>4999</v>
      </c>
      <c r="P471" s="160">
        <f>IF(VLOOKUP($C471,'ACESSÓRIOS REV'!$C:$AL,14,0)-'TRADE IN'!$F471=0,"",(VLOOKUP($C471,'ACESSÓRIOS REV'!$C:$AL,14,0)-'TRADE IN'!$F471))</f>
        <v>4899</v>
      </c>
      <c r="Q471" s="160">
        <f>IF(VLOOKUP($C471,'ACESSÓRIOS REV'!$C:$AL,15,0)-'TRADE IN'!$F471=0,"",(VLOOKUP($C471,'ACESSÓRIOS REV'!$C:$AL,15,0)-'TRADE IN'!$F471))</f>
        <v>4699</v>
      </c>
      <c r="R471" s="160">
        <f>IF(VLOOKUP($C471,'ACESSÓRIOS REV'!$C:$AL,16,0)-'TRADE IN'!$F471=0,"",(VLOOKUP($C471,'ACESSÓRIOS REV'!$C:$AL,16,0)-'TRADE IN'!$F471))</f>
        <v>4999</v>
      </c>
      <c r="S471" s="160">
        <f>IF(VLOOKUP($C471,'ACESSÓRIOS REV'!$C:$AL,17,0)-'TRADE IN'!$F471=0,"",(VLOOKUP($C471,'ACESSÓRIOS REV'!$C:$AL,17,0)-'TRADE IN'!$F471))</f>
        <v>4899</v>
      </c>
      <c r="T471" s="160">
        <f>IF(VLOOKUP($C471,'ACESSÓRIOS REV'!$C:$AL,18,0)-'TRADE IN'!$F471=0,"",(VLOOKUP($C471,'ACESSÓRIOS REV'!$C:$AL,18,0)-'TRADE IN'!$F471))</f>
        <v>4699</v>
      </c>
      <c r="U471" s="160">
        <f>IF(VLOOKUP($C471,'ACESSÓRIOS REV'!$C:$AL,19,0)-'TRADE IN'!$F471=0,"",(VLOOKUP($C471,'ACESSÓRIOS REV'!$C:$AL,19,0)-'TRADE IN'!$F471))</f>
        <v>4699</v>
      </c>
      <c r="V471" s="160">
        <f>IF(VLOOKUP($C471,'ACESSÓRIOS REV'!$C:$AL,20,0)-'TRADE IN'!$F471=0,"",(VLOOKUP($C471,'ACESSÓRIOS REV'!$C:$AL,20,0)-'TRADE IN'!$F471))</f>
        <v>4699</v>
      </c>
      <c r="W471" s="160">
        <f>IF(VLOOKUP($C471,'ACESSÓRIOS REV'!$C:$AL,21,0)-'TRADE IN'!$F471=0,"",(VLOOKUP($C471,'ACESSÓRIOS REV'!$C:$AL,21,0)-'TRADE IN'!$F471))</f>
        <v>4699</v>
      </c>
      <c r="X471" s="160">
        <f>IF(VLOOKUP($C471,'ACESSÓRIOS REV'!$C:$AL,22,0)-'TRADE IN'!$F471=0,"",(VLOOKUP($C471,'ACESSÓRIOS REV'!$C:$AL,22,0)-'TRADE IN'!$F471))</f>
        <v>4599</v>
      </c>
      <c r="Y471" s="160">
        <f>IF(VLOOKUP($C471,'ACESSÓRIOS REV'!$C:$AL,23,0)-'TRADE IN'!$F471=0,"",(VLOOKUP($C471,'ACESSÓRIOS REV'!$C:$AL,23,0)-'TRADE IN'!$F471))</f>
        <v>3999</v>
      </c>
      <c r="Z471" s="160">
        <f>IF(VLOOKUP($C471,'ACESSÓRIOS REV'!$C:$AL,24,0)-'TRADE IN'!$F471=0,"",(VLOOKUP($C471,'ACESSÓRIOS REV'!$C:$AL,24,0)-'TRADE IN'!$F471))</f>
        <v>3999</v>
      </c>
      <c r="AA471" s="160">
        <f>IF(VLOOKUP($C471,'ACESSÓRIOS REV'!$C:$AL,25,0)-'TRADE IN'!$F471=0,"",(VLOOKUP($C471,'ACESSÓRIOS REV'!$C:$AL,25,0)-'TRADE IN'!$F471))</f>
        <v>3999</v>
      </c>
      <c r="AB471" s="160">
        <f>IF(VLOOKUP($C471,'ACESSÓRIOS REV'!$C:$AL,27,0)-'TRADE IN'!$F471=0,"",(VLOOKUP($C471,'ACESSÓRIOS REV'!$C:$AL,27,0)-'TRADE IN'!$F471))</f>
        <v>5049</v>
      </c>
      <c r="AC471" s="160">
        <f>IF(VLOOKUP($C471,'ACESSÓRIOS REV'!$C:$AL,28,0)-'TRADE IN'!$F471=0,"",(VLOOKUP($C471,'ACESSÓRIOS REV'!$C:$AL,28,0)-'TRADE IN'!$F471))</f>
        <v>5049</v>
      </c>
      <c r="AD471" s="160">
        <f>IF(VLOOKUP($C471,'ACESSÓRIOS REV'!$C:$AL,29,0)-'TRADE IN'!$F471=0,"",(VLOOKUP($C471,'ACESSÓRIOS REV'!$C:$AL,29,0)-'TRADE IN'!$F471))</f>
        <v>4999</v>
      </c>
      <c r="AE471" s="160">
        <f>IF(VLOOKUP($C471,'ACESSÓRIOS REV'!$C:$AL,30,0)-'TRADE IN'!$F471=0,"",(VLOOKUP($C471,'ACESSÓRIOS REV'!$C:$AL,30,0)-'TRADE IN'!$F471))</f>
        <v>4999</v>
      </c>
      <c r="AF471" s="160">
        <f>IF(VLOOKUP($C471,'ACESSÓRIOS REV'!$C:$AL,31,0)-'TRADE IN'!$F471=0,"",(VLOOKUP($C471,'ACESSÓRIOS REV'!$C:$AL,31,0)-'TRADE IN'!$F471))</f>
        <v>4999</v>
      </c>
      <c r="AG471" s="160">
        <f>IF(VLOOKUP($C471,'ACESSÓRIOS REV'!$C:$AL,31,0)-'TRADE IN'!$F471=0,"",(VLOOKUP($C471,'ACESSÓRIOS REV'!$C:$AL,31,0)-'TRADE IN'!$F471))</f>
        <v>4999</v>
      </c>
      <c r="AH471" s="160">
        <f>IF(VLOOKUP($C471,'ACESSÓRIOS REV'!$C:$AL,32,0)-'TRADE IN'!$F471=0,"",(VLOOKUP($C471,'ACESSÓRIOS REV'!$C:$AL,32,0)-'TRADE IN'!$F471))</f>
        <v>4999</v>
      </c>
      <c r="AI471" s="160">
        <f>IF(VLOOKUP($C471,'ACESSÓRIOS REV'!$C:$AL,33,0)-'TRADE IN'!$F471=0,"",(VLOOKUP($C471,'ACESSÓRIOS REV'!$C:$AL,33,0)-'TRADE IN'!$F471))</f>
        <v>4699</v>
      </c>
      <c r="AJ471" s="160">
        <f>IF(VLOOKUP($C471,'ACESSÓRIOS REV'!$C:$AL,34,0)-'TRADE IN'!$F471=0,"",(VLOOKUP($C471,'ACESSÓRIOS REV'!$C:$AL,34,0)-'TRADE IN'!$F471))</f>
        <v>4699</v>
      </c>
      <c r="AK471" s="160">
        <f>IF(VLOOKUP($C471,'ACESSÓRIOS REV'!$C:$AL,35,0)-'TRADE IN'!$F471=0,"",(VLOOKUP($C471,'ACESSÓRIOS REV'!$C:$AL,35,0)-'TRADE IN'!$F471))</f>
        <v>4699</v>
      </c>
      <c r="AL471" s="160">
        <f>IF(VLOOKUP($C471,'ACESSÓRIOS REV'!$C:$AL,36,0)-'TRADE IN'!$F471=0,"",(VLOOKUP($C471,'ACESSÓRIOS REV'!$C:$AL,36,0)-'TRADE IN'!$F471))</f>
        <v>3999</v>
      </c>
      <c r="AM471" s="162"/>
      <c r="AN471" s="162"/>
      <c r="AO471" s="162"/>
      <c r="AP471" s="162"/>
      <c r="AQ471" s="162"/>
      <c r="AR471" s="162"/>
      <c r="AS471" s="162"/>
      <c r="AT471" s="162"/>
      <c r="AU471" s="162"/>
      <c r="AW471" s="120" t="s">
        <v>680</v>
      </c>
    </row>
    <row r="472" spans="1:50" ht="23" customHeight="1">
      <c r="B472" s="123" t="s">
        <v>681</v>
      </c>
      <c r="C472" s="122">
        <v>4017128</v>
      </c>
      <c r="D472" s="143" t="s">
        <v>836</v>
      </c>
      <c r="E472" s="107" t="s">
        <v>837</v>
      </c>
      <c r="F472" s="159"/>
      <c r="G472" s="160"/>
      <c r="H472" s="160"/>
      <c r="I472" s="160"/>
      <c r="J472" s="160">
        <f>IF(VLOOKUP($C472,'ACESSÓRIOS REV'!$C:$AL,8,0)-'TRADE IN'!$F472=0,"",(VLOOKUP($C472,'ACESSÓRIOS REV'!$C:$AL,8,0)-'TRADE IN'!$F472))</f>
        <v>5049</v>
      </c>
      <c r="K472" s="160">
        <f>IF(VLOOKUP($C472,'ACESSÓRIOS REV'!$C:$AL,9,0)-'TRADE IN'!$F472=0,"",(VLOOKUP($C472,'ACESSÓRIOS REV'!$C:$AL,9,0)-'TRADE IN'!$F472))</f>
        <v>5049</v>
      </c>
      <c r="L472" s="160">
        <f>IF(VLOOKUP($C472,'ACESSÓRIOS REV'!$C:$AL,10,0)-'TRADE IN'!$F472=0,"",(VLOOKUP($C472,'ACESSÓRIOS REV'!$C:$AL,10,0)-'TRADE IN'!$F472))</f>
        <v>5049</v>
      </c>
      <c r="M472" s="160">
        <f>IF(VLOOKUP($C472,'ACESSÓRIOS REV'!$C:$AL,11,0)-'TRADE IN'!$F472=0,"",(VLOOKUP($C472,'ACESSÓRIOS REV'!$C:$AL,11,0)-'TRADE IN'!$F472))</f>
        <v>5049</v>
      </c>
      <c r="N472" s="160">
        <f>IF(VLOOKUP($C472,'ACESSÓRIOS REV'!$C:$AL,12,0)-'TRADE IN'!$F472=0,"",(VLOOKUP($C472,'ACESSÓRIOS REV'!$C:$AL,12,0)-'TRADE IN'!$F472))</f>
        <v>5049</v>
      </c>
      <c r="O472" s="160">
        <f>IF(VLOOKUP($C472,'ACESSÓRIOS REV'!$C:$AL,13,0)-'TRADE IN'!$F472=0,"",(VLOOKUP($C472,'ACESSÓRIOS REV'!$C:$AL,13,0)-'TRADE IN'!$F472))</f>
        <v>4999</v>
      </c>
      <c r="P472" s="160">
        <f>IF(VLOOKUP($C472,'ACESSÓRIOS REV'!$C:$AL,14,0)-'TRADE IN'!$F472=0,"",(VLOOKUP($C472,'ACESSÓRIOS REV'!$C:$AL,14,0)-'TRADE IN'!$F472))</f>
        <v>4899</v>
      </c>
      <c r="Q472" s="160">
        <f>IF(VLOOKUP($C472,'ACESSÓRIOS REV'!$C:$AL,15,0)-'TRADE IN'!$F472=0,"",(VLOOKUP($C472,'ACESSÓRIOS REV'!$C:$AL,15,0)-'TRADE IN'!$F472))</f>
        <v>4699</v>
      </c>
      <c r="R472" s="160">
        <f>IF(VLOOKUP($C472,'ACESSÓRIOS REV'!$C:$AL,16,0)-'TRADE IN'!$F472=0,"",(VLOOKUP($C472,'ACESSÓRIOS REV'!$C:$AL,16,0)-'TRADE IN'!$F472))</f>
        <v>4999</v>
      </c>
      <c r="S472" s="160">
        <f>IF(VLOOKUP($C472,'ACESSÓRIOS REV'!$C:$AL,17,0)-'TRADE IN'!$F472=0,"",(VLOOKUP($C472,'ACESSÓRIOS REV'!$C:$AL,17,0)-'TRADE IN'!$F472))</f>
        <v>4899</v>
      </c>
      <c r="T472" s="160">
        <f>IF(VLOOKUP($C472,'ACESSÓRIOS REV'!$C:$AL,18,0)-'TRADE IN'!$F472=0,"",(VLOOKUP($C472,'ACESSÓRIOS REV'!$C:$AL,18,0)-'TRADE IN'!$F472))</f>
        <v>4699</v>
      </c>
      <c r="U472" s="160">
        <f>IF(VLOOKUP($C472,'ACESSÓRIOS REV'!$C:$AL,19,0)-'TRADE IN'!$F472=0,"",(VLOOKUP($C472,'ACESSÓRIOS REV'!$C:$AL,19,0)-'TRADE IN'!$F472))</f>
        <v>4699</v>
      </c>
      <c r="V472" s="160">
        <f>IF(VLOOKUP($C472,'ACESSÓRIOS REV'!$C:$AL,20,0)-'TRADE IN'!$F472=0,"",(VLOOKUP($C472,'ACESSÓRIOS REV'!$C:$AL,20,0)-'TRADE IN'!$F472))</f>
        <v>4699</v>
      </c>
      <c r="W472" s="160">
        <f>IF(VLOOKUP($C472,'ACESSÓRIOS REV'!$C:$AL,21,0)-'TRADE IN'!$F472=0,"",(VLOOKUP($C472,'ACESSÓRIOS REV'!$C:$AL,21,0)-'TRADE IN'!$F472))</f>
        <v>4699</v>
      </c>
      <c r="X472" s="160">
        <f>IF(VLOOKUP($C472,'ACESSÓRIOS REV'!$C:$AL,22,0)-'TRADE IN'!$F472=0,"",(VLOOKUP($C472,'ACESSÓRIOS REV'!$C:$AL,22,0)-'TRADE IN'!$F472))</f>
        <v>4599</v>
      </c>
      <c r="Y472" s="160">
        <f>IF(VLOOKUP($C472,'ACESSÓRIOS REV'!$C:$AL,23,0)-'TRADE IN'!$F472=0,"",(VLOOKUP($C472,'ACESSÓRIOS REV'!$C:$AL,23,0)-'TRADE IN'!$F472))</f>
        <v>3999</v>
      </c>
      <c r="Z472" s="160">
        <f>IF(VLOOKUP($C472,'ACESSÓRIOS REV'!$C:$AL,24,0)-'TRADE IN'!$F472=0,"",(VLOOKUP($C472,'ACESSÓRIOS REV'!$C:$AL,24,0)-'TRADE IN'!$F472))</f>
        <v>3999</v>
      </c>
      <c r="AA472" s="160">
        <f>IF(VLOOKUP($C472,'ACESSÓRIOS REV'!$C:$AL,25,0)-'TRADE IN'!$F472=0,"",(VLOOKUP($C472,'ACESSÓRIOS REV'!$C:$AL,25,0)-'TRADE IN'!$F472))</f>
        <v>3999</v>
      </c>
      <c r="AB472" s="160">
        <f>IF(VLOOKUP($C472,'ACESSÓRIOS REV'!$C:$AL,27,0)-'TRADE IN'!$F472=0,"",(VLOOKUP($C472,'ACESSÓRIOS REV'!$C:$AL,27,0)-'TRADE IN'!$F472))</f>
        <v>5049</v>
      </c>
      <c r="AC472" s="160">
        <f>IF(VLOOKUP($C472,'ACESSÓRIOS REV'!$C:$AL,28,0)-'TRADE IN'!$F472=0,"",(VLOOKUP($C472,'ACESSÓRIOS REV'!$C:$AL,28,0)-'TRADE IN'!$F472))</f>
        <v>5049</v>
      </c>
      <c r="AD472" s="160">
        <f>IF(VLOOKUP($C472,'ACESSÓRIOS REV'!$C:$AL,29,0)-'TRADE IN'!$F472=0,"",(VLOOKUP($C472,'ACESSÓRIOS REV'!$C:$AL,29,0)-'TRADE IN'!$F472))</f>
        <v>4999</v>
      </c>
      <c r="AE472" s="160">
        <f>IF(VLOOKUP($C472,'ACESSÓRIOS REV'!$C:$AL,30,0)-'TRADE IN'!$F472=0,"",(VLOOKUP($C472,'ACESSÓRIOS REV'!$C:$AL,30,0)-'TRADE IN'!$F472))</f>
        <v>4999</v>
      </c>
      <c r="AF472" s="160">
        <f>IF(VLOOKUP($C472,'ACESSÓRIOS REV'!$C:$AL,31,0)-'TRADE IN'!$F472=0,"",(VLOOKUP($C472,'ACESSÓRIOS REV'!$C:$AL,31,0)-'TRADE IN'!$F472))</f>
        <v>4999</v>
      </c>
      <c r="AG472" s="160">
        <f>IF(VLOOKUP($C472,'ACESSÓRIOS REV'!$C:$AL,31,0)-'TRADE IN'!$F472=0,"",(VLOOKUP($C472,'ACESSÓRIOS REV'!$C:$AL,31,0)-'TRADE IN'!$F472))</f>
        <v>4999</v>
      </c>
      <c r="AH472" s="160">
        <f>IF(VLOOKUP($C472,'ACESSÓRIOS REV'!$C:$AL,32,0)-'TRADE IN'!$F472=0,"",(VLOOKUP($C472,'ACESSÓRIOS REV'!$C:$AL,32,0)-'TRADE IN'!$F472))</f>
        <v>4999</v>
      </c>
      <c r="AI472" s="160">
        <f>IF(VLOOKUP($C472,'ACESSÓRIOS REV'!$C:$AL,33,0)-'TRADE IN'!$F472=0,"",(VLOOKUP($C472,'ACESSÓRIOS REV'!$C:$AL,33,0)-'TRADE IN'!$F472))</f>
        <v>4699</v>
      </c>
      <c r="AJ472" s="160">
        <f>IF(VLOOKUP($C472,'ACESSÓRIOS REV'!$C:$AL,34,0)-'TRADE IN'!$F472=0,"",(VLOOKUP($C472,'ACESSÓRIOS REV'!$C:$AL,34,0)-'TRADE IN'!$F472))</f>
        <v>4699</v>
      </c>
      <c r="AK472" s="160">
        <f>IF(VLOOKUP($C472,'ACESSÓRIOS REV'!$C:$AL,35,0)-'TRADE IN'!$F472=0,"",(VLOOKUP($C472,'ACESSÓRIOS REV'!$C:$AL,35,0)-'TRADE IN'!$F472))</f>
        <v>4699</v>
      </c>
      <c r="AL472" s="160">
        <f>IF(VLOOKUP($C472,'ACESSÓRIOS REV'!$C:$AL,36,0)-'TRADE IN'!$F472=0,"",(VLOOKUP($C472,'ACESSÓRIOS REV'!$C:$AL,36,0)-'TRADE IN'!$F472))</f>
        <v>3999</v>
      </c>
      <c r="AM472" s="162"/>
      <c r="AN472" s="162"/>
      <c r="AO472" s="162"/>
      <c r="AP472" s="162"/>
      <c r="AQ472" s="162"/>
      <c r="AR472" s="162"/>
      <c r="AS472" s="162"/>
      <c r="AT472" s="162"/>
      <c r="AU472" s="162"/>
      <c r="AW472" s="120" t="s">
        <v>680</v>
      </c>
    </row>
    <row r="473" spans="1:50" ht="23" customHeight="1">
      <c r="B473" s="123" t="s">
        <v>732</v>
      </c>
      <c r="C473" s="122">
        <v>4017326</v>
      </c>
      <c r="D473" s="143" t="s">
        <v>838</v>
      </c>
      <c r="E473" s="107" t="s">
        <v>839</v>
      </c>
      <c r="F473" s="159"/>
      <c r="G473" s="160"/>
      <c r="H473" s="160"/>
      <c r="I473" s="160"/>
      <c r="J473" s="160">
        <f>IF(VLOOKUP($C473,'ACESSÓRIOS REV'!$C:$AL,8,0)-'TRADE IN'!$F473=0,"",(VLOOKUP($C473,'ACESSÓRIOS REV'!$C:$AL,8,0)-'TRADE IN'!$F473))</f>
        <v>5049</v>
      </c>
      <c r="K473" s="160">
        <f>IF(VLOOKUP($C473,'ACESSÓRIOS REV'!$C:$AL,9,0)-'TRADE IN'!$F473=0,"",(VLOOKUP($C473,'ACESSÓRIOS REV'!$C:$AL,9,0)-'TRADE IN'!$F473))</f>
        <v>5049</v>
      </c>
      <c r="L473" s="160">
        <f>IF(VLOOKUP($C473,'ACESSÓRIOS REV'!$C:$AL,10,0)-'TRADE IN'!$F473=0,"",(VLOOKUP($C473,'ACESSÓRIOS REV'!$C:$AL,10,0)-'TRADE IN'!$F473))</f>
        <v>5049</v>
      </c>
      <c r="M473" s="160">
        <f>IF(VLOOKUP($C473,'ACESSÓRIOS REV'!$C:$AL,11,0)-'TRADE IN'!$F473=0,"",(VLOOKUP($C473,'ACESSÓRIOS REV'!$C:$AL,11,0)-'TRADE IN'!$F473))</f>
        <v>5049</v>
      </c>
      <c r="N473" s="160">
        <f>IF(VLOOKUP($C473,'ACESSÓRIOS REV'!$C:$AL,12,0)-'TRADE IN'!$F473=0,"",(VLOOKUP($C473,'ACESSÓRIOS REV'!$C:$AL,12,0)-'TRADE IN'!$F473))</f>
        <v>5049</v>
      </c>
      <c r="O473" s="160">
        <f>IF(VLOOKUP($C473,'ACESSÓRIOS REV'!$C:$AL,13,0)-'TRADE IN'!$F473=0,"",(VLOOKUP($C473,'ACESSÓRIOS REV'!$C:$AL,13,0)-'TRADE IN'!$F473))</f>
        <v>4999</v>
      </c>
      <c r="P473" s="160">
        <f>IF(VLOOKUP($C473,'ACESSÓRIOS REV'!$C:$AL,14,0)-'TRADE IN'!$F473=0,"",(VLOOKUP($C473,'ACESSÓRIOS REV'!$C:$AL,14,0)-'TRADE IN'!$F473))</f>
        <v>4899</v>
      </c>
      <c r="Q473" s="160">
        <f>IF(VLOOKUP($C473,'ACESSÓRIOS REV'!$C:$AL,15,0)-'TRADE IN'!$F473=0,"",(VLOOKUP($C473,'ACESSÓRIOS REV'!$C:$AL,15,0)-'TRADE IN'!$F473))</f>
        <v>4699</v>
      </c>
      <c r="R473" s="160">
        <f>IF(VLOOKUP($C473,'ACESSÓRIOS REV'!$C:$AL,16,0)-'TRADE IN'!$F473=0,"",(VLOOKUP($C473,'ACESSÓRIOS REV'!$C:$AL,16,0)-'TRADE IN'!$F473))</f>
        <v>4999</v>
      </c>
      <c r="S473" s="160">
        <f>IF(VLOOKUP($C473,'ACESSÓRIOS REV'!$C:$AL,17,0)-'TRADE IN'!$F473=0,"",(VLOOKUP($C473,'ACESSÓRIOS REV'!$C:$AL,17,0)-'TRADE IN'!$F473))</f>
        <v>4899</v>
      </c>
      <c r="T473" s="160">
        <f>IF(VLOOKUP($C473,'ACESSÓRIOS REV'!$C:$AL,18,0)-'TRADE IN'!$F473=0,"",(VLOOKUP($C473,'ACESSÓRIOS REV'!$C:$AL,18,0)-'TRADE IN'!$F473))</f>
        <v>4699</v>
      </c>
      <c r="U473" s="160">
        <f>IF(VLOOKUP($C473,'ACESSÓRIOS REV'!$C:$AL,19,0)-'TRADE IN'!$F473=0,"",(VLOOKUP($C473,'ACESSÓRIOS REV'!$C:$AL,19,0)-'TRADE IN'!$F473))</f>
        <v>4699</v>
      </c>
      <c r="V473" s="160">
        <f>IF(VLOOKUP($C473,'ACESSÓRIOS REV'!$C:$AL,20,0)-'TRADE IN'!$F473=0,"",(VLOOKUP($C473,'ACESSÓRIOS REV'!$C:$AL,20,0)-'TRADE IN'!$F473))</f>
        <v>4699</v>
      </c>
      <c r="W473" s="160">
        <f>IF(VLOOKUP($C473,'ACESSÓRIOS REV'!$C:$AL,21,0)-'TRADE IN'!$F473=0,"",(VLOOKUP($C473,'ACESSÓRIOS REV'!$C:$AL,21,0)-'TRADE IN'!$F473))</f>
        <v>4699</v>
      </c>
      <c r="X473" s="160">
        <f>IF(VLOOKUP($C473,'ACESSÓRIOS REV'!$C:$AL,22,0)-'TRADE IN'!$F473=0,"",(VLOOKUP($C473,'ACESSÓRIOS REV'!$C:$AL,22,0)-'TRADE IN'!$F473))</f>
        <v>4599</v>
      </c>
      <c r="Y473" s="160">
        <f>IF(VLOOKUP($C473,'ACESSÓRIOS REV'!$C:$AL,23,0)-'TRADE IN'!$F473=0,"",(VLOOKUP($C473,'ACESSÓRIOS REV'!$C:$AL,23,0)-'TRADE IN'!$F473))</f>
        <v>3999</v>
      </c>
      <c r="Z473" s="160">
        <f>IF(VLOOKUP($C473,'ACESSÓRIOS REV'!$C:$AL,24,0)-'TRADE IN'!$F473=0,"",(VLOOKUP($C473,'ACESSÓRIOS REV'!$C:$AL,24,0)-'TRADE IN'!$F473))</f>
        <v>3999</v>
      </c>
      <c r="AA473" s="160">
        <f>IF(VLOOKUP($C473,'ACESSÓRIOS REV'!$C:$AL,25,0)-'TRADE IN'!$F473=0,"",(VLOOKUP($C473,'ACESSÓRIOS REV'!$C:$AL,25,0)-'TRADE IN'!$F473))</f>
        <v>3999</v>
      </c>
      <c r="AB473" s="160">
        <f>IF(VLOOKUP($C473,'ACESSÓRIOS REV'!$C:$AL,27,0)-'TRADE IN'!$F473=0,"",(VLOOKUP($C473,'ACESSÓRIOS REV'!$C:$AL,27,0)-'TRADE IN'!$F473))</f>
        <v>5049</v>
      </c>
      <c r="AC473" s="160">
        <f>IF(VLOOKUP($C473,'ACESSÓRIOS REV'!$C:$AL,28,0)-'TRADE IN'!$F473=0,"",(VLOOKUP($C473,'ACESSÓRIOS REV'!$C:$AL,28,0)-'TRADE IN'!$F473))</f>
        <v>5049</v>
      </c>
      <c r="AD473" s="160">
        <f>IF(VLOOKUP($C473,'ACESSÓRIOS REV'!$C:$AL,29,0)-'TRADE IN'!$F473=0,"",(VLOOKUP($C473,'ACESSÓRIOS REV'!$C:$AL,29,0)-'TRADE IN'!$F473))</f>
        <v>4999</v>
      </c>
      <c r="AE473" s="160">
        <f>IF(VLOOKUP($C473,'ACESSÓRIOS REV'!$C:$AL,30,0)-'TRADE IN'!$F473=0,"",(VLOOKUP($C473,'ACESSÓRIOS REV'!$C:$AL,30,0)-'TRADE IN'!$F473))</f>
        <v>4999</v>
      </c>
      <c r="AF473" s="160">
        <f>IF(VLOOKUP($C473,'ACESSÓRIOS REV'!$C:$AL,31,0)-'TRADE IN'!$F473=0,"",(VLOOKUP($C473,'ACESSÓRIOS REV'!$C:$AL,31,0)-'TRADE IN'!$F473))</f>
        <v>4999</v>
      </c>
      <c r="AG473" s="160">
        <f>IF(VLOOKUP($C473,'ACESSÓRIOS REV'!$C:$AL,31,0)-'TRADE IN'!$F473=0,"",(VLOOKUP($C473,'ACESSÓRIOS REV'!$C:$AL,31,0)-'TRADE IN'!$F473))</f>
        <v>4999</v>
      </c>
      <c r="AH473" s="160">
        <f>IF(VLOOKUP($C473,'ACESSÓRIOS REV'!$C:$AL,32,0)-'TRADE IN'!$F473=0,"",(VLOOKUP($C473,'ACESSÓRIOS REV'!$C:$AL,32,0)-'TRADE IN'!$F473))</f>
        <v>4999</v>
      </c>
      <c r="AI473" s="160">
        <f>IF(VLOOKUP($C473,'ACESSÓRIOS REV'!$C:$AL,33,0)-'TRADE IN'!$F473=0,"",(VLOOKUP($C473,'ACESSÓRIOS REV'!$C:$AL,33,0)-'TRADE IN'!$F473))</f>
        <v>4699</v>
      </c>
      <c r="AJ473" s="160">
        <f>IF(VLOOKUP($C473,'ACESSÓRIOS REV'!$C:$AL,34,0)-'TRADE IN'!$F473=0,"",(VLOOKUP($C473,'ACESSÓRIOS REV'!$C:$AL,34,0)-'TRADE IN'!$F473))</f>
        <v>4699</v>
      </c>
      <c r="AK473" s="160">
        <f>IF(VLOOKUP($C473,'ACESSÓRIOS REV'!$C:$AL,35,0)-'TRADE IN'!$F473=0,"",(VLOOKUP($C473,'ACESSÓRIOS REV'!$C:$AL,35,0)-'TRADE IN'!$F473))</f>
        <v>4699</v>
      </c>
      <c r="AL473" s="160">
        <f>IF(VLOOKUP($C473,'ACESSÓRIOS REV'!$C:$AL,36,0)-'TRADE IN'!$F473=0,"",(VLOOKUP($C473,'ACESSÓRIOS REV'!$C:$AL,36,0)-'TRADE IN'!$F473))</f>
        <v>3999</v>
      </c>
      <c r="AM473" s="162"/>
      <c r="AN473" s="162"/>
      <c r="AO473" s="162"/>
      <c r="AP473" s="162"/>
      <c r="AQ473" s="162"/>
      <c r="AR473" s="162"/>
      <c r="AS473" s="162"/>
      <c r="AT473" s="162"/>
      <c r="AU473" s="162"/>
      <c r="AW473" s="120" t="s">
        <v>680</v>
      </c>
    </row>
    <row r="474" spans="1:50" ht="23" customHeight="1">
      <c r="B474" s="123" t="s">
        <v>744</v>
      </c>
      <c r="C474" s="123">
        <v>4017240</v>
      </c>
      <c r="D474" s="123" t="s">
        <v>869</v>
      </c>
      <c r="E474" s="123" t="s">
        <v>870</v>
      </c>
      <c r="F474" s="163"/>
      <c r="G474" s="160"/>
      <c r="H474" s="160"/>
      <c r="I474" s="160"/>
      <c r="J474" s="160">
        <f>IF(VLOOKUP($C474,'ACESSÓRIOS REV'!$C:$AL,8,0)-'TRADE IN'!$F474=0,"",(VLOOKUP($C474,'ACESSÓRIOS REV'!$C:$AL,8,0)-'TRADE IN'!$F474))</f>
        <v>2649</v>
      </c>
      <c r="K474" s="160">
        <f>IF(VLOOKUP($C474,'ACESSÓRIOS REV'!$C:$AL,9,0)-'TRADE IN'!$F474=0,"",(VLOOKUP($C474,'ACESSÓRIOS REV'!$C:$AL,9,0)-'TRADE IN'!$F474))</f>
        <v>2649</v>
      </c>
      <c r="L474" s="160">
        <f>IF(VLOOKUP($C474,'ACESSÓRIOS REV'!$C:$AL,10,0)-'TRADE IN'!$F474=0,"",(VLOOKUP($C474,'ACESSÓRIOS REV'!$C:$AL,10,0)-'TRADE IN'!$F474))</f>
        <v>2649</v>
      </c>
      <c r="M474" s="160">
        <f>IF(VLOOKUP($C474,'ACESSÓRIOS REV'!$C:$AL,11,0)-'TRADE IN'!$F474=0,"",(VLOOKUP($C474,'ACESSÓRIOS REV'!$C:$AL,11,0)-'TRADE IN'!$F474))</f>
        <v>2649</v>
      </c>
      <c r="N474" s="160">
        <f>IF(VLOOKUP($C474,'ACESSÓRIOS REV'!$C:$AL,12,0)-'TRADE IN'!$F474=0,"",(VLOOKUP($C474,'ACESSÓRIOS REV'!$C:$AL,12,0)-'TRADE IN'!$F474))</f>
        <v>2649</v>
      </c>
      <c r="O474" s="160">
        <f>IF(VLOOKUP($C474,'ACESSÓRIOS REV'!$C:$AL,13,0)-'TRADE IN'!$F474=0,"",(VLOOKUP($C474,'ACESSÓRIOS REV'!$C:$AL,13,0)-'TRADE IN'!$F474))</f>
        <v>2599</v>
      </c>
      <c r="P474" s="160">
        <f>IF(VLOOKUP($C474,'ACESSÓRIOS REV'!$C:$AL,14,0)-'TRADE IN'!$F474=0,"",(VLOOKUP($C474,'ACESSÓRIOS REV'!$C:$AL,14,0)-'TRADE IN'!$F474))</f>
        <v>2499</v>
      </c>
      <c r="Q474" s="160">
        <f>IF(VLOOKUP($C474,'ACESSÓRIOS REV'!$C:$AL,15,0)-'TRADE IN'!$F474=0,"",(VLOOKUP($C474,'ACESSÓRIOS REV'!$C:$AL,15,0)-'TRADE IN'!$F474))</f>
        <v>1999</v>
      </c>
      <c r="R474" s="160">
        <f>IF(VLOOKUP($C474,'ACESSÓRIOS REV'!$C:$AL,16,0)-'TRADE IN'!$F474=0,"",(VLOOKUP($C474,'ACESSÓRIOS REV'!$C:$AL,16,0)-'TRADE IN'!$F474))</f>
        <v>2599</v>
      </c>
      <c r="S474" s="160">
        <f>IF(VLOOKUP($C474,'ACESSÓRIOS REV'!$C:$AL,17,0)-'TRADE IN'!$F474=0,"",(VLOOKUP($C474,'ACESSÓRIOS REV'!$C:$AL,17,0)-'TRADE IN'!$F474))</f>
        <v>2499</v>
      </c>
      <c r="T474" s="160">
        <f>IF(VLOOKUP($C474,'ACESSÓRIOS REV'!$C:$AL,18,0)-'TRADE IN'!$F474=0,"",(VLOOKUP($C474,'ACESSÓRIOS REV'!$C:$AL,18,0)-'TRADE IN'!$F474))</f>
        <v>1999</v>
      </c>
      <c r="U474" s="160">
        <f>IF(VLOOKUP($C474,'ACESSÓRIOS REV'!$C:$AL,19,0)-'TRADE IN'!$F474=0,"",(VLOOKUP($C474,'ACESSÓRIOS REV'!$C:$AL,19,0)-'TRADE IN'!$F474))</f>
        <v>1999</v>
      </c>
      <c r="V474" s="160">
        <f>IF(VLOOKUP($C474,'ACESSÓRIOS REV'!$C:$AL,20,0)-'TRADE IN'!$F474=0,"",(VLOOKUP($C474,'ACESSÓRIOS REV'!$C:$AL,20,0)-'TRADE IN'!$F474))</f>
        <v>2299</v>
      </c>
      <c r="W474" s="160">
        <f>IF(VLOOKUP($C474,'ACESSÓRIOS REV'!$C:$AL,21,0)-'TRADE IN'!$F474=0,"",(VLOOKUP($C474,'ACESSÓRIOS REV'!$C:$AL,21,0)-'TRADE IN'!$F474))</f>
        <v>2299</v>
      </c>
      <c r="X474" s="160">
        <f>IF(VLOOKUP($C474,'ACESSÓRIOS REV'!$C:$AL,22,0)-'TRADE IN'!$F474=0,"",(VLOOKUP($C474,'ACESSÓRIOS REV'!$C:$AL,22,0)-'TRADE IN'!$F474))</f>
        <v>2199</v>
      </c>
      <c r="Y474" s="160">
        <f>IF(VLOOKUP($C474,'ACESSÓRIOS REV'!$C:$AL,23,0)-'TRADE IN'!$F474=0,"",(VLOOKUP($C474,'ACESSÓRIOS REV'!$C:$AL,23,0)-'TRADE IN'!$F474))</f>
        <v>1499</v>
      </c>
      <c r="Z474" s="160">
        <f>IF(VLOOKUP($C474,'ACESSÓRIOS REV'!$C:$AL,24,0)-'TRADE IN'!$F474=0,"",(VLOOKUP($C474,'ACESSÓRIOS REV'!$C:$AL,24,0)-'TRADE IN'!$F474))</f>
        <v>1499</v>
      </c>
      <c r="AA474" s="160">
        <f>IF(VLOOKUP($C474,'ACESSÓRIOS REV'!$C:$AL,25,0)-'TRADE IN'!$F474=0,"",(VLOOKUP($C474,'ACESSÓRIOS REV'!$C:$AL,25,0)-'TRADE IN'!$F474))</f>
        <v>1449</v>
      </c>
      <c r="AB474" s="160">
        <f>IF(VLOOKUP($C474,'ACESSÓRIOS REV'!$C:$AL,27,0)-'TRADE IN'!$F474=0,"",(VLOOKUP($C474,'ACESSÓRIOS REV'!$C:$AL,27,0)-'TRADE IN'!$F474))</f>
        <v>2649</v>
      </c>
      <c r="AC474" s="160">
        <f>IF(VLOOKUP($C474,'ACESSÓRIOS REV'!$C:$AL,28,0)-'TRADE IN'!$F474=0,"",(VLOOKUP($C474,'ACESSÓRIOS REV'!$C:$AL,28,0)-'TRADE IN'!$F474))</f>
        <v>2649</v>
      </c>
      <c r="AD474" s="160">
        <f>IF(VLOOKUP($C474,'ACESSÓRIOS REV'!$C:$AL,29,0)-'TRADE IN'!$F474=0,"",(VLOOKUP($C474,'ACESSÓRIOS REV'!$C:$AL,29,0)-'TRADE IN'!$F474))</f>
        <v>2499</v>
      </c>
      <c r="AE474" s="160">
        <f>IF(VLOOKUP($C474,'ACESSÓRIOS REV'!$C:$AL,30,0)-'TRADE IN'!$F474=0,"",(VLOOKUP($C474,'ACESSÓRIOS REV'!$C:$AL,30,0)-'TRADE IN'!$F474))</f>
        <v>2499</v>
      </c>
      <c r="AF474" s="160">
        <f>IF(VLOOKUP($C474,'ACESSÓRIOS REV'!$C:$AL,31,0)-'TRADE IN'!$F474=0,"",(VLOOKUP($C474,'ACESSÓRIOS REV'!$C:$AL,31,0)-'TRADE IN'!$F474))</f>
        <v>2499</v>
      </c>
      <c r="AG474" s="160">
        <f>IF(VLOOKUP($C474,'ACESSÓRIOS REV'!$C:$AL,31,0)-'TRADE IN'!$F474=0,"",(VLOOKUP($C474,'ACESSÓRIOS REV'!$C:$AL,31,0)-'TRADE IN'!$F474))</f>
        <v>2499</v>
      </c>
      <c r="AH474" s="160">
        <f>IF(VLOOKUP($C474,'ACESSÓRIOS REV'!$C:$AL,32,0)-'TRADE IN'!$F474=0,"",(VLOOKUP($C474,'ACESSÓRIOS REV'!$C:$AL,32,0)-'TRADE IN'!$F474))</f>
        <v>2499</v>
      </c>
      <c r="AI474" s="160">
        <f>IF(VLOOKUP($C474,'ACESSÓRIOS REV'!$C:$AL,33,0)-'TRADE IN'!$F474=0,"",(VLOOKUP($C474,'ACESSÓRIOS REV'!$C:$AL,33,0)-'TRADE IN'!$F474))</f>
        <v>1999</v>
      </c>
      <c r="AJ474" s="160">
        <f>IF(VLOOKUP($C474,'ACESSÓRIOS REV'!$C:$AL,34,0)-'TRADE IN'!$F474=0,"",(VLOOKUP($C474,'ACESSÓRIOS REV'!$C:$AL,34,0)-'TRADE IN'!$F474))</f>
        <v>1999</v>
      </c>
      <c r="AK474" s="160">
        <f>IF(VLOOKUP($C474,'ACESSÓRIOS REV'!$C:$AL,35,0)-'TRADE IN'!$F474=0,"",(VLOOKUP($C474,'ACESSÓRIOS REV'!$C:$AL,35,0)-'TRADE IN'!$F474))</f>
        <v>1999</v>
      </c>
      <c r="AL474" s="160">
        <f>IF(VLOOKUP($C474,'ACESSÓRIOS REV'!$C:$AL,36,0)-'TRADE IN'!$F474=0,"",(VLOOKUP($C474,'ACESSÓRIOS REV'!$C:$AL,36,0)-'TRADE IN'!$F474))</f>
        <v>1449</v>
      </c>
      <c r="AM474" s="162"/>
      <c r="AN474" s="162"/>
      <c r="AO474" s="162"/>
      <c r="AP474" s="162"/>
      <c r="AQ474" s="162"/>
      <c r="AR474" s="162"/>
      <c r="AS474" s="162"/>
      <c r="AT474" s="162"/>
      <c r="AU474" s="162"/>
      <c r="AW474" s="120" t="s">
        <v>680</v>
      </c>
    </row>
    <row r="475" spans="1:50" ht="23" customHeight="1">
      <c r="B475" s="123" t="s">
        <v>744</v>
      </c>
      <c r="C475" s="122">
        <v>4017692</v>
      </c>
      <c r="D475" s="129" t="s">
        <v>867</v>
      </c>
      <c r="E475" s="107" t="s">
        <v>868</v>
      </c>
      <c r="F475" s="163">
        <v>300</v>
      </c>
      <c r="G475" s="160"/>
      <c r="H475" s="160"/>
      <c r="I475" s="160"/>
      <c r="J475" s="160">
        <f>IF(VLOOKUP($C475,'ACESSÓRIOS REV'!$C:$AL,8,0)-'TRADE IN'!$F475=0,"",(VLOOKUP($C475,'ACESSÓRIOS REV'!$C:$AL,8,0)-'TRADE IN'!$F475))</f>
        <v>2149</v>
      </c>
      <c r="K475" s="160">
        <f>IF(VLOOKUP($C475,'ACESSÓRIOS REV'!$C:$AL,9,0)-'TRADE IN'!$F475=0,"",(VLOOKUP($C475,'ACESSÓRIOS REV'!$C:$AL,9,0)-'TRADE IN'!$F475))</f>
        <v>2149</v>
      </c>
      <c r="L475" s="160">
        <f>IF(VLOOKUP($C475,'ACESSÓRIOS REV'!$C:$AL,10,0)-'TRADE IN'!$F475=0,"",(VLOOKUP($C475,'ACESSÓRIOS REV'!$C:$AL,10,0)-'TRADE IN'!$F475))</f>
        <v>2149</v>
      </c>
      <c r="M475" s="160">
        <f>IF(VLOOKUP($C475,'ACESSÓRIOS REV'!$C:$AL,11,0)-'TRADE IN'!$F475=0,"",(VLOOKUP($C475,'ACESSÓRIOS REV'!$C:$AL,11,0)-'TRADE IN'!$F475))</f>
        <v>2149</v>
      </c>
      <c r="N475" s="160">
        <f>IF(VLOOKUP($C475,'ACESSÓRIOS REV'!$C:$AL,12,0)-'TRADE IN'!$F475=0,"",(VLOOKUP($C475,'ACESSÓRIOS REV'!$C:$AL,12,0)-'TRADE IN'!$F475))</f>
        <v>2149</v>
      </c>
      <c r="O475" s="160">
        <f>IF(VLOOKUP($C475,'ACESSÓRIOS REV'!$C:$AL,13,0)-'TRADE IN'!$F475=0,"",(VLOOKUP($C475,'ACESSÓRIOS REV'!$C:$AL,13,0)-'TRADE IN'!$F475))</f>
        <v>2099</v>
      </c>
      <c r="P475" s="160">
        <f>IF(VLOOKUP($C475,'ACESSÓRIOS REV'!$C:$AL,14,0)-'TRADE IN'!$F475=0,"",(VLOOKUP($C475,'ACESSÓRIOS REV'!$C:$AL,14,0)-'TRADE IN'!$F475))</f>
        <v>2099</v>
      </c>
      <c r="Q475" s="160">
        <f>IF(VLOOKUP($C475,'ACESSÓRIOS REV'!$C:$AL,15,0)-'TRADE IN'!$F475=0,"",(VLOOKUP($C475,'ACESSÓRIOS REV'!$C:$AL,15,0)-'TRADE IN'!$F475))</f>
        <v>1499</v>
      </c>
      <c r="R475" s="160">
        <f>IF(VLOOKUP($C475,'ACESSÓRIOS REV'!$C:$AL,16,0)-'TRADE IN'!$F475=0,"",(VLOOKUP($C475,'ACESSÓRIOS REV'!$C:$AL,16,0)-'TRADE IN'!$F475))</f>
        <v>2099</v>
      </c>
      <c r="S475" s="160">
        <f>IF(VLOOKUP($C475,'ACESSÓRIOS REV'!$C:$AL,17,0)-'TRADE IN'!$F475=0,"",(VLOOKUP($C475,'ACESSÓRIOS REV'!$C:$AL,17,0)-'TRADE IN'!$F475))</f>
        <v>1999</v>
      </c>
      <c r="T475" s="160">
        <f>IF(VLOOKUP($C475,'ACESSÓRIOS REV'!$C:$AL,18,0)-'TRADE IN'!$F475=0,"",(VLOOKUP($C475,'ACESSÓRIOS REV'!$C:$AL,18,0)-'TRADE IN'!$F475))</f>
        <v>1499</v>
      </c>
      <c r="U475" s="160">
        <f>IF(VLOOKUP($C475,'ACESSÓRIOS REV'!$C:$AL,19,0)-'TRADE IN'!$F475=0,"",(VLOOKUP($C475,'ACESSÓRIOS REV'!$C:$AL,19,0)-'TRADE IN'!$F475))</f>
        <v>1699</v>
      </c>
      <c r="V475" s="160">
        <f>IF(VLOOKUP($C475,'ACESSÓRIOS REV'!$C:$AL,20,0)-'TRADE IN'!$F475=0,"",(VLOOKUP($C475,'ACESSÓRIOS REV'!$C:$AL,20,0)-'TRADE IN'!$F475))</f>
        <v>1799</v>
      </c>
      <c r="W475" s="160">
        <f>IF(VLOOKUP($C475,'ACESSÓRIOS REV'!$C:$AL,21,0)-'TRADE IN'!$F475=0,"",(VLOOKUP($C475,'ACESSÓRIOS REV'!$C:$AL,21,0)-'TRADE IN'!$F475))</f>
        <v>1799</v>
      </c>
      <c r="X475" s="160">
        <f>IF(VLOOKUP($C475,'ACESSÓRIOS REV'!$C:$AL,22,0)-'TRADE IN'!$F475=0,"",(VLOOKUP($C475,'ACESSÓRIOS REV'!$C:$AL,22,0)-'TRADE IN'!$F475))</f>
        <v>1699</v>
      </c>
      <c r="Y475" s="160">
        <f>IF(VLOOKUP($C475,'ACESSÓRIOS REV'!$C:$AL,23,0)-'TRADE IN'!$F475=0,"",(VLOOKUP($C475,'ACESSÓRIOS REV'!$C:$AL,23,0)-'TRADE IN'!$F475))</f>
        <v>999</v>
      </c>
      <c r="Z475" s="160">
        <f>IF(VLOOKUP($C475,'ACESSÓRIOS REV'!$C:$AL,24,0)-'TRADE IN'!$F475=0,"",(VLOOKUP($C475,'ACESSÓRIOS REV'!$C:$AL,24,0)-'TRADE IN'!$F475))</f>
        <v>999</v>
      </c>
      <c r="AA475" s="160">
        <f>IF(VLOOKUP($C475,'ACESSÓRIOS REV'!$C:$AL,25,0)-'TRADE IN'!$F475=0,"",(VLOOKUP($C475,'ACESSÓRIOS REV'!$C:$AL,25,0)-'TRADE IN'!$F475))</f>
        <v>949</v>
      </c>
      <c r="AB475" s="160">
        <f>IF(VLOOKUP($C475,'ACESSÓRIOS REV'!$C:$AL,27,0)-'TRADE IN'!$F475=0,"",(VLOOKUP($C475,'ACESSÓRIOS REV'!$C:$AL,27,0)-'TRADE IN'!$F475))</f>
        <v>2149</v>
      </c>
      <c r="AC475" s="160">
        <f>IF(VLOOKUP($C475,'ACESSÓRIOS REV'!$C:$AL,28,0)-'TRADE IN'!$F475=0,"",(VLOOKUP($C475,'ACESSÓRIOS REV'!$C:$AL,28,0)-'TRADE IN'!$F475))</f>
        <v>2149</v>
      </c>
      <c r="AD475" s="160">
        <f>IF(VLOOKUP($C475,'ACESSÓRIOS REV'!$C:$AL,29,0)-'TRADE IN'!$F475=0,"",(VLOOKUP($C475,'ACESSÓRIOS REV'!$C:$AL,29,0)-'TRADE IN'!$F475))</f>
        <v>2099</v>
      </c>
      <c r="AE475" s="160">
        <f>IF(VLOOKUP($C475,'ACESSÓRIOS REV'!$C:$AL,30,0)-'TRADE IN'!$F475=0,"",(VLOOKUP($C475,'ACESSÓRIOS REV'!$C:$AL,30,0)-'TRADE IN'!$F475))</f>
        <v>2099</v>
      </c>
      <c r="AF475" s="160">
        <f>IF(VLOOKUP($C475,'ACESSÓRIOS REV'!$C:$AL,31,0)-'TRADE IN'!$F475=0,"",(VLOOKUP($C475,'ACESSÓRIOS REV'!$C:$AL,31,0)-'TRADE IN'!$F475))</f>
        <v>2099</v>
      </c>
      <c r="AG475" s="160">
        <f>IF(VLOOKUP($C475,'ACESSÓRIOS REV'!$C:$AL,31,0)-'TRADE IN'!$F475=0,"",(VLOOKUP($C475,'ACESSÓRIOS REV'!$C:$AL,31,0)-'TRADE IN'!$F475))</f>
        <v>2099</v>
      </c>
      <c r="AH475" s="160">
        <f>IF(VLOOKUP($C475,'ACESSÓRIOS REV'!$C:$AL,32,0)-'TRADE IN'!$F475=0,"",(VLOOKUP($C475,'ACESSÓRIOS REV'!$C:$AL,32,0)-'TRADE IN'!$F475))</f>
        <v>2099</v>
      </c>
      <c r="AI475" s="160">
        <f>IF(VLOOKUP($C475,'ACESSÓRIOS REV'!$C:$AL,33,0)-'TRADE IN'!$F475=0,"",(VLOOKUP($C475,'ACESSÓRIOS REV'!$C:$AL,33,0)-'TRADE IN'!$F475))</f>
        <v>1699</v>
      </c>
      <c r="AJ475" s="160">
        <f>IF(VLOOKUP($C475,'ACESSÓRIOS REV'!$C:$AL,34,0)-'TRADE IN'!$F475=0,"",(VLOOKUP($C475,'ACESSÓRIOS REV'!$C:$AL,34,0)-'TRADE IN'!$F475))</f>
        <v>1699</v>
      </c>
      <c r="AK475" s="160">
        <f>IF(VLOOKUP($C475,'ACESSÓRIOS REV'!$C:$AL,35,0)-'TRADE IN'!$F475=0,"",(VLOOKUP($C475,'ACESSÓRIOS REV'!$C:$AL,35,0)-'TRADE IN'!$F475))</f>
        <v>1699</v>
      </c>
      <c r="AL475" s="160">
        <f>IF(VLOOKUP($C475,'ACESSÓRIOS REV'!$C:$AL,36,0)-'TRADE IN'!$F475=0,"",(VLOOKUP($C475,'ACESSÓRIOS REV'!$C:$AL,36,0)-'TRADE IN'!$F475))</f>
        <v>949</v>
      </c>
      <c r="AM475" s="162"/>
      <c r="AN475" s="162"/>
      <c r="AO475" s="162"/>
      <c r="AP475" s="162"/>
      <c r="AQ475" s="162"/>
      <c r="AR475" s="162"/>
      <c r="AS475" s="162"/>
      <c r="AT475" s="162"/>
      <c r="AU475" s="162"/>
      <c r="AW475" s="120" t="s">
        <v>680</v>
      </c>
    </row>
    <row r="477" spans="1:50">
      <c r="J477" s="164"/>
      <c r="K477" s="164"/>
      <c r="L477" s="164"/>
      <c r="M477" s="164"/>
      <c r="N477" s="164"/>
      <c r="O477" s="164"/>
      <c r="P477" s="164"/>
      <c r="Q477" s="164"/>
      <c r="R477" s="164"/>
      <c r="S477" s="164"/>
      <c r="T477" s="164"/>
      <c r="U477" s="164"/>
      <c r="V477" s="164"/>
      <c r="W477" s="164"/>
      <c r="X477" s="164"/>
      <c r="Y477" s="164"/>
      <c r="Z477" s="164"/>
      <c r="AA477" s="164"/>
      <c r="AB477" s="164"/>
      <c r="AC477" s="164"/>
      <c r="AD477" s="164"/>
      <c r="AE477" s="164"/>
      <c r="AF477" s="164"/>
      <c r="AG477" s="164"/>
      <c r="AH477" s="164"/>
      <c r="AI477" s="164"/>
      <c r="AJ477" s="164"/>
      <c r="AK477" s="164"/>
      <c r="AL477" s="164"/>
    </row>
    <row r="479" spans="1:50">
      <c r="J479" s="164"/>
      <c r="K479" s="164"/>
      <c r="L479" s="164"/>
      <c r="M479" s="164"/>
      <c r="N479" s="164"/>
      <c r="O479" s="164"/>
      <c r="P479" s="164"/>
      <c r="Q479" s="164"/>
      <c r="R479" s="164"/>
      <c r="S479" s="164"/>
      <c r="T479" s="164"/>
      <c r="U479" s="164"/>
      <c r="V479" s="164"/>
      <c r="W479" s="164"/>
      <c r="X479" s="164"/>
      <c r="Y479" s="164"/>
      <c r="Z479" s="164"/>
      <c r="AA479" s="164"/>
      <c r="AB479" s="164"/>
      <c r="AC479" s="164"/>
      <c r="AD479" s="164"/>
      <c r="AE479" s="164"/>
      <c r="AF479" s="164"/>
      <c r="AG479" s="164"/>
      <c r="AH479" s="164"/>
      <c r="AI479" s="164"/>
      <c r="AJ479" s="164"/>
      <c r="AK479" s="164"/>
      <c r="AL479" s="164"/>
    </row>
  </sheetData>
  <autoFilter ref="A12:BJ475" xr:uid="{4E7F8786-09E9-4C2F-8603-CD840948A05F}"/>
  <mergeCells count="5">
    <mergeCell ref="H11:I11"/>
    <mergeCell ref="J11:AA11"/>
    <mergeCell ref="AB11:AL11"/>
    <mergeCell ref="AM11:AO11"/>
    <mergeCell ref="AP11:AU11"/>
  </mergeCells>
  <conditionalFormatting sqref="G459 G462">
    <cfRule type="cellIs" dxfId="16" priority="15" operator="equal">
      <formula>0</formula>
    </cfRule>
  </conditionalFormatting>
  <conditionalFormatting sqref="G459">
    <cfRule type="cellIs" dxfId="15" priority="16" operator="lessThan">
      <formula>F459</formula>
    </cfRule>
  </conditionalFormatting>
  <conditionalFormatting sqref="G462">
    <cfRule type="cellIs" dxfId="14" priority="17" operator="lessThan">
      <formula>F462</formula>
    </cfRule>
  </conditionalFormatting>
  <conditionalFormatting sqref="H13:I14">
    <cfRule type="cellIs" dxfId="13" priority="13" operator="lessThan">
      <formula>$G13</formula>
    </cfRule>
    <cfRule type="cellIs" dxfId="12" priority="14" operator="greaterThan">
      <formula>$G13</formula>
    </cfRule>
  </conditionalFormatting>
  <conditionalFormatting sqref="H14:I133 H13:AE13 J14:AE455 AF13:AL455">
    <cfRule type="cellIs" dxfId="11" priority="7" operator="greaterThan">
      <formula>$G13</formula>
    </cfRule>
  </conditionalFormatting>
  <conditionalFormatting sqref="H91:I133">
    <cfRule type="cellIs" dxfId="10" priority="5" operator="lessThan">
      <formula>$G91</formula>
    </cfRule>
  </conditionalFormatting>
  <conditionalFormatting sqref="H266:I287 AV313:AV455 F456:F458">
    <cfRule type="expression" dxfId="9" priority="6" stopIfTrue="1">
      <formula>#REF!&lt;&gt;#REF!</formula>
    </cfRule>
  </conditionalFormatting>
  <conditionalFormatting sqref="H313:I380 H390:I455">
    <cfRule type="cellIs" dxfId="8" priority="10" operator="greaterThan">
      <formula>$G313</formula>
    </cfRule>
  </conditionalFormatting>
  <conditionalFormatting sqref="H313:I455 H13:AE13 AF13:AL455 H14:I133 J14:AE455">
    <cfRule type="cellIs" dxfId="7" priority="11" operator="equal">
      <formula>$G13</formula>
    </cfRule>
  </conditionalFormatting>
  <conditionalFormatting sqref="H320:I323">
    <cfRule type="cellIs" dxfId="6" priority="8" operator="equal">
      <formula>$G320</formula>
    </cfRule>
    <cfRule type="cellIs" dxfId="5" priority="9" operator="lessThan">
      <formula>$G320</formula>
    </cfRule>
  </conditionalFormatting>
  <conditionalFormatting sqref="H381:I389">
    <cfRule type="cellIs" dxfId="4" priority="12" operator="greaterThan">
      <formula>$G381</formula>
    </cfRule>
  </conditionalFormatting>
  <conditionalFormatting sqref="H13:AE90 AF13:AL455 J91:AE455 H313:I455">
    <cfRule type="cellIs" dxfId="3" priority="1" operator="lessThan">
      <formula>$G13</formula>
    </cfRule>
  </conditionalFormatting>
  <conditionalFormatting sqref="I13:I14 J13:N455 H184:I192">
    <cfRule type="cellIs" dxfId="2" priority="2" operator="equal">
      <formula>$G13</formula>
    </cfRule>
    <cfRule type="cellIs" dxfId="1" priority="3" operator="lessThan">
      <formula>$G13</formula>
    </cfRule>
    <cfRule type="cellIs" dxfId="0" priority="4" operator="greaterThan">
      <formula>$G13</formula>
    </cfRule>
  </conditionalFormatting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15BB5-D2A9-44F8-ACDD-DFEE840F0405}">
  <dimension ref="A1:AW3362"/>
  <sheetViews>
    <sheetView topLeftCell="A41" zoomScale="78" zoomScaleNormal="78" workbookViewId="0">
      <selection activeCell="D146" sqref="D146"/>
    </sheetView>
  </sheetViews>
  <sheetFormatPr defaultRowHeight="14.5"/>
  <cols>
    <col min="1" max="1" width="14.81640625" bestFit="1" customWidth="1"/>
    <col min="2" max="2" width="10.6328125" style="186" bestFit="1" customWidth="1"/>
    <col min="3" max="3" width="35.81640625" style="186" bestFit="1" customWidth="1"/>
    <col min="4" max="4" width="44" style="186" bestFit="1" customWidth="1"/>
    <col min="5" max="5" width="11.26953125" style="186" bestFit="1" customWidth="1"/>
    <col min="6" max="6" width="10.453125" style="186" bestFit="1" customWidth="1"/>
    <col min="7" max="7" width="1.90625" bestFit="1" customWidth="1"/>
    <col min="8" max="16" width="11.26953125" style="186" bestFit="1" customWidth="1"/>
    <col min="17" max="22" width="12.26953125" style="186" bestFit="1" customWidth="1"/>
    <col min="23" max="23" width="1.90625" bestFit="1" customWidth="1"/>
    <col min="24" max="24" width="10.6328125" style="186" bestFit="1" customWidth="1"/>
    <col min="25" max="25" width="33" style="186" bestFit="1" customWidth="1"/>
    <col min="26" max="26" width="43.36328125" style="186" bestFit="1" customWidth="1"/>
    <col min="27" max="27" width="25.90625" style="162" bestFit="1" customWidth="1"/>
  </cols>
  <sheetData>
    <row r="1" spans="1:49" ht="15.65" customHeight="1">
      <c r="A1" s="214" t="s">
        <v>872</v>
      </c>
      <c r="B1" s="214"/>
      <c r="C1" s="214"/>
      <c r="D1" s="214"/>
      <c r="E1" s="214"/>
      <c r="F1" s="214"/>
      <c r="H1" s="214" t="s">
        <v>873</v>
      </c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X1" s="215" t="s">
        <v>874</v>
      </c>
      <c r="Y1" s="216"/>
      <c r="Z1" s="216"/>
      <c r="AA1" s="217"/>
    </row>
    <row r="2" spans="1:49" ht="14.9" customHeight="1">
      <c r="A2" s="165" t="s">
        <v>875</v>
      </c>
      <c r="B2" s="165" t="s">
        <v>876</v>
      </c>
      <c r="C2" s="165" t="s">
        <v>14</v>
      </c>
      <c r="D2" s="165" t="s">
        <v>15</v>
      </c>
      <c r="E2" s="165" t="s">
        <v>877</v>
      </c>
      <c r="F2" s="165" t="s">
        <v>878</v>
      </c>
      <c r="H2" s="166" t="s">
        <v>879</v>
      </c>
      <c r="I2" s="166" t="s">
        <v>880</v>
      </c>
      <c r="J2" s="166" t="s">
        <v>881</v>
      </c>
      <c r="K2" s="166" t="s">
        <v>882</v>
      </c>
      <c r="L2" s="166" t="s">
        <v>883</v>
      </c>
      <c r="M2" s="166" t="s">
        <v>884</v>
      </c>
      <c r="N2" s="166" t="s">
        <v>885</v>
      </c>
      <c r="O2" s="166" t="s">
        <v>886</v>
      </c>
      <c r="P2" s="166" t="s">
        <v>887</v>
      </c>
      <c r="Q2" s="166" t="s">
        <v>888</v>
      </c>
      <c r="R2" s="166" t="s">
        <v>889</v>
      </c>
      <c r="S2" s="166" t="s">
        <v>890</v>
      </c>
      <c r="T2" s="166" t="s">
        <v>891</v>
      </c>
      <c r="U2" s="166" t="s">
        <v>892</v>
      </c>
      <c r="V2" s="166" t="s">
        <v>893</v>
      </c>
      <c r="X2" s="167" t="s">
        <v>876</v>
      </c>
      <c r="Y2" s="167" t="s">
        <v>14</v>
      </c>
      <c r="Z2" s="167" t="s">
        <v>15</v>
      </c>
      <c r="AA2" s="167" t="s">
        <v>894</v>
      </c>
    </row>
    <row r="3" spans="1:49" s="11" customFormat="1">
      <c r="A3" s="168" t="s">
        <v>895</v>
      </c>
      <c r="B3" s="169">
        <v>4017678</v>
      </c>
      <c r="C3" s="170" t="s">
        <v>606</v>
      </c>
      <c r="D3" s="170" t="s">
        <v>607</v>
      </c>
      <c r="E3" s="171">
        <v>46246</v>
      </c>
      <c r="F3" s="171">
        <v>46265</v>
      </c>
      <c r="H3" s="169">
        <v>4017227</v>
      </c>
      <c r="I3" s="169">
        <v>4017223</v>
      </c>
      <c r="J3" s="169">
        <v>4017785</v>
      </c>
      <c r="K3" s="169">
        <v>4017780</v>
      </c>
      <c r="L3" s="172"/>
      <c r="M3" s="172"/>
      <c r="N3" s="173"/>
      <c r="O3" s="172"/>
      <c r="P3" s="172"/>
      <c r="Q3" s="172"/>
      <c r="R3" s="172"/>
      <c r="S3" s="172"/>
      <c r="T3" s="172"/>
      <c r="U3" s="172"/>
      <c r="V3" s="172"/>
      <c r="X3" s="169">
        <v>4017339</v>
      </c>
      <c r="Y3" s="170" t="s">
        <v>896</v>
      </c>
      <c r="Z3" s="170" t="s">
        <v>897</v>
      </c>
      <c r="AA3" s="174">
        <v>99</v>
      </c>
    </row>
    <row r="4" spans="1:49" s="11" customFormat="1">
      <c r="A4" s="168" t="s">
        <v>895</v>
      </c>
      <c r="B4" s="169">
        <v>4017679</v>
      </c>
      <c r="C4" s="170" t="s">
        <v>606</v>
      </c>
      <c r="D4" s="170" t="s">
        <v>608</v>
      </c>
      <c r="E4" s="171">
        <v>46246</v>
      </c>
      <c r="F4" s="171">
        <v>46265</v>
      </c>
      <c r="H4" s="169">
        <v>4017227</v>
      </c>
      <c r="I4" s="169">
        <v>4017223</v>
      </c>
      <c r="J4" s="169">
        <v>4017785</v>
      </c>
      <c r="K4" s="169">
        <v>4017780</v>
      </c>
      <c r="L4" s="172"/>
      <c r="M4" s="172"/>
      <c r="N4" s="173"/>
      <c r="O4" s="172"/>
      <c r="P4" s="172"/>
      <c r="Q4" s="172"/>
      <c r="R4" s="172"/>
      <c r="S4" s="172"/>
      <c r="T4" s="172"/>
      <c r="U4" s="172"/>
      <c r="V4" s="172"/>
      <c r="X4" s="169">
        <v>4017398</v>
      </c>
      <c r="Y4" s="170" t="s">
        <v>896</v>
      </c>
      <c r="Z4" s="170" t="s">
        <v>898</v>
      </c>
      <c r="AA4" s="174">
        <v>99</v>
      </c>
    </row>
    <row r="5" spans="1:49" s="11" customFormat="1">
      <c r="A5" s="168" t="s">
        <v>895</v>
      </c>
      <c r="B5" s="169">
        <v>4017750</v>
      </c>
      <c r="C5" s="170" t="s">
        <v>606</v>
      </c>
      <c r="D5" s="170" t="s">
        <v>609</v>
      </c>
      <c r="E5" s="171">
        <v>46246</v>
      </c>
      <c r="F5" s="171">
        <v>46265</v>
      </c>
      <c r="H5" s="169">
        <v>4017227</v>
      </c>
      <c r="I5" s="169">
        <v>4017223</v>
      </c>
      <c r="J5" s="169">
        <v>4017785</v>
      </c>
      <c r="K5" s="169">
        <v>4017780</v>
      </c>
      <c r="L5" s="172"/>
      <c r="M5" s="172"/>
      <c r="N5" s="173"/>
      <c r="O5" s="172"/>
      <c r="P5" s="172"/>
      <c r="Q5" s="172"/>
      <c r="R5" s="172"/>
      <c r="S5" s="172"/>
      <c r="T5" s="172"/>
      <c r="U5" s="172"/>
      <c r="V5" s="172"/>
      <c r="X5" s="169">
        <v>4015924</v>
      </c>
      <c r="Y5" s="170" t="s">
        <v>841</v>
      </c>
      <c r="Z5" s="170" t="s">
        <v>842</v>
      </c>
      <c r="AA5" s="174">
        <v>99</v>
      </c>
    </row>
    <row r="6" spans="1:49" s="11" customFormat="1">
      <c r="A6" s="168" t="s">
        <v>895</v>
      </c>
      <c r="B6" s="169">
        <v>4017751</v>
      </c>
      <c r="C6" s="170" t="s">
        <v>606</v>
      </c>
      <c r="D6" s="170" t="s">
        <v>610</v>
      </c>
      <c r="E6" s="171">
        <v>46246</v>
      </c>
      <c r="F6" s="171">
        <v>46265</v>
      </c>
      <c r="H6" s="169">
        <v>4017227</v>
      </c>
      <c r="I6" s="169">
        <v>4017223</v>
      </c>
      <c r="J6" s="169">
        <v>4017785</v>
      </c>
      <c r="K6" s="169">
        <v>4017780</v>
      </c>
      <c r="L6" s="172"/>
      <c r="M6" s="172"/>
      <c r="N6" s="173"/>
      <c r="O6" s="172"/>
      <c r="P6" s="172"/>
      <c r="Q6" s="172"/>
      <c r="R6" s="172"/>
      <c r="S6" s="172"/>
      <c r="T6" s="172"/>
      <c r="U6" s="172"/>
      <c r="V6" s="172"/>
      <c r="X6" s="169">
        <v>4015922</v>
      </c>
      <c r="Y6" s="170" t="s">
        <v>841</v>
      </c>
      <c r="Z6" s="170" t="s">
        <v>843</v>
      </c>
      <c r="AA6" s="174">
        <v>99</v>
      </c>
    </row>
    <row r="7" spans="1:49" s="11" customFormat="1">
      <c r="A7" s="168" t="s">
        <v>895</v>
      </c>
      <c r="B7" s="169">
        <v>4017756</v>
      </c>
      <c r="C7" s="170" t="s">
        <v>606</v>
      </c>
      <c r="D7" s="170" t="s">
        <v>611</v>
      </c>
      <c r="E7" s="171">
        <v>46246</v>
      </c>
      <c r="F7" s="171">
        <v>46265</v>
      </c>
      <c r="H7" s="169">
        <v>4017227</v>
      </c>
      <c r="I7" s="169">
        <v>4017223</v>
      </c>
      <c r="J7" s="169">
        <v>4017785</v>
      </c>
      <c r="K7" s="169">
        <v>4017780</v>
      </c>
      <c r="L7" s="172"/>
      <c r="M7" s="172"/>
      <c r="N7" s="173"/>
      <c r="O7" s="172"/>
      <c r="P7" s="172"/>
      <c r="Q7" s="172"/>
      <c r="R7" s="172"/>
      <c r="S7" s="172"/>
      <c r="T7" s="172"/>
      <c r="U7" s="172"/>
      <c r="V7" s="172"/>
      <c r="X7" s="169">
        <v>4017424</v>
      </c>
      <c r="Y7" s="170" t="s">
        <v>844</v>
      </c>
      <c r="Z7" s="170" t="s">
        <v>899</v>
      </c>
      <c r="AA7" s="174">
        <v>99</v>
      </c>
    </row>
    <row r="8" spans="1:49" s="11" customFormat="1">
      <c r="A8" s="168" t="s">
        <v>895</v>
      </c>
      <c r="B8" s="169">
        <v>4017757</v>
      </c>
      <c r="C8" s="170" t="s">
        <v>606</v>
      </c>
      <c r="D8" s="170" t="s">
        <v>612</v>
      </c>
      <c r="E8" s="171">
        <v>46246</v>
      </c>
      <c r="F8" s="171">
        <v>46265</v>
      </c>
      <c r="H8" s="169">
        <v>4017227</v>
      </c>
      <c r="I8" s="169">
        <v>4017223</v>
      </c>
      <c r="J8" s="169">
        <v>4017785</v>
      </c>
      <c r="K8" s="169">
        <v>4017780</v>
      </c>
      <c r="L8" s="172"/>
      <c r="M8" s="172"/>
      <c r="N8" s="173"/>
      <c r="O8" s="172"/>
      <c r="P8" s="172"/>
      <c r="Q8" s="172"/>
      <c r="R8" s="172"/>
      <c r="S8" s="172"/>
      <c r="T8" s="172"/>
      <c r="U8" s="172"/>
      <c r="V8" s="172"/>
      <c r="X8" s="169">
        <v>4017419</v>
      </c>
      <c r="Y8" s="170" t="s">
        <v>844</v>
      </c>
      <c r="Z8" s="170" t="s">
        <v>845</v>
      </c>
      <c r="AA8" s="174">
        <v>99</v>
      </c>
    </row>
    <row r="9" spans="1:49" s="11" customFormat="1">
      <c r="A9" s="168" t="s">
        <v>895</v>
      </c>
      <c r="B9" s="169">
        <v>4017746</v>
      </c>
      <c r="C9" s="170" t="s">
        <v>613</v>
      </c>
      <c r="D9" s="170" t="s">
        <v>614</v>
      </c>
      <c r="E9" s="171">
        <v>46246</v>
      </c>
      <c r="F9" s="171">
        <v>46265</v>
      </c>
      <c r="H9" s="169">
        <v>4017227</v>
      </c>
      <c r="I9" s="169">
        <v>4017223</v>
      </c>
      <c r="J9" s="169">
        <v>4017785</v>
      </c>
      <c r="K9" s="169">
        <v>4017780</v>
      </c>
      <c r="L9" s="172"/>
      <c r="M9" s="172"/>
      <c r="N9" s="173"/>
      <c r="O9" s="172"/>
      <c r="P9" s="172"/>
      <c r="Q9" s="172"/>
      <c r="R9" s="172"/>
      <c r="S9" s="172"/>
      <c r="T9" s="172"/>
      <c r="U9" s="172"/>
      <c r="V9" s="172"/>
      <c r="X9" s="169">
        <v>4017414</v>
      </c>
      <c r="Y9" s="170" t="s">
        <v>844</v>
      </c>
      <c r="Z9" s="170" t="s">
        <v>846</v>
      </c>
      <c r="AA9" s="174">
        <v>99</v>
      </c>
    </row>
    <row r="10" spans="1:49" s="11" customFormat="1">
      <c r="A10" s="168" t="s">
        <v>895</v>
      </c>
      <c r="B10" s="169">
        <v>4017748</v>
      </c>
      <c r="C10" s="170" t="s">
        <v>613</v>
      </c>
      <c r="D10" s="170" t="s">
        <v>615</v>
      </c>
      <c r="E10" s="171">
        <v>46246</v>
      </c>
      <c r="F10" s="171">
        <v>46265</v>
      </c>
      <c r="H10" s="169">
        <v>4017227</v>
      </c>
      <c r="I10" s="169">
        <v>4017223</v>
      </c>
      <c r="J10" s="169">
        <v>4017785</v>
      </c>
      <c r="K10" s="169">
        <v>4017780</v>
      </c>
      <c r="L10" s="172"/>
      <c r="M10" s="172"/>
      <c r="N10" s="173"/>
      <c r="O10" s="172"/>
      <c r="P10" s="172"/>
      <c r="Q10" s="172"/>
      <c r="R10" s="172"/>
      <c r="S10" s="172"/>
      <c r="T10" s="172"/>
      <c r="U10" s="172"/>
      <c r="V10" s="172"/>
      <c r="X10" s="175">
        <v>4017227</v>
      </c>
      <c r="Y10" s="176" t="s">
        <v>857</v>
      </c>
      <c r="Z10" s="176" t="s">
        <v>858</v>
      </c>
      <c r="AA10" s="177">
        <v>799</v>
      </c>
    </row>
    <row r="11" spans="1:49" s="11" customFormat="1">
      <c r="A11" s="168" t="s">
        <v>895</v>
      </c>
      <c r="B11" s="169">
        <v>4017752</v>
      </c>
      <c r="C11" s="170" t="s">
        <v>613</v>
      </c>
      <c r="D11" s="170" t="s">
        <v>616</v>
      </c>
      <c r="E11" s="171">
        <v>46246</v>
      </c>
      <c r="F11" s="171">
        <v>46265</v>
      </c>
      <c r="H11" s="169">
        <v>4017227</v>
      </c>
      <c r="I11" s="169">
        <v>4017223</v>
      </c>
      <c r="J11" s="169">
        <v>4017785</v>
      </c>
      <c r="K11" s="169">
        <v>4017780</v>
      </c>
      <c r="L11" s="172"/>
      <c r="M11" s="172"/>
      <c r="N11" s="173"/>
      <c r="O11" s="172"/>
      <c r="P11" s="172"/>
      <c r="Q11" s="172"/>
      <c r="R11" s="172"/>
      <c r="S11" s="172"/>
      <c r="T11" s="172"/>
      <c r="U11" s="172"/>
      <c r="V11" s="172"/>
      <c r="X11" s="175">
        <v>4017223</v>
      </c>
      <c r="Y11" s="176" t="s">
        <v>859</v>
      </c>
      <c r="Z11" s="176" t="s">
        <v>860</v>
      </c>
      <c r="AA11" s="177">
        <v>799</v>
      </c>
    </row>
    <row r="12" spans="1:49" s="11" customFormat="1">
      <c r="A12" s="168" t="s">
        <v>895</v>
      </c>
      <c r="B12" s="169">
        <v>4017754</v>
      </c>
      <c r="C12" s="170" t="s">
        <v>613</v>
      </c>
      <c r="D12" s="170" t="s">
        <v>617</v>
      </c>
      <c r="E12" s="171">
        <v>46246</v>
      </c>
      <c r="F12" s="171">
        <v>46265</v>
      </c>
      <c r="H12" s="169">
        <v>4017227</v>
      </c>
      <c r="I12" s="169">
        <v>4017223</v>
      </c>
      <c r="J12" s="169">
        <v>4017785</v>
      </c>
      <c r="K12" s="169">
        <v>4017780</v>
      </c>
      <c r="L12" s="172"/>
      <c r="M12" s="172"/>
      <c r="N12" s="173"/>
      <c r="O12" s="172"/>
      <c r="P12" s="172"/>
      <c r="Q12" s="172"/>
      <c r="R12" s="172"/>
      <c r="S12" s="172"/>
      <c r="T12" s="172"/>
      <c r="U12" s="172"/>
      <c r="V12" s="172"/>
      <c r="X12" s="175">
        <v>4017785</v>
      </c>
      <c r="Y12" s="176" t="s">
        <v>771</v>
      </c>
      <c r="Z12" s="176" t="s">
        <v>772</v>
      </c>
      <c r="AA12" s="178">
        <v>599</v>
      </c>
    </row>
    <row r="13" spans="1:49" s="11" customFormat="1">
      <c r="A13" s="168" t="s">
        <v>895</v>
      </c>
      <c r="B13" s="169">
        <v>4017675</v>
      </c>
      <c r="C13" s="170" t="s">
        <v>613</v>
      </c>
      <c r="D13" s="170" t="s">
        <v>618</v>
      </c>
      <c r="E13" s="171">
        <v>46246</v>
      </c>
      <c r="F13" s="171">
        <v>46265</v>
      </c>
      <c r="H13" s="169">
        <v>4017227</v>
      </c>
      <c r="I13" s="169">
        <v>4017223</v>
      </c>
      <c r="J13" s="169">
        <v>4017785</v>
      </c>
      <c r="K13" s="169">
        <v>4017780</v>
      </c>
      <c r="L13" s="172"/>
      <c r="M13" s="172"/>
      <c r="N13" s="173"/>
      <c r="O13" s="172"/>
      <c r="P13" s="172"/>
      <c r="Q13" s="172"/>
      <c r="R13" s="172"/>
      <c r="S13" s="172"/>
      <c r="T13" s="172"/>
      <c r="U13" s="172"/>
      <c r="V13" s="172"/>
      <c r="X13" s="175">
        <v>4017780</v>
      </c>
      <c r="Y13" s="176" t="s">
        <v>773</v>
      </c>
      <c r="Z13" s="176" t="s">
        <v>774</v>
      </c>
      <c r="AA13" s="178">
        <v>899</v>
      </c>
      <c r="AW13" s="11" t="s">
        <v>694</v>
      </c>
    </row>
    <row r="14" spans="1:49" s="11" customFormat="1">
      <c r="A14" s="168" t="s">
        <v>895</v>
      </c>
      <c r="B14" s="169">
        <v>4017676</v>
      </c>
      <c r="C14" s="170" t="s">
        <v>613</v>
      </c>
      <c r="D14" s="170" t="s">
        <v>619</v>
      </c>
      <c r="E14" s="171">
        <v>46246</v>
      </c>
      <c r="F14" s="171">
        <v>46265</v>
      </c>
      <c r="H14" s="169">
        <v>4017227</v>
      </c>
      <c r="I14" s="169">
        <v>4017223</v>
      </c>
      <c r="J14" s="169">
        <v>4017785</v>
      </c>
      <c r="K14" s="169">
        <v>4017780</v>
      </c>
      <c r="L14" s="172"/>
      <c r="M14" s="172"/>
      <c r="N14" s="173"/>
      <c r="O14" s="172"/>
      <c r="P14" s="172"/>
      <c r="Q14" s="172"/>
      <c r="R14" s="172"/>
      <c r="S14" s="172"/>
      <c r="T14" s="172"/>
      <c r="U14" s="172"/>
      <c r="V14" s="172"/>
      <c r="X14" s="179">
        <v>4017405</v>
      </c>
      <c r="Y14" s="180" t="s">
        <v>270</v>
      </c>
      <c r="Z14" s="180" t="s">
        <v>271</v>
      </c>
      <c r="AA14" s="181">
        <v>500</v>
      </c>
      <c r="AW14" s="11" t="s">
        <v>694</v>
      </c>
    </row>
    <row r="15" spans="1:49" s="11" customFormat="1">
      <c r="A15" s="168" t="s">
        <v>895</v>
      </c>
      <c r="B15" s="169">
        <v>4017762</v>
      </c>
      <c r="C15" s="170" t="s">
        <v>620</v>
      </c>
      <c r="D15" s="170" t="s">
        <v>621</v>
      </c>
      <c r="E15" s="171">
        <v>46246</v>
      </c>
      <c r="F15" s="171">
        <v>46265</v>
      </c>
      <c r="H15" s="169">
        <v>4017227</v>
      </c>
      <c r="I15" s="169">
        <v>4017223</v>
      </c>
      <c r="J15" s="169">
        <v>4017785</v>
      </c>
      <c r="K15" s="169">
        <v>4017780</v>
      </c>
      <c r="L15" s="172"/>
      <c r="M15" s="172"/>
      <c r="N15" s="173"/>
      <c r="O15" s="172"/>
      <c r="P15" s="172"/>
      <c r="Q15" s="172"/>
      <c r="R15" s="172"/>
      <c r="S15" s="172"/>
      <c r="T15" s="172"/>
      <c r="U15" s="172"/>
      <c r="V15" s="172"/>
      <c r="X15" s="179">
        <v>4017967</v>
      </c>
      <c r="Y15" s="180" t="s">
        <v>281</v>
      </c>
      <c r="Z15" s="180" t="s">
        <v>282</v>
      </c>
      <c r="AA15" s="181">
        <v>1000</v>
      </c>
      <c r="AW15" s="11" t="s">
        <v>694</v>
      </c>
    </row>
    <row r="16" spans="1:49" s="11" customFormat="1">
      <c r="A16" s="168" t="s">
        <v>895</v>
      </c>
      <c r="B16" s="169">
        <v>4017763</v>
      </c>
      <c r="C16" s="170" t="s">
        <v>620</v>
      </c>
      <c r="D16" s="170" t="s">
        <v>622</v>
      </c>
      <c r="E16" s="171">
        <v>46246</v>
      </c>
      <c r="F16" s="171">
        <v>46265</v>
      </c>
      <c r="H16" s="169">
        <v>4017227</v>
      </c>
      <c r="I16" s="169">
        <v>4017223</v>
      </c>
      <c r="J16" s="169">
        <v>4017785</v>
      </c>
      <c r="K16" s="169">
        <v>4017780</v>
      </c>
      <c r="L16" s="172"/>
      <c r="M16" s="172"/>
      <c r="N16" s="173"/>
      <c r="O16" s="182"/>
      <c r="P16" s="182"/>
      <c r="Q16" s="182"/>
      <c r="R16" s="182"/>
      <c r="S16" s="169"/>
      <c r="T16" s="169"/>
      <c r="U16" s="172"/>
      <c r="V16" s="172"/>
      <c r="X16" s="179">
        <v>4017963</v>
      </c>
      <c r="Y16" s="180" t="s">
        <v>281</v>
      </c>
      <c r="Z16" s="180" t="s">
        <v>283</v>
      </c>
      <c r="AA16" s="181">
        <v>1000</v>
      </c>
      <c r="AW16" s="11" t="s">
        <v>694</v>
      </c>
    </row>
    <row r="17" spans="1:49" s="11" customFormat="1">
      <c r="A17" s="168" t="s">
        <v>895</v>
      </c>
      <c r="B17" s="169">
        <v>4017766</v>
      </c>
      <c r="C17" s="170" t="s">
        <v>620</v>
      </c>
      <c r="D17" s="170" t="s">
        <v>623</v>
      </c>
      <c r="E17" s="171">
        <v>46246</v>
      </c>
      <c r="F17" s="171">
        <v>46265</v>
      </c>
      <c r="H17" s="169">
        <v>4017227</v>
      </c>
      <c r="I17" s="169">
        <v>4017223</v>
      </c>
      <c r="J17" s="169">
        <v>4017785</v>
      </c>
      <c r="K17" s="169">
        <v>4017780</v>
      </c>
      <c r="L17" s="172"/>
      <c r="M17" s="172"/>
      <c r="N17" s="173"/>
      <c r="O17" s="182"/>
      <c r="P17" s="182"/>
      <c r="Q17" s="182"/>
      <c r="R17" s="182"/>
      <c r="S17" s="169"/>
      <c r="T17" s="169"/>
      <c r="U17" s="172"/>
      <c r="V17" s="172"/>
      <c r="X17" s="169"/>
      <c r="Y17" s="170"/>
      <c r="Z17" s="170"/>
      <c r="AA17" s="183"/>
      <c r="AW17" s="11" t="s">
        <v>694</v>
      </c>
    </row>
    <row r="18" spans="1:49" s="11" customFormat="1">
      <c r="A18" s="168" t="s">
        <v>895</v>
      </c>
      <c r="B18" s="169">
        <v>4017769</v>
      </c>
      <c r="C18" s="170" t="s">
        <v>620</v>
      </c>
      <c r="D18" s="170" t="s">
        <v>624</v>
      </c>
      <c r="E18" s="171">
        <v>46246</v>
      </c>
      <c r="F18" s="171">
        <v>46265</v>
      </c>
      <c r="H18" s="169">
        <v>4017227</v>
      </c>
      <c r="I18" s="169">
        <v>4017223</v>
      </c>
      <c r="J18" s="169">
        <v>4017785</v>
      </c>
      <c r="K18" s="169">
        <v>4017780</v>
      </c>
      <c r="L18" s="172"/>
      <c r="M18" s="172"/>
      <c r="N18" s="173"/>
      <c r="O18" s="182"/>
      <c r="P18" s="182"/>
      <c r="Q18" s="182"/>
      <c r="R18" s="182"/>
      <c r="S18" s="169"/>
      <c r="T18" s="169"/>
      <c r="U18" s="172"/>
      <c r="V18" s="172"/>
      <c r="X18" s="169"/>
      <c r="Y18" s="170"/>
      <c r="Z18" s="170"/>
      <c r="AA18" s="183"/>
      <c r="AW18" s="11" t="s">
        <v>694</v>
      </c>
    </row>
    <row r="19" spans="1:49" s="11" customFormat="1">
      <c r="A19" s="168" t="s">
        <v>895</v>
      </c>
      <c r="B19" s="169">
        <v>4017764</v>
      </c>
      <c r="C19" s="170" t="s">
        <v>625</v>
      </c>
      <c r="D19" s="170" t="s">
        <v>626</v>
      </c>
      <c r="E19" s="171">
        <v>46246</v>
      </c>
      <c r="F19" s="171">
        <v>46265</v>
      </c>
      <c r="H19" s="169">
        <v>4017227</v>
      </c>
      <c r="I19" s="169">
        <v>4017223</v>
      </c>
      <c r="J19" s="169">
        <v>4017785</v>
      </c>
      <c r="K19" s="169">
        <v>4017780</v>
      </c>
      <c r="L19" s="172"/>
      <c r="M19" s="172"/>
      <c r="N19" s="173"/>
      <c r="O19" s="182"/>
      <c r="P19" s="182"/>
      <c r="Q19" s="182"/>
      <c r="R19" s="182"/>
      <c r="S19" s="169"/>
      <c r="T19" s="169"/>
      <c r="U19" s="172"/>
      <c r="V19" s="172"/>
      <c r="X19" s="169"/>
      <c r="Y19" s="170"/>
      <c r="Z19" s="170"/>
      <c r="AA19" s="183"/>
      <c r="AW19" s="11" t="s">
        <v>694</v>
      </c>
    </row>
    <row r="20" spans="1:49" s="11" customFormat="1">
      <c r="A20" s="168" t="s">
        <v>895</v>
      </c>
      <c r="B20" s="169">
        <v>4017765</v>
      </c>
      <c r="C20" s="170" t="s">
        <v>625</v>
      </c>
      <c r="D20" s="170" t="s">
        <v>627</v>
      </c>
      <c r="E20" s="171">
        <v>46246</v>
      </c>
      <c r="F20" s="171">
        <v>46265</v>
      </c>
      <c r="H20" s="169">
        <v>4017227</v>
      </c>
      <c r="I20" s="169">
        <v>4017223</v>
      </c>
      <c r="J20" s="169">
        <v>4017785</v>
      </c>
      <c r="K20" s="169">
        <v>4017780</v>
      </c>
      <c r="L20" s="172"/>
      <c r="M20" s="172"/>
      <c r="N20" s="173"/>
      <c r="O20" s="182"/>
      <c r="P20" s="182"/>
      <c r="Q20" s="182"/>
      <c r="R20" s="182"/>
      <c r="S20" s="169"/>
      <c r="T20" s="169"/>
      <c r="U20" s="172"/>
      <c r="V20" s="172"/>
      <c r="X20" s="169"/>
      <c r="Y20" s="170"/>
      <c r="Z20" s="170"/>
      <c r="AA20" s="183"/>
      <c r="AW20" s="11" t="s">
        <v>694</v>
      </c>
    </row>
    <row r="21" spans="1:49" s="11" customFormat="1">
      <c r="A21" s="168" t="s">
        <v>895</v>
      </c>
      <c r="B21" s="169">
        <v>4017767</v>
      </c>
      <c r="C21" s="170" t="s">
        <v>625</v>
      </c>
      <c r="D21" s="170" t="s">
        <v>628</v>
      </c>
      <c r="E21" s="171">
        <v>46246</v>
      </c>
      <c r="F21" s="171">
        <v>46265</v>
      </c>
      <c r="H21" s="169">
        <v>4017227</v>
      </c>
      <c r="I21" s="169">
        <v>4017223</v>
      </c>
      <c r="J21" s="169">
        <v>4017785</v>
      </c>
      <c r="K21" s="169">
        <v>4017780</v>
      </c>
      <c r="L21" s="172"/>
      <c r="M21" s="172"/>
      <c r="N21" s="173"/>
      <c r="O21" s="182"/>
      <c r="P21" s="182"/>
      <c r="Q21" s="182"/>
      <c r="R21" s="182"/>
      <c r="S21" s="169"/>
      <c r="T21" s="169"/>
      <c r="U21" s="172"/>
      <c r="V21" s="172"/>
      <c r="X21" s="169"/>
      <c r="Y21" s="170"/>
      <c r="Z21" s="170"/>
      <c r="AA21" s="183"/>
      <c r="AW21" s="11" t="s">
        <v>694</v>
      </c>
    </row>
    <row r="22" spans="1:49" s="11" customFormat="1">
      <c r="A22" s="168" t="s">
        <v>895</v>
      </c>
      <c r="B22" s="169">
        <v>4017768</v>
      </c>
      <c r="C22" s="170" t="s">
        <v>625</v>
      </c>
      <c r="D22" s="170" t="s">
        <v>629</v>
      </c>
      <c r="E22" s="171">
        <v>46246</v>
      </c>
      <c r="F22" s="171">
        <v>46265</v>
      </c>
      <c r="H22" s="169">
        <v>4017227</v>
      </c>
      <c r="I22" s="169">
        <v>4017223</v>
      </c>
      <c r="J22" s="169">
        <v>4017785</v>
      </c>
      <c r="K22" s="169">
        <v>4017780</v>
      </c>
      <c r="L22" s="172"/>
      <c r="M22" s="172"/>
      <c r="N22" s="173"/>
      <c r="O22" s="172"/>
      <c r="P22" s="172"/>
      <c r="Q22" s="172"/>
      <c r="R22" s="172"/>
      <c r="S22" s="172"/>
      <c r="T22" s="172"/>
      <c r="U22" s="172"/>
      <c r="V22" s="172"/>
      <c r="X22" s="169"/>
      <c r="Y22" s="170"/>
      <c r="Z22" s="170"/>
      <c r="AA22" s="183"/>
      <c r="AW22" s="11" t="s">
        <v>694</v>
      </c>
    </row>
    <row r="23" spans="1:49" s="11" customFormat="1">
      <c r="A23" s="168" t="s">
        <v>895</v>
      </c>
      <c r="B23" s="169">
        <v>4017614</v>
      </c>
      <c r="C23" s="170" t="s">
        <v>630</v>
      </c>
      <c r="D23" s="170" t="s">
        <v>631</v>
      </c>
      <c r="E23" s="171">
        <v>46246</v>
      </c>
      <c r="F23" s="171">
        <v>46265</v>
      </c>
      <c r="H23" s="169">
        <v>4017227</v>
      </c>
      <c r="I23" s="169">
        <v>4017223</v>
      </c>
      <c r="J23" s="169">
        <v>4017785</v>
      </c>
      <c r="K23" s="169">
        <v>4017780</v>
      </c>
      <c r="L23" s="172"/>
      <c r="M23" s="172"/>
      <c r="N23" s="173"/>
      <c r="O23" s="172"/>
      <c r="P23" s="172"/>
      <c r="Q23" s="172"/>
      <c r="R23" s="172"/>
      <c r="S23" s="172"/>
      <c r="T23" s="172"/>
      <c r="U23" s="172"/>
      <c r="V23" s="172"/>
      <c r="X23" s="169"/>
      <c r="Y23" s="170"/>
      <c r="Z23" s="170"/>
      <c r="AA23" s="183"/>
      <c r="AW23" s="11" t="s">
        <v>694</v>
      </c>
    </row>
    <row r="24" spans="1:49" s="11" customFormat="1">
      <c r="A24" s="168" t="s">
        <v>895</v>
      </c>
      <c r="B24" s="169">
        <v>4017616</v>
      </c>
      <c r="C24" s="170" t="s">
        <v>630</v>
      </c>
      <c r="D24" s="170" t="s">
        <v>632</v>
      </c>
      <c r="E24" s="171">
        <v>46246</v>
      </c>
      <c r="F24" s="171">
        <v>46265</v>
      </c>
      <c r="H24" s="169">
        <v>4017227</v>
      </c>
      <c r="I24" s="169">
        <v>4017223</v>
      </c>
      <c r="J24" s="169">
        <v>4017785</v>
      </c>
      <c r="K24" s="169">
        <v>4017780</v>
      </c>
      <c r="L24" s="172"/>
      <c r="M24" s="172"/>
      <c r="N24" s="173"/>
      <c r="O24" s="172"/>
      <c r="P24" s="172"/>
      <c r="Q24" s="172"/>
      <c r="R24" s="172"/>
      <c r="S24" s="172"/>
      <c r="T24" s="172"/>
      <c r="U24" s="172"/>
      <c r="V24" s="172"/>
      <c r="X24" s="169"/>
      <c r="Y24" s="170"/>
      <c r="Z24" s="170"/>
      <c r="AA24" s="183"/>
      <c r="AW24" s="11" t="s">
        <v>694</v>
      </c>
    </row>
    <row r="25" spans="1:49" s="11" customFormat="1">
      <c r="A25" s="168" t="s">
        <v>895</v>
      </c>
      <c r="B25" s="169">
        <v>4017725</v>
      </c>
      <c r="C25" s="170" t="s">
        <v>630</v>
      </c>
      <c r="D25" s="170" t="s">
        <v>633</v>
      </c>
      <c r="E25" s="171">
        <v>46246</v>
      </c>
      <c r="F25" s="171">
        <v>46265</v>
      </c>
      <c r="H25" s="169">
        <v>4017227</v>
      </c>
      <c r="I25" s="169">
        <v>4017223</v>
      </c>
      <c r="J25" s="169">
        <v>4017785</v>
      </c>
      <c r="K25" s="169">
        <v>4017780</v>
      </c>
      <c r="L25" s="172"/>
      <c r="M25" s="172"/>
      <c r="N25" s="173"/>
      <c r="O25" s="172"/>
      <c r="P25" s="172"/>
      <c r="Q25" s="172"/>
      <c r="R25" s="172"/>
      <c r="S25" s="172"/>
      <c r="T25" s="172"/>
      <c r="U25" s="172"/>
      <c r="V25" s="172"/>
      <c r="X25" s="169"/>
      <c r="Y25" s="170"/>
      <c r="Z25" s="170"/>
      <c r="AA25" s="183"/>
      <c r="AW25" s="11" t="s">
        <v>694</v>
      </c>
    </row>
    <row r="26" spans="1:49" s="11" customFormat="1">
      <c r="A26" s="168" t="s">
        <v>895</v>
      </c>
      <c r="B26" s="169">
        <v>4017731</v>
      </c>
      <c r="C26" s="170" t="s">
        <v>630</v>
      </c>
      <c r="D26" s="170" t="s">
        <v>634</v>
      </c>
      <c r="E26" s="171">
        <v>46246</v>
      </c>
      <c r="F26" s="171">
        <v>46265</v>
      </c>
      <c r="H26" s="169">
        <v>4017227</v>
      </c>
      <c r="I26" s="169">
        <v>4017223</v>
      </c>
      <c r="J26" s="169">
        <v>4017785</v>
      </c>
      <c r="K26" s="169">
        <v>4017780</v>
      </c>
      <c r="L26" s="172"/>
      <c r="M26" s="172"/>
      <c r="N26" s="173"/>
      <c r="O26" s="172"/>
      <c r="P26" s="172"/>
      <c r="Q26" s="172"/>
      <c r="R26" s="172"/>
      <c r="S26" s="172"/>
      <c r="T26" s="172"/>
      <c r="U26" s="172"/>
      <c r="V26" s="172"/>
      <c r="X26" s="169"/>
      <c r="Y26" s="170"/>
      <c r="Z26" s="170"/>
      <c r="AA26" s="183"/>
      <c r="AW26" s="11" t="s">
        <v>694</v>
      </c>
    </row>
    <row r="27" spans="1:49" s="11" customFormat="1">
      <c r="A27" s="168" t="s">
        <v>895</v>
      </c>
      <c r="B27" s="169">
        <v>4017734</v>
      </c>
      <c r="C27" s="170" t="s">
        <v>630</v>
      </c>
      <c r="D27" s="170" t="s">
        <v>635</v>
      </c>
      <c r="E27" s="171">
        <v>46246</v>
      </c>
      <c r="F27" s="171">
        <v>46265</v>
      </c>
      <c r="H27" s="169">
        <v>4017227</v>
      </c>
      <c r="I27" s="169">
        <v>4017223</v>
      </c>
      <c r="J27" s="169">
        <v>4017785</v>
      </c>
      <c r="K27" s="169">
        <v>4017780</v>
      </c>
      <c r="L27" s="172"/>
      <c r="M27" s="172"/>
      <c r="N27" s="173"/>
      <c r="O27" s="172"/>
      <c r="P27" s="172"/>
      <c r="Q27" s="172"/>
      <c r="R27" s="172"/>
      <c r="S27" s="172"/>
      <c r="T27" s="172"/>
      <c r="U27" s="172"/>
      <c r="V27" s="172"/>
      <c r="X27" s="169"/>
      <c r="Y27" s="170"/>
      <c r="Z27" s="170"/>
      <c r="AA27" s="183"/>
      <c r="AW27" s="11" t="s">
        <v>694</v>
      </c>
    </row>
    <row r="28" spans="1:49" s="11" customFormat="1">
      <c r="A28" s="168" t="s">
        <v>895</v>
      </c>
      <c r="B28" s="169">
        <v>4017728</v>
      </c>
      <c r="C28" s="170" t="s">
        <v>630</v>
      </c>
      <c r="D28" s="170" t="s">
        <v>636</v>
      </c>
      <c r="E28" s="171">
        <v>46246</v>
      </c>
      <c r="F28" s="171">
        <v>46265</v>
      </c>
      <c r="H28" s="169">
        <v>4017227</v>
      </c>
      <c r="I28" s="169">
        <v>4017223</v>
      </c>
      <c r="J28" s="169">
        <v>4017785</v>
      </c>
      <c r="K28" s="169">
        <v>4017780</v>
      </c>
      <c r="L28" s="172"/>
      <c r="M28" s="172"/>
      <c r="N28" s="173"/>
      <c r="O28" s="172"/>
      <c r="P28" s="172"/>
      <c r="Q28" s="172"/>
      <c r="R28" s="172"/>
      <c r="S28" s="172"/>
      <c r="T28" s="172"/>
      <c r="U28" s="172"/>
      <c r="V28" s="172"/>
      <c r="X28" s="169"/>
      <c r="Y28" s="170"/>
      <c r="Z28" s="170"/>
      <c r="AA28" s="183"/>
      <c r="AW28" s="11" t="s">
        <v>694</v>
      </c>
    </row>
    <row r="29" spans="1:49" s="11" customFormat="1">
      <c r="A29" s="168" t="s">
        <v>895</v>
      </c>
      <c r="B29" s="169">
        <v>4017611</v>
      </c>
      <c r="C29" s="170" t="s">
        <v>637</v>
      </c>
      <c r="D29" s="170" t="s">
        <v>638</v>
      </c>
      <c r="E29" s="171">
        <v>46246</v>
      </c>
      <c r="F29" s="171">
        <v>46265</v>
      </c>
      <c r="H29" s="169">
        <v>4017227</v>
      </c>
      <c r="I29" s="169">
        <v>4017223</v>
      </c>
      <c r="J29" s="169">
        <v>4017785</v>
      </c>
      <c r="K29" s="169">
        <v>4017780</v>
      </c>
      <c r="L29" s="172"/>
      <c r="M29" s="172"/>
      <c r="N29" s="173"/>
      <c r="O29" s="172"/>
      <c r="P29" s="172"/>
      <c r="Q29" s="172"/>
      <c r="R29" s="172"/>
      <c r="S29" s="172"/>
      <c r="T29" s="172"/>
      <c r="U29" s="172"/>
      <c r="V29" s="172"/>
      <c r="X29" s="169"/>
      <c r="Y29" s="170"/>
      <c r="Z29" s="170"/>
      <c r="AA29" s="183"/>
      <c r="AW29" s="11" t="s">
        <v>694</v>
      </c>
    </row>
    <row r="30" spans="1:49" s="11" customFormat="1">
      <c r="A30" s="168" t="s">
        <v>895</v>
      </c>
      <c r="B30" s="169">
        <v>4017613</v>
      </c>
      <c r="C30" s="170" t="s">
        <v>637</v>
      </c>
      <c r="D30" s="170" t="s">
        <v>639</v>
      </c>
      <c r="E30" s="171">
        <v>46246</v>
      </c>
      <c r="F30" s="171">
        <v>46265</v>
      </c>
      <c r="H30" s="169">
        <v>4017227</v>
      </c>
      <c r="I30" s="169">
        <v>4017223</v>
      </c>
      <c r="J30" s="169">
        <v>4017785</v>
      </c>
      <c r="K30" s="169">
        <v>4017780</v>
      </c>
      <c r="L30" s="172"/>
      <c r="M30" s="172"/>
      <c r="N30" s="173"/>
      <c r="O30" s="172"/>
      <c r="P30" s="172"/>
      <c r="Q30" s="172"/>
      <c r="R30" s="172"/>
      <c r="S30" s="172"/>
      <c r="T30" s="172"/>
      <c r="U30" s="172"/>
      <c r="V30" s="172"/>
      <c r="X30" s="169"/>
      <c r="Y30" s="170"/>
      <c r="Z30" s="170"/>
      <c r="AA30" s="170"/>
      <c r="AW30" s="11" t="s">
        <v>694</v>
      </c>
    </row>
    <row r="31" spans="1:49" s="11" customFormat="1">
      <c r="A31" s="168" t="s">
        <v>895</v>
      </c>
      <c r="B31" s="169">
        <v>4017723</v>
      </c>
      <c r="C31" s="170" t="s">
        <v>637</v>
      </c>
      <c r="D31" s="170" t="s">
        <v>640</v>
      </c>
      <c r="E31" s="171">
        <v>46246</v>
      </c>
      <c r="F31" s="171">
        <v>46265</v>
      </c>
      <c r="H31" s="169">
        <v>4017227</v>
      </c>
      <c r="I31" s="169">
        <v>4017223</v>
      </c>
      <c r="J31" s="169">
        <v>4017785</v>
      </c>
      <c r="K31" s="169">
        <v>4017780</v>
      </c>
      <c r="L31" s="172"/>
      <c r="M31" s="172"/>
      <c r="N31" s="173"/>
      <c r="O31" s="172"/>
      <c r="P31" s="172"/>
      <c r="Q31" s="172"/>
      <c r="R31" s="172"/>
      <c r="S31" s="172"/>
      <c r="T31" s="172"/>
      <c r="U31" s="172"/>
      <c r="V31" s="172"/>
      <c r="X31" s="169"/>
      <c r="Y31" s="170"/>
      <c r="Z31" s="170"/>
      <c r="AA31" s="170"/>
      <c r="AW31" s="11" t="s">
        <v>694</v>
      </c>
    </row>
    <row r="32" spans="1:49" s="11" customFormat="1">
      <c r="A32" s="168" t="s">
        <v>895</v>
      </c>
      <c r="B32" s="169">
        <v>4017726</v>
      </c>
      <c r="C32" s="170" t="s">
        <v>637</v>
      </c>
      <c r="D32" s="170" t="s">
        <v>641</v>
      </c>
      <c r="E32" s="171">
        <v>46246</v>
      </c>
      <c r="F32" s="171">
        <v>46265</v>
      </c>
      <c r="H32" s="169">
        <v>4017227</v>
      </c>
      <c r="I32" s="169">
        <v>4017223</v>
      </c>
      <c r="J32" s="169">
        <v>4017785</v>
      </c>
      <c r="K32" s="169">
        <v>4017780</v>
      </c>
      <c r="L32" s="172"/>
      <c r="M32" s="172"/>
      <c r="N32" s="173"/>
      <c r="O32" s="172"/>
      <c r="P32" s="172"/>
      <c r="Q32" s="172"/>
      <c r="R32" s="172"/>
      <c r="S32" s="172"/>
      <c r="T32" s="172"/>
      <c r="U32" s="172"/>
      <c r="V32" s="172"/>
      <c r="X32" s="169"/>
      <c r="Y32" s="170"/>
      <c r="Z32" s="170"/>
      <c r="AA32" s="170"/>
      <c r="AW32" s="11" t="s">
        <v>694</v>
      </c>
    </row>
    <row r="33" spans="1:49" s="11" customFormat="1">
      <c r="A33" s="168" t="s">
        <v>895</v>
      </c>
      <c r="B33" s="169">
        <v>4017730</v>
      </c>
      <c r="C33" s="170" t="s">
        <v>637</v>
      </c>
      <c r="D33" s="170" t="s">
        <v>642</v>
      </c>
      <c r="E33" s="171">
        <v>46246</v>
      </c>
      <c r="F33" s="171">
        <v>46265</v>
      </c>
      <c r="H33" s="169">
        <v>4017227</v>
      </c>
      <c r="I33" s="169">
        <v>4017223</v>
      </c>
      <c r="J33" s="169">
        <v>4017785</v>
      </c>
      <c r="K33" s="169">
        <v>4017780</v>
      </c>
      <c r="L33" s="172"/>
      <c r="M33" s="172"/>
      <c r="N33" s="173"/>
      <c r="O33" s="172"/>
      <c r="P33" s="172"/>
      <c r="Q33" s="172"/>
      <c r="R33" s="172"/>
      <c r="S33" s="172"/>
      <c r="T33" s="172"/>
      <c r="U33" s="172"/>
      <c r="V33" s="172"/>
      <c r="X33" s="169"/>
      <c r="Y33" s="170"/>
      <c r="Z33" s="170"/>
      <c r="AA33" s="170"/>
      <c r="AW33" s="11" t="s">
        <v>694</v>
      </c>
    </row>
    <row r="34" spans="1:49" s="11" customFormat="1">
      <c r="A34" s="168" t="s">
        <v>895</v>
      </c>
      <c r="B34" s="169">
        <v>4017732</v>
      </c>
      <c r="C34" s="170" t="s">
        <v>637</v>
      </c>
      <c r="D34" s="170" t="s">
        <v>643</v>
      </c>
      <c r="E34" s="171">
        <v>46246</v>
      </c>
      <c r="F34" s="171">
        <v>46265</v>
      </c>
      <c r="H34" s="169">
        <v>4017227</v>
      </c>
      <c r="I34" s="169">
        <v>4017223</v>
      </c>
      <c r="J34" s="169">
        <v>4017785</v>
      </c>
      <c r="K34" s="169">
        <v>4017780</v>
      </c>
      <c r="L34" s="172"/>
      <c r="M34" s="172"/>
      <c r="N34" s="173"/>
      <c r="O34" s="172"/>
      <c r="P34" s="172"/>
      <c r="Q34" s="172"/>
      <c r="R34" s="172"/>
      <c r="S34" s="172"/>
      <c r="T34" s="172"/>
      <c r="U34" s="172"/>
      <c r="V34" s="172"/>
      <c r="X34" s="169"/>
      <c r="Y34" s="170"/>
      <c r="Z34" s="170"/>
      <c r="AA34" s="170"/>
      <c r="AW34" s="11" t="s">
        <v>694</v>
      </c>
    </row>
    <row r="35" spans="1:49" s="11" customFormat="1">
      <c r="A35" s="184" t="s">
        <v>900</v>
      </c>
      <c r="B35" s="169">
        <v>4017357</v>
      </c>
      <c r="C35" s="170" t="s">
        <v>395</v>
      </c>
      <c r="D35" s="170" t="s">
        <v>396</v>
      </c>
      <c r="E35" s="171">
        <v>46211</v>
      </c>
      <c r="F35" s="171">
        <v>46265</v>
      </c>
      <c r="H35" s="169">
        <v>4017339</v>
      </c>
      <c r="I35" s="169">
        <v>4017398</v>
      </c>
      <c r="J35" s="169"/>
      <c r="K35" s="169"/>
      <c r="L35" s="169"/>
      <c r="M35" s="169"/>
      <c r="N35" s="173"/>
      <c r="O35" s="172"/>
      <c r="P35" s="172"/>
      <c r="Q35" s="172"/>
      <c r="R35" s="172"/>
      <c r="S35" s="172"/>
      <c r="T35" s="172"/>
      <c r="U35" s="172"/>
      <c r="V35" s="172"/>
      <c r="X35" s="169"/>
      <c r="Y35" s="170"/>
      <c r="Z35" s="170"/>
      <c r="AA35" s="170"/>
      <c r="AW35" s="11" t="s">
        <v>694</v>
      </c>
    </row>
    <row r="36" spans="1:49" s="11" customFormat="1">
      <c r="A36" s="184" t="s">
        <v>900</v>
      </c>
      <c r="B36" s="169">
        <v>4017377</v>
      </c>
      <c r="C36" s="170" t="s">
        <v>395</v>
      </c>
      <c r="D36" s="170" t="s">
        <v>397</v>
      </c>
      <c r="E36" s="171">
        <v>46211</v>
      </c>
      <c r="F36" s="171">
        <v>46265</v>
      </c>
      <c r="H36" s="169">
        <v>4017339</v>
      </c>
      <c r="I36" s="169">
        <v>4017398</v>
      </c>
      <c r="J36" s="169"/>
      <c r="K36" s="169"/>
      <c r="L36" s="169"/>
      <c r="M36" s="169"/>
      <c r="N36" s="173"/>
      <c r="O36" s="172"/>
      <c r="P36" s="172"/>
      <c r="Q36" s="172"/>
      <c r="R36" s="172"/>
      <c r="S36" s="172"/>
      <c r="T36" s="172"/>
      <c r="U36" s="172"/>
      <c r="V36" s="172"/>
      <c r="X36" s="169"/>
      <c r="Y36" s="170"/>
      <c r="Z36" s="170"/>
      <c r="AA36" s="170"/>
      <c r="AW36" s="11" t="s">
        <v>694</v>
      </c>
    </row>
    <row r="37" spans="1:49" s="11" customFormat="1">
      <c r="A37" s="184" t="s">
        <v>900</v>
      </c>
      <c r="B37" s="169">
        <v>4017363</v>
      </c>
      <c r="C37" s="170" t="s">
        <v>395</v>
      </c>
      <c r="D37" s="170" t="s">
        <v>398</v>
      </c>
      <c r="E37" s="171">
        <v>46211</v>
      </c>
      <c r="F37" s="171">
        <v>46265</v>
      </c>
      <c r="H37" s="169">
        <v>4017339</v>
      </c>
      <c r="I37" s="169">
        <v>4017398</v>
      </c>
      <c r="J37" s="169"/>
      <c r="K37" s="169"/>
      <c r="L37" s="169"/>
      <c r="M37" s="169"/>
      <c r="N37" s="173"/>
      <c r="O37" s="172"/>
      <c r="P37" s="172"/>
      <c r="Q37" s="172"/>
      <c r="R37" s="172"/>
      <c r="S37" s="172"/>
      <c r="T37" s="172"/>
      <c r="U37" s="172"/>
      <c r="V37" s="172"/>
      <c r="X37" s="169"/>
      <c r="Y37" s="170"/>
      <c r="Z37" s="170"/>
      <c r="AA37" s="170"/>
      <c r="AW37" s="11" t="s">
        <v>694</v>
      </c>
    </row>
    <row r="38" spans="1:49" s="11" customFormat="1">
      <c r="A38" s="184" t="s">
        <v>900</v>
      </c>
      <c r="B38" s="169">
        <v>4017383</v>
      </c>
      <c r="C38" s="170" t="s">
        <v>395</v>
      </c>
      <c r="D38" s="170" t="s">
        <v>399</v>
      </c>
      <c r="E38" s="171">
        <v>46211</v>
      </c>
      <c r="F38" s="171">
        <v>46265</v>
      </c>
      <c r="H38" s="169">
        <v>4017339</v>
      </c>
      <c r="I38" s="169">
        <v>4017398</v>
      </c>
      <c r="J38" s="169"/>
      <c r="K38" s="169"/>
      <c r="L38" s="169"/>
      <c r="M38" s="169"/>
      <c r="N38" s="173"/>
      <c r="O38" s="172"/>
      <c r="P38" s="172"/>
      <c r="Q38" s="172"/>
      <c r="R38" s="172"/>
      <c r="S38" s="172"/>
      <c r="T38" s="172"/>
      <c r="U38" s="172"/>
      <c r="V38" s="172"/>
      <c r="X38" s="169"/>
      <c r="Y38" s="170"/>
      <c r="Z38" s="170"/>
      <c r="AA38" s="170"/>
      <c r="AW38" s="11" t="s">
        <v>694</v>
      </c>
    </row>
    <row r="39" spans="1:49" s="11" customFormat="1">
      <c r="A39" s="184" t="s">
        <v>900</v>
      </c>
      <c r="B39" s="169">
        <v>4017358</v>
      </c>
      <c r="C39" s="170" t="s">
        <v>400</v>
      </c>
      <c r="D39" s="170" t="s">
        <v>401</v>
      </c>
      <c r="E39" s="171">
        <v>46211</v>
      </c>
      <c r="F39" s="171">
        <v>46265</v>
      </c>
      <c r="H39" s="169">
        <v>4017339</v>
      </c>
      <c r="I39" s="169">
        <v>4017398</v>
      </c>
      <c r="J39" s="169"/>
      <c r="K39" s="169"/>
      <c r="L39" s="169"/>
      <c r="M39" s="169"/>
      <c r="N39" s="173"/>
      <c r="O39" s="172"/>
      <c r="P39" s="172"/>
      <c r="Q39" s="172"/>
      <c r="R39" s="172"/>
      <c r="S39" s="172"/>
      <c r="T39" s="172"/>
      <c r="U39" s="172"/>
      <c r="V39" s="172"/>
      <c r="X39" s="169"/>
      <c r="Y39" s="170"/>
      <c r="Z39" s="170"/>
      <c r="AA39" s="170"/>
      <c r="AW39" s="11" t="s">
        <v>694</v>
      </c>
    </row>
    <row r="40" spans="1:49" s="11" customFormat="1">
      <c r="A40" s="184" t="s">
        <v>900</v>
      </c>
      <c r="B40" s="169">
        <v>4017365</v>
      </c>
      <c r="C40" s="170" t="s">
        <v>400</v>
      </c>
      <c r="D40" s="170" t="s">
        <v>402</v>
      </c>
      <c r="E40" s="171">
        <v>46211</v>
      </c>
      <c r="F40" s="171">
        <v>46265</v>
      </c>
      <c r="H40" s="169">
        <v>4017339</v>
      </c>
      <c r="I40" s="169">
        <v>4017398</v>
      </c>
      <c r="J40" s="169"/>
      <c r="K40" s="169"/>
      <c r="L40" s="169"/>
      <c r="M40" s="169"/>
      <c r="N40" s="173"/>
      <c r="O40" s="172"/>
      <c r="P40" s="172"/>
      <c r="Q40" s="172"/>
      <c r="R40" s="172"/>
      <c r="S40" s="172"/>
      <c r="T40" s="172"/>
      <c r="U40" s="172"/>
      <c r="V40" s="172"/>
      <c r="X40" s="169"/>
      <c r="Y40" s="170"/>
      <c r="Z40" s="170"/>
      <c r="AA40" s="170"/>
      <c r="AW40" s="11" t="s">
        <v>694</v>
      </c>
    </row>
    <row r="41" spans="1:49" s="11" customFormat="1">
      <c r="A41" s="184" t="s">
        <v>900</v>
      </c>
      <c r="B41" s="169">
        <v>4017378</v>
      </c>
      <c r="C41" s="170" t="s">
        <v>400</v>
      </c>
      <c r="D41" s="170" t="s">
        <v>403</v>
      </c>
      <c r="E41" s="171">
        <v>46211</v>
      </c>
      <c r="F41" s="171">
        <v>46265</v>
      </c>
      <c r="H41" s="169">
        <v>4017339</v>
      </c>
      <c r="I41" s="169">
        <v>4017398</v>
      </c>
      <c r="J41" s="169"/>
      <c r="K41" s="169"/>
      <c r="L41" s="169"/>
      <c r="M41" s="169"/>
      <c r="N41" s="173"/>
      <c r="O41" s="172"/>
      <c r="P41" s="172"/>
      <c r="Q41" s="172"/>
      <c r="R41" s="172"/>
      <c r="S41" s="172"/>
      <c r="T41" s="172"/>
      <c r="U41" s="172"/>
      <c r="V41" s="172"/>
      <c r="X41" s="169"/>
      <c r="Y41" s="170"/>
      <c r="Z41" s="170"/>
      <c r="AA41" s="170"/>
      <c r="AW41" s="11" t="s">
        <v>694</v>
      </c>
    </row>
    <row r="42" spans="1:49" s="11" customFormat="1">
      <c r="A42" s="184" t="s">
        <v>900</v>
      </c>
      <c r="B42" s="169">
        <v>4017384</v>
      </c>
      <c r="C42" s="170" t="s">
        <v>400</v>
      </c>
      <c r="D42" s="170" t="s">
        <v>404</v>
      </c>
      <c r="E42" s="171">
        <v>46211</v>
      </c>
      <c r="F42" s="171">
        <v>46265</v>
      </c>
      <c r="H42" s="169">
        <v>4017339</v>
      </c>
      <c r="I42" s="169">
        <v>4017398</v>
      </c>
      <c r="J42" s="169"/>
      <c r="K42" s="169"/>
      <c r="L42" s="169"/>
      <c r="M42" s="169"/>
      <c r="N42" s="172"/>
      <c r="O42" s="172"/>
      <c r="P42" s="172"/>
      <c r="Q42" s="172"/>
      <c r="R42" s="172"/>
      <c r="S42" s="172"/>
      <c r="T42" s="172"/>
      <c r="U42" s="172"/>
      <c r="V42" s="172"/>
      <c r="X42" s="169"/>
      <c r="Y42" s="169"/>
      <c r="Z42" s="169"/>
      <c r="AA42" s="170"/>
      <c r="AW42" s="11" t="s">
        <v>694</v>
      </c>
    </row>
    <row r="43" spans="1:49" s="11" customFormat="1">
      <c r="A43" s="184" t="s">
        <v>900</v>
      </c>
      <c r="B43" s="169">
        <v>4017371</v>
      </c>
      <c r="C43" s="170" t="s">
        <v>400</v>
      </c>
      <c r="D43" s="170" t="s">
        <v>405</v>
      </c>
      <c r="E43" s="171">
        <v>46211</v>
      </c>
      <c r="F43" s="171">
        <v>46265</v>
      </c>
      <c r="H43" s="169">
        <v>4017339</v>
      </c>
      <c r="I43" s="169">
        <v>4017398</v>
      </c>
      <c r="J43" s="169"/>
      <c r="K43" s="169"/>
      <c r="L43" s="169"/>
      <c r="M43" s="169"/>
      <c r="N43" s="172"/>
      <c r="O43" s="172"/>
      <c r="P43" s="172"/>
      <c r="Q43" s="172"/>
      <c r="R43" s="172"/>
      <c r="S43" s="172"/>
      <c r="T43" s="172"/>
      <c r="U43" s="172"/>
      <c r="V43" s="172"/>
      <c r="X43" s="169"/>
      <c r="Y43" s="169"/>
      <c r="Z43" s="169"/>
      <c r="AA43" s="170"/>
      <c r="AW43" s="11" t="s">
        <v>694</v>
      </c>
    </row>
    <row r="44" spans="1:49" s="11" customFormat="1">
      <c r="A44" s="184" t="s">
        <v>900</v>
      </c>
      <c r="B44" s="169">
        <v>4017350</v>
      </c>
      <c r="C44" s="170" t="s">
        <v>400</v>
      </c>
      <c r="D44" s="170" t="s">
        <v>406</v>
      </c>
      <c r="E44" s="171">
        <v>46211</v>
      </c>
      <c r="F44" s="171">
        <v>46265</v>
      </c>
      <c r="H44" s="169">
        <v>4017339</v>
      </c>
      <c r="I44" s="169">
        <v>4017398</v>
      </c>
      <c r="J44" s="169"/>
      <c r="K44" s="169"/>
      <c r="L44" s="169"/>
      <c r="M44" s="169"/>
      <c r="N44" s="172"/>
      <c r="O44" s="172"/>
      <c r="P44" s="172"/>
      <c r="Q44" s="172"/>
      <c r="R44" s="172"/>
      <c r="S44" s="172"/>
      <c r="T44" s="172"/>
      <c r="U44" s="172"/>
      <c r="V44" s="172"/>
      <c r="X44" s="169"/>
      <c r="Y44" s="169"/>
      <c r="Z44" s="169"/>
      <c r="AA44" s="170"/>
      <c r="AW44" s="11" t="s">
        <v>694</v>
      </c>
    </row>
    <row r="45" spans="1:49" s="11" customFormat="1">
      <c r="A45" s="184" t="s">
        <v>900</v>
      </c>
      <c r="B45" s="169">
        <v>4017360</v>
      </c>
      <c r="C45" s="170" t="s">
        <v>400</v>
      </c>
      <c r="D45" s="170" t="s">
        <v>407</v>
      </c>
      <c r="E45" s="171">
        <v>46211</v>
      </c>
      <c r="F45" s="171">
        <v>46265</v>
      </c>
      <c r="H45" s="169">
        <v>4017339</v>
      </c>
      <c r="I45" s="169">
        <v>4017398</v>
      </c>
      <c r="J45" s="169"/>
      <c r="K45" s="169"/>
      <c r="L45" s="169"/>
      <c r="M45" s="169"/>
      <c r="N45" s="172"/>
      <c r="O45" s="172"/>
      <c r="P45" s="172"/>
      <c r="Q45" s="172"/>
      <c r="R45" s="172"/>
      <c r="S45" s="172"/>
      <c r="T45" s="172"/>
      <c r="U45" s="172"/>
      <c r="V45" s="172"/>
      <c r="X45" s="169"/>
      <c r="Y45" s="169"/>
      <c r="Z45" s="169"/>
      <c r="AA45" s="170"/>
      <c r="AW45" s="11" t="s">
        <v>694</v>
      </c>
    </row>
    <row r="46" spans="1:49" s="11" customFormat="1">
      <c r="A46" s="184" t="s">
        <v>900</v>
      </c>
      <c r="B46" s="169">
        <v>4017352</v>
      </c>
      <c r="C46" s="170" t="s">
        <v>400</v>
      </c>
      <c r="D46" s="170" t="s">
        <v>408</v>
      </c>
      <c r="E46" s="171">
        <v>46211</v>
      </c>
      <c r="F46" s="171">
        <v>46265</v>
      </c>
      <c r="H46" s="169">
        <v>4017339</v>
      </c>
      <c r="I46" s="169">
        <v>4017398</v>
      </c>
      <c r="J46" s="169"/>
      <c r="K46" s="169"/>
      <c r="L46" s="169"/>
      <c r="M46" s="169"/>
      <c r="N46" s="172"/>
      <c r="O46" s="172"/>
      <c r="P46" s="172"/>
      <c r="Q46" s="172"/>
      <c r="R46" s="172"/>
      <c r="S46" s="172"/>
      <c r="T46" s="172"/>
      <c r="U46" s="172"/>
      <c r="V46" s="172"/>
      <c r="X46" s="169"/>
      <c r="Y46" s="169"/>
      <c r="Z46" s="169"/>
      <c r="AA46" s="170"/>
      <c r="AW46" s="11" t="s">
        <v>694</v>
      </c>
    </row>
    <row r="47" spans="1:49" s="11" customFormat="1">
      <c r="A47" s="184" t="s">
        <v>900</v>
      </c>
      <c r="B47" s="169">
        <v>4017359</v>
      </c>
      <c r="C47" s="170" t="s">
        <v>409</v>
      </c>
      <c r="D47" s="170" t="s">
        <v>410</v>
      </c>
      <c r="E47" s="171">
        <v>46211</v>
      </c>
      <c r="F47" s="171">
        <v>46265</v>
      </c>
      <c r="H47" s="169">
        <v>4017339</v>
      </c>
      <c r="I47" s="169">
        <v>4017398</v>
      </c>
      <c r="J47" s="169"/>
      <c r="K47" s="169"/>
      <c r="L47" s="169"/>
      <c r="M47" s="169"/>
      <c r="N47" s="172"/>
      <c r="O47" s="172"/>
      <c r="P47" s="172"/>
      <c r="Q47" s="172"/>
      <c r="R47" s="172"/>
      <c r="S47" s="172"/>
      <c r="T47" s="172"/>
      <c r="U47" s="172"/>
      <c r="V47" s="172"/>
      <c r="X47" s="169"/>
      <c r="Y47" s="169"/>
      <c r="Z47" s="169"/>
      <c r="AA47" s="170"/>
      <c r="AW47" s="11" t="s">
        <v>694</v>
      </c>
    </row>
    <row r="48" spans="1:49" s="11" customFormat="1">
      <c r="A48" s="184" t="s">
        <v>900</v>
      </c>
      <c r="B48" s="169">
        <v>4017366</v>
      </c>
      <c r="C48" s="170" t="s">
        <v>409</v>
      </c>
      <c r="D48" s="170" t="s">
        <v>411</v>
      </c>
      <c r="E48" s="171">
        <v>46211</v>
      </c>
      <c r="F48" s="171">
        <v>46265</v>
      </c>
      <c r="H48" s="169">
        <v>4017339</v>
      </c>
      <c r="I48" s="169">
        <v>4017398</v>
      </c>
      <c r="J48" s="169"/>
      <c r="K48" s="169"/>
      <c r="L48" s="169"/>
      <c r="M48" s="169"/>
      <c r="N48" s="172"/>
      <c r="O48" s="172"/>
      <c r="P48" s="172"/>
      <c r="Q48" s="172"/>
      <c r="R48" s="172"/>
      <c r="S48" s="172"/>
      <c r="T48" s="172"/>
      <c r="U48" s="172"/>
      <c r="V48" s="172"/>
      <c r="X48" s="169"/>
      <c r="Y48" s="169"/>
      <c r="Z48" s="169"/>
      <c r="AA48" s="170"/>
      <c r="AW48" s="11" t="s">
        <v>694</v>
      </c>
    </row>
    <row r="49" spans="1:49" s="11" customFormat="1">
      <c r="A49" s="184" t="s">
        <v>900</v>
      </c>
      <c r="B49" s="169">
        <v>4017379</v>
      </c>
      <c r="C49" s="170" t="s">
        <v>409</v>
      </c>
      <c r="D49" s="170" t="s">
        <v>412</v>
      </c>
      <c r="E49" s="171">
        <v>46211</v>
      </c>
      <c r="F49" s="171">
        <v>46265</v>
      </c>
      <c r="H49" s="169">
        <v>4017339</v>
      </c>
      <c r="I49" s="169">
        <v>4017398</v>
      </c>
      <c r="J49" s="169"/>
      <c r="K49" s="169"/>
      <c r="L49" s="169"/>
      <c r="M49" s="169"/>
      <c r="N49" s="172"/>
      <c r="O49" s="172"/>
      <c r="P49" s="172"/>
      <c r="Q49" s="172"/>
      <c r="R49" s="172"/>
      <c r="S49" s="172"/>
      <c r="T49" s="172"/>
      <c r="U49" s="172"/>
      <c r="V49" s="172"/>
      <c r="X49" s="169"/>
      <c r="Y49" s="169"/>
      <c r="Z49" s="169"/>
      <c r="AA49" s="170"/>
      <c r="AW49" s="11" t="s">
        <v>694</v>
      </c>
    </row>
    <row r="50" spans="1:49" s="11" customFormat="1">
      <c r="A50" s="184" t="s">
        <v>900</v>
      </c>
      <c r="B50" s="169">
        <v>4017385</v>
      </c>
      <c r="C50" s="170" t="s">
        <v>409</v>
      </c>
      <c r="D50" s="170" t="s">
        <v>413</v>
      </c>
      <c r="E50" s="171">
        <v>46211</v>
      </c>
      <c r="F50" s="171">
        <v>46265</v>
      </c>
      <c r="H50" s="169">
        <v>4017339</v>
      </c>
      <c r="I50" s="169">
        <v>4017398</v>
      </c>
      <c r="J50" s="169"/>
      <c r="K50" s="169"/>
      <c r="L50" s="169"/>
      <c r="M50" s="169"/>
      <c r="N50" s="172"/>
      <c r="O50" s="172"/>
      <c r="P50" s="172"/>
      <c r="Q50" s="172"/>
      <c r="R50" s="172"/>
      <c r="S50" s="172"/>
      <c r="T50" s="172"/>
      <c r="U50" s="172"/>
      <c r="V50" s="172"/>
      <c r="X50" s="169"/>
      <c r="Y50" s="169"/>
      <c r="Z50" s="169"/>
      <c r="AA50" s="170"/>
      <c r="AW50" s="11" t="s">
        <v>694</v>
      </c>
    </row>
    <row r="51" spans="1:49" s="11" customFormat="1">
      <c r="A51" s="184" t="s">
        <v>900</v>
      </c>
      <c r="B51" s="169">
        <v>4017372</v>
      </c>
      <c r="C51" s="170" t="s">
        <v>409</v>
      </c>
      <c r="D51" s="170" t="s">
        <v>414</v>
      </c>
      <c r="E51" s="171">
        <v>46211</v>
      </c>
      <c r="F51" s="171">
        <v>46265</v>
      </c>
      <c r="H51" s="169">
        <v>4017339</v>
      </c>
      <c r="I51" s="169">
        <v>4017398</v>
      </c>
      <c r="J51" s="169"/>
      <c r="K51" s="169"/>
      <c r="L51" s="169"/>
      <c r="M51" s="169"/>
      <c r="N51" s="172"/>
      <c r="O51" s="172"/>
      <c r="P51" s="172"/>
      <c r="Q51" s="172"/>
      <c r="R51" s="172"/>
      <c r="S51" s="172"/>
      <c r="T51" s="172"/>
      <c r="U51" s="172"/>
      <c r="V51" s="172"/>
      <c r="X51" s="169"/>
      <c r="Y51" s="169"/>
      <c r="Z51" s="169"/>
      <c r="AA51" s="170"/>
      <c r="AW51" s="11" t="s">
        <v>694</v>
      </c>
    </row>
    <row r="52" spans="1:49" s="11" customFormat="1">
      <c r="A52" s="168" t="s">
        <v>901</v>
      </c>
      <c r="B52" s="169">
        <v>4017856</v>
      </c>
      <c r="C52" s="170" t="s">
        <v>443</v>
      </c>
      <c r="D52" s="170" t="s">
        <v>444</v>
      </c>
      <c r="E52" s="171">
        <v>46246</v>
      </c>
      <c r="F52" s="171">
        <v>46265</v>
      </c>
      <c r="H52" s="169">
        <v>4017227</v>
      </c>
      <c r="I52" s="169">
        <v>4017223</v>
      </c>
      <c r="J52" s="169">
        <v>4017339</v>
      </c>
      <c r="K52" s="169">
        <v>4017398</v>
      </c>
      <c r="L52" s="169">
        <v>4015924</v>
      </c>
      <c r="M52" s="169">
        <v>4015922</v>
      </c>
      <c r="N52" s="169">
        <v>4017424</v>
      </c>
      <c r="O52" s="169">
        <v>4017419</v>
      </c>
      <c r="P52" s="169">
        <v>4017414</v>
      </c>
      <c r="Q52" s="172"/>
      <c r="R52" s="172"/>
      <c r="S52" s="172"/>
      <c r="T52" s="172"/>
      <c r="U52" s="172"/>
      <c r="V52" s="172"/>
      <c r="X52" s="169"/>
      <c r="Y52" s="169"/>
      <c r="Z52" s="169"/>
      <c r="AA52" s="170"/>
      <c r="AW52" s="11" t="s">
        <v>694</v>
      </c>
    </row>
    <row r="53" spans="1:49" s="11" customFormat="1">
      <c r="A53" s="168" t="s">
        <v>901</v>
      </c>
      <c r="B53" s="169">
        <v>4017873</v>
      </c>
      <c r="C53" s="170" t="s">
        <v>443</v>
      </c>
      <c r="D53" s="170" t="s">
        <v>445</v>
      </c>
      <c r="E53" s="171">
        <v>46246</v>
      </c>
      <c r="F53" s="171">
        <v>46265</v>
      </c>
      <c r="H53" s="169">
        <v>4017227</v>
      </c>
      <c r="I53" s="169">
        <v>4017223</v>
      </c>
      <c r="J53" s="169">
        <v>4017339</v>
      </c>
      <c r="K53" s="169">
        <v>4017398</v>
      </c>
      <c r="L53" s="169">
        <v>4015924</v>
      </c>
      <c r="M53" s="169">
        <v>4015922</v>
      </c>
      <c r="N53" s="169">
        <v>4017424</v>
      </c>
      <c r="O53" s="169">
        <v>4017419</v>
      </c>
      <c r="P53" s="169">
        <v>4017414</v>
      </c>
      <c r="Q53" s="172"/>
      <c r="R53" s="172"/>
      <c r="S53" s="172"/>
      <c r="T53" s="172"/>
      <c r="U53" s="172"/>
      <c r="V53" s="172"/>
      <c r="X53" s="169"/>
      <c r="Y53" s="169"/>
      <c r="Z53" s="169"/>
      <c r="AA53" s="170"/>
      <c r="AW53" s="11" t="s">
        <v>694</v>
      </c>
    </row>
    <row r="54" spans="1:49" s="11" customFormat="1">
      <c r="A54" s="168" t="s">
        <v>901</v>
      </c>
      <c r="B54" s="169">
        <v>4017838</v>
      </c>
      <c r="C54" s="170" t="s">
        <v>443</v>
      </c>
      <c r="D54" s="170" t="s">
        <v>446</v>
      </c>
      <c r="E54" s="171">
        <v>46246</v>
      </c>
      <c r="F54" s="171">
        <v>46265</v>
      </c>
      <c r="H54" s="169">
        <v>4017227</v>
      </c>
      <c r="I54" s="169">
        <v>4017223</v>
      </c>
      <c r="J54" s="169">
        <v>4017339</v>
      </c>
      <c r="K54" s="169">
        <v>4017398</v>
      </c>
      <c r="L54" s="169">
        <v>4015924</v>
      </c>
      <c r="M54" s="169">
        <v>4015922</v>
      </c>
      <c r="N54" s="169">
        <v>4017424</v>
      </c>
      <c r="O54" s="169">
        <v>4017419</v>
      </c>
      <c r="P54" s="169">
        <v>4017414</v>
      </c>
      <c r="Q54" s="172"/>
      <c r="R54" s="172"/>
      <c r="S54" s="172"/>
      <c r="T54" s="172"/>
      <c r="U54" s="172"/>
      <c r="V54" s="172"/>
      <c r="X54" s="169"/>
      <c r="Y54" s="169"/>
      <c r="Z54" s="169"/>
      <c r="AA54" s="170"/>
      <c r="AW54" s="11" t="s">
        <v>694</v>
      </c>
    </row>
    <row r="55" spans="1:49" s="11" customFormat="1">
      <c r="A55" s="168" t="s">
        <v>901</v>
      </c>
      <c r="B55" s="169">
        <v>4017854</v>
      </c>
      <c r="C55" s="170" t="s">
        <v>443</v>
      </c>
      <c r="D55" s="170" t="s">
        <v>447</v>
      </c>
      <c r="E55" s="171">
        <v>46246</v>
      </c>
      <c r="F55" s="171">
        <v>46265</v>
      </c>
      <c r="H55" s="169">
        <v>4017227</v>
      </c>
      <c r="I55" s="169">
        <v>4017223</v>
      </c>
      <c r="J55" s="169">
        <v>4017339</v>
      </c>
      <c r="K55" s="169">
        <v>4017398</v>
      </c>
      <c r="L55" s="169">
        <v>4015924</v>
      </c>
      <c r="M55" s="169">
        <v>4015922</v>
      </c>
      <c r="N55" s="169">
        <v>4017424</v>
      </c>
      <c r="O55" s="169">
        <v>4017419</v>
      </c>
      <c r="P55" s="169">
        <v>4017414</v>
      </c>
      <c r="Q55" s="172"/>
      <c r="R55" s="172"/>
      <c r="S55" s="172"/>
      <c r="T55" s="172"/>
      <c r="U55" s="172"/>
      <c r="V55" s="172"/>
      <c r="X55" s="169"/>
      <c r="Y55" s="169"/>
      <c r="Z55" s="169"/>
      <c r="AA55" s="170"/>
      <c r="AW55" s="11" t="s">
        <v>694</v>
      </c>
    </row>
    <row r="56" spans="1:49" s="11" customFormat="1">
      <c r="A56" s="168" t="s">
        <v>901</v>
      </c>
      <c r="B56" s="169">
        <v>4017850</v>
      </c>
      <c r="C56" s="170" t="s">
        <v>443</v>
      </c>
      <c r="D56" s="170" t="s">
        <v>448</v>
      </c>
      <c r="E56" s="171">
        <v>46246</v>
      </c>
      <c r="F56" s="171">
        <v>46265</v>
      </c>
      <c r="H56" s="169">
        <v>4017227</v>
      </c>
      <c r="I56" s="169">
        <v>4017223</v>
      </c>
      <c r="J56" s="169">
        <v>4017339</v>
      </c>
      <c r="K56" s="169">
        <v>4017398</v>
      </c>
      <c r="L56" s="169">
        <v>4015924</v>
      </c>
      <c r="M56" s="169">
        <v>4015922</v>
      </c>
      <c r="N56" s="169">
        <v>4017424</v>
      </c>
      <c r="O56" s="169">
        <v>4017419</v>
      </c>
      <c r="P56" s="169">
        <v>4017414</v>
      </c>
      <c r="Q56" s="172"/>
      <c r="R56" s="172"/>
      <c r="S56" s="172"/>
      <c r="T56" s="172"/>
      <c r="U56" s="172"/>
      <c r="V56" s="172"/>
      <c r="X56" s="169"/>
      <c r="Y56" s="169"/>
      <c r="Z56" s="169"/>
      <c r="AA56" s="170"/>
      <c r="AW56" s="11" t="s">
        <v>694</v>
      </c>
    </row>
    <row r="57" spans="1:49" s="11" customFormat="1">
      <c r="A57" s="168" t="s">
        <v>901</v>
      </c>
      <c r="B57" s="169">
        <v>4017869</v>
      </c>
      <c r="C57" s="170" t="s">
        <v>443</v>
      </c>
      <c r="D57" s="170" t="s">
        <v>449</v>
      </c>
      <c r="E57" s="171">
        <v>46246</v>
      </c>
      <c r="F57" s="171">
        <v>46265</v>
      </c>
      <c r="H57" s="169">
        <v>4017227</v>
      </c>
      <c r="I57" s="169">
        <v>4017223</v>
      </c>
      <c r="J57" s="169">
        <v>4017339</v>
      </c>
      <c r="K57" s="169">
        <v>4017398</v>
      </c>
      <c r="L57" s="169">
        <v>4015924</v>
      </c>
      <c r="M57" s="169">
        <v>4015922</v>
      </c>
      <c r="N57" s="169">
        <v>4017424</v>
      </c>
      <c r="O57" s="169">
        <v>4017419</v>
      </c>
      <c r="P57" s="169">
        <v>4017414</v>
      </c>
      <c r="Q57" s="172"/>
      <c r="R57" s="172"/>
      <c r="S57" s="172"/>
      <c r="T57" s="172"/>
      <c r="U57" s="172"/>
      <c r="V57" s="172"/>
      <c r="X57" s="169"/>
      <c r="Y57" s="169"/>
      <c r="Z57" s="169"/>
      <c r="AA57" s="170"/>
      <c r="AW57" s="11" t="s">
        <v>694</v>
      </c>
    </row>
    <row r="58" spans="1:49" s="11" customFormat="1">
      <c r="A58" s="168" t="s">
        <v>901</v>
      </c>
      <c r="B58" s="169">
        <v>4017855</v>
      </c>
      <c r="C58" s="170" t="s">
        <v>472</v>
      </c>
      <c r="D58" s="170" t="s">
        <v>473</v>
      </c>
      <c r="E58" s="171">
        <v>46246</v>
      </c>
      <c r="F58" s="171">
        <v>46265</v>
      </c>
      <c r="H58" s="169">
        <v>4017227</v>
      </c>
      <c r="I58" s="169">
        <v>4017223</v>
      </c>
      <c r="J58" s="169">
        <v>4017339</v>
      </c>
      <c r="K58" s="169">
        <v>4017398</v>
      </c>
      <c r="L58" s="169">
        <v>4015924</v>
      </c>
      <c r="M58" s="169">
        <v>4015922</v>
      </c>
      <c r="N58" s="169">
        <v>4017424</v>
      </c>
      <c r="O58" s="169">
        <v>4017419</v>
      </c>
      <c r="P58" s="169">
        <v>4017414</v>
      </c>
      <c r="Q58" s="172"/>
      <c r="R58" s="172"/>
      <c r="S58" s="172"/>
      <c r="T58" s="172"/>
      <c r="U58" s="172"/>
      <c r="V58" s="172"/>
      <c r="X58" s="169"/>
      <c r="Y58" s="169"/>
      <c r="Z58" s="169"/>
      <c r="AA58" s="170"/>
      <c r="AW58" s="11" t="s">
        <v>694</v>
      </c>
    </row>
    <row r="59" spans="1:49" s="11" customFormat="1">
      <c r="A59" s="168" t="s">
        <v>901</v>
      </c>
      <c r="B59" s="169">
        <v>4017860</v>
      </c>
      <c r="C59" s="170" t="s">
        <v>472</v>
      </c>
      <c r="D59" s="170" t="s">
        <v>475</v>
      </c>
      <c r="E59" s="171">
        <v>46246</v>
      </c>
      <c r="F59" s="171">
        <v>46265</v>
      </c>
      <c r="H59" s="169">
        <v>4017227</v>
      </c>
      <c r="I59" s="169">
        <v>4017223</v>
      </c>
      <c r="J59" s="169">
        <v>4017339</v>
      </c>
      <c r="K59" s="169">
        <v>4017398</v>
      </c>
      <c r="L59" s="169">
        <v>4015924</v>
      </c>
      <c r="M59" s="169">
        <v>4015922</v>
      </c>
      <c r="N59" s="169">
        <v>4017424</v>
      </c>
      <c r="O59" s="169">
        <v>4017419</v>
      </c>
      <c r="P59" s="169">
        <v>4017414</v>
      </c>
      <c r="Q59" s="172"/>
      <c r="R59" s="172"/>
      <c r="S59" s="172"/>
      <c r="T59" s="172"/>
      <c r="U59" s="172"/>
      <c r="V59" s="172"/>
      <c r="X59" s="169"/>
      <c r="Y59" s="169"/>
      <c r="Z59" s="169"/>
      <c r="AA59" s="170"/>
      <c r="AW59" s="11" t="s">
        <v>694</v>
      </c>
    </row>
    <row r="60" spans="1:49" s="11" customFormat="1">
      <c r="A60" s="168" t="s">
        <v>901</v>
      </c>
      <c r="B60" s="169">
        <v>4017872</v>
      </c>
      <c r="C60" s="170" t="s">
        <v>472</v>
      </c>
      <c r="D60" s="170" t="s">
        <v>474</v>
      </c>
      <c r="E60" s="171">
        <v>46246</v>
      </c>
      <c r="F60" s="171">
        <v>46265</v>
      </c>
      <c r="H60" s="169">
        <v>4017227</v>
      </c>
      <c r="I60" s="169">
        <v>4017223</v>
      </c>
      <c r="J60" s="169">
        <v>4017339</v>
      </c>
      <c r="K60" s="169">
        <v>4017398</v>
      </c>
      <c r="L60" s="169">
        <v>4015924</v>
      </c>
      <c r="M60" s="169">
        <v>4015922</v>
      </c>
      <c r="N60" s="169">
        <v>4017424</v>
      </c>
      <c r="O60" s="169">
        <v>4017419</v>
      </c>
      <c r="P60" s="169">
        <v>4017414</v>
      </c>
      <c r="Q60" s="172"/>
      <c r="R60" s="172"/>
      <c r="S60" s="172"/>
      <c r="T60" s="172"/>
      <c r="U60" s="172"/>
      <c r="V60" s="172"/>
      <c r="X60" s="169"/>
      <c r="Y60" s="169"/>
      <c r="Z60" s="169"/>
      <c r="AA60" s="170"/>
      <c r="AW60" s="11" t="s">
        <v>694</v>
      </c>
    </row>
    <row r="61" spans="1:49" s="11" customFormat="1">
      <c r="A61" s="168" t="s">
        <v>901</v>
      </c>
      <c r="B61" s="169">
        <v>4017876</v>
      </c>
      <c r="C61" s="170" t="s">
        <v>472</v>
      </c>
      <c r="D61" s="170" t="s">
        <v>476</v>
      </c>
      <c r="E61" s="171">
        <v>46246</v>
      </c>
      <c r="F61" s="171">
        <v>46265</v>
      </c>
      <c r="H61" s="169">
        <v>4017227</v>
      </c>
      <c r="I61" s="169">
        <v>4017223</v>
      </c>
      <c r="J61" s="169">
        <v>4017339</v>
      </c>
      <c r="K61" s="169">
        <v>4017398</v>
      </c>
      <c r="L61" s="169">
        <v>4015924</v>
      </c>
      <c r="M61" s="169">
        <v>4015922</v>
      </c>
      <c r="N61" s="169">
        <v>4017424</v>
      </c>
      <c r="O61" s="169">
        <v>4017419</v>
      </c>
      <c r="P61" s="169">
        <v>4017414</v>
      </c>
      <c r="Q61" s="172"/>
      <c r="R61" s="172"/>
      <c r="S61" s="172"/>
      <c r="T61" s="172"/>
      <c r="U61" s="172"/>
      <c r="V61" s="172"/>
      <c r="X61" s="169"/>
      <c r="Y61" s="169"/>
      <c r="Z61" s="169"/>
      <c r="AA61" s="170"/>
      <c r="AW61" s="11" t="s">
        <v>694</v>
      </c>
    </row>
    <row r="62" spans="1:49" s="11" customFormat="1">
      <c r="A62" s="168" t="s">
        <v>901</v>
      </c>
      <c r="B62" s="169">
        <v>4017852</v>
      </c>
      <c r="C62" s="170" t="s">
        <v>472</v>
      </c>
      <c r="D62" s="170" t="s">
        <v>477</v>
      </c>
      <c r="E62" s="171">
        <v>46246</v>
      </c>
      <c r="F62" s="171">
        <v>46265</v>
      </c>
      <c r="H62" s="169">
        <v>4017227</v>
      </c>
      <c r="I62" s="169">
        <v>4017223</v>
      </c>
      <c r="J62" s="169">
        <v>4017339</v>
      </c>
      <c r="K62" s="169">
        <v>4017398</v>
      </c>
      <c r="L62" s="169">
        <v>4015924</v>
      </c>
      <c r="M62" s="169">
        <v>4015922</v>
      </c>
      <c r="N62" s="169">
        <v>4017424</v>
      </c>
      <c r="O62" s="169">
        <v>4017419</v>
      </c>
      <c r="P62" s="169">
        <v>4017414</v>
      </c>
      <c r="Q62" s="172"/>
      <c r="R62" s="172"/>
      <c r="S62" s="172"/>
      <c r="T62" s="172"/>
      <c r="U62" s="172"/>
      <c r="V62" s="172"/>
      <c r="X62" s="169"/>
      <c r="Y62" s="169"/>
      <c r="Z62" s="169"/>
      <c r="AA62" s="170"/>
      <c r="AW62" s="11" t="s">
        <v>694</v>
      </c>
    </row>
    <row r="63" spans="1:49" s="11" customFormat="1">
      <c r="A63" s="168" t="s">
        <v>901</v>
      </c>
      <c r="B63" s="169">
        <v>4017857</v>
      </c>
      <c r="C63" s="170" t="s">
        <v>472</v>
      </c>
      <c r="D63" s="170" t="s">
        <v>478</v>
      </c>
      <c r="E63" s="171">
        <v>46246</v>
      </c>
      <c r="F63" s="171">
        <v>46265</v>
      </c>
      <c r="H63" s="169">
        <v>4017227</v>
      </c>
      <c r="I63" s="169">
        <v>4017223</v>
      </c>
      <c r="J63" s="169">
        <v>4017339</v>
      </c>
      <c r="K63" s="169">
        <v>4017398</v>
      </c>
      <c r="L63" s="169">
        <v>4015924</v>
      </c>
      <c r="M63" s="169">
        <v>4015922</v>
      </c>
      <c r="N63" s="169">
        <v>4017424</v>
      </c>
      <c r="O63" s="169">
        <v>4017419</v>
      </c>
      <c r="P63" s="169">
        <v>4017414</v>
      </c>
      <c r="Q63" s="172"/>
      <c r="R63" s="172"/>
      <c r="S63" s="172"/>
      <c r="T63" s="172"/>
      <c r="U63" s="172"/>
      <c r="V63" s="172"/>
      <c r="X63" s="169"/>
      <c r="Y63" s="169"/>
      <c r="Z63" s="169"/>
      <c r="AA63" s="170"/>
      <c r="AW63" s="11" t="s">
        <v>694</v>
      </c>
    </row>
    <row r="64" spans="1:49" s="11" customFormat="1">
      <c r="A64" s="185" t="s">
        <v>902</v>
      </c>
      <c r="B64" s="169">
        <v>4016985</v>
      </c>
      <c r="C64" s="170" t="s">
        <v>465</v>
      </c>
      <c r="D64" s="170" t="s">
        <v>466</v>
      </c>
      <c r="E64" s="171">
        <v>46211</v>
      </c>
      <c r="F64" s="171">
        <v>46265</v>
      </c>
      <c r="H64" s="169">
        <v>4017339</v>
      </c>
      <c r="I64" s="169">
        <v>4017398</v>
      </c>
      <c r="J64" s="169">
        <v>4015924</v>
      </c>
      <c r="K64" s="169">
        <v>4015922</v>
      </c>
      <c r="L64" s="169">
        <v>4017424</v>
      </c>
      <c r="M64" s="169">
        <v>4017419</v>
      </c>
      <c r="N64" s="169">
        <v>4017414</v>
      </c>
      <c r="O64" s="172"/>
      <c r="P64" s="172"/>
      <c r="Q64" s="172"/>
      <c r="R64" s="172"/>
      <c r="S64" s="172"/>
      <c r="T64" s="172"/>
      <c r="U64" s="172"/>
      <c r="V64" s="172"/>
      <c r="X64" s="169"/>
      <c r="Y64" s="169"/>
      <c r="Z64" s="169"/>
      <c r="AA64" s="170"/>
      <c r="AW64" s="11" t="s">
        <v>694</v>
      </c>
    </row>
    <row r="65" spans="1:49" s="11" customFormat="1">
      <c r="A65" s="184" t="s">
        <v>902</v>
      </c>
      <c r="B65" s="169">
        <v>4016999</v>
      </c>
      <c r="C65" s="170" t="s">
        <v>465</v>
      </c>
      <c r="D65" s="170" t="s">
        <v>467</v>
      </c>
      <c r="E65" s="171">
        <v>46211</v>
      </c>
      <c r="F65" s="171">
        <v>46265</v>
      </c>
      <c r="H65" s="169">
        <v>4017339</v>
      </c>
      <c r="I65" s="169">
        <v>4017398</v>
      </c>
      <c r="J65" s="169">
        <v>4015924</v>
      </c>
      <c r="K65" s="169">
        <v>4015922</v>
      </c>
      <c r="L65" s="169">
        <v>4017424</v>
      </c>
      <c r="M65" s="169">
        <v>4017419</v>
      </c>
      <c r="N65" s="169">
        <v>4017414</v>
      </c>
      <c r="O65" s="172"/>
      <c r="P65" s="172"/>
      <c r="Q65" s="172"/>
      <c r="R65" s="172"/>
      <c r="S65" s="172"/>
      <c r="T65" s="172"/>
      <c r="U65" s="172"/>
      <c r="V65" s="172"/>
      <c r="X65" s="169"/>
      <c r="Y65" s="169"/>
      <c r="Z65" s="169"/>
      <c r="AA65" s="170"/>
      <c r="AW65" s="11" t="s">
        <v>694</v>
      </c>
    </row>
    <row r="66" spans="1:49" s="11" customFormat="1">
      <c r="A66" s="184" t="s">
        <v>902</v>
      </c>
      <c r="B66" s="169">
        <v>4017065</v>
      </c>
      <c r="C66" s="170" t="s">
        <v>465</v>
      </c>
      <c r="D66" s="170" t="s">
        <v>468</v>
      </c>
      <c r="E66" s="171">
        <v>46211</v>
      </c>
      <c r="F66" s="171">
        <v>46265</v>
      </c>
      <c r="H66" s="169">
        <v>4017339</v>
      </c>
      <c r="I66" s="169">
        <v>4017398</v>
      </c>
      <c r="J66" s="169">
        <v>4015924</v>
      </c>
      <c r="K66" s="169">
        <v>4015922</v>
      </c>
      <c r="L66" s="169">
        <v>4017424</v>
      </c>
      <c r="M66" s="169">
        <v>4017419</v>
      </c>
      <c r="N66" s="169">
        <v>4017414</v>
      </c>
      <c r="O66" s="172"/>
      <c r="P66" s="172"/>
      <c r="Q66" s="172"/>
      <c r="R66" s="172"/>
      <c r="S66" s="172"/>
      <c r="T66" s="172"/>
      <c r="U66" s="172"/>
      <c r="V66" s="172"/>
      <c r="X66" s="169"/>
      <c r="Y66" s="169"/>
      <c r="Z66" s="169"/>
      <c r="AA66" s="170"/>
      <c r="AW66" s="11" t="s">
        <v>694</v>
      </c>
    </row>
    <row r="67" spans="1:49" s="11" customFormat="1">
      <c r="A67" s="184" t="s">
        <v>902</v>
      </c>
      <c r="B67" s="169">
        <v>4016977</v>
      </c>
      <c r="C67" s="170" t="s">
        <v>465</v>
      </c>
      <c r="D67" s="170" t="s">
        <v>469</v>
      </c>
      <c r="E67" s="171">
        <v>46211</v>
      </c>
      <c r="F67" s="171">
        <v>46265</v>
      </c>
      <c r="H67" s="169">
        <v>4017339</v>
      </c>
      <c r="I67" s="169">
        <v>4017398</v>
      </c>
      <c r="J67" s="169">
        <v>4015924</v>
      </c>
      <c r="K67" s="169">
        <v>4015922</v>
      </c>
      <c r="L67" s="169">
        <v>4017424</v>
      </c>
      <c r="M67" s="169">
        <v>4017419</v>
      </c>
      <c r="N67" s="169">
        <v>4017414</v>
      </c>
      <c r="O67" s="172"/>
      <c r="P67" s="172"/>
      <c r="Q67" s="172"/>
      <c r="R67" s="172"/>
      <c r="S67" s="172"/>
      <c r="T67" s="172"/>
      <c r="U67" s="172"/>
      <c r="V67" s="172"/>
      <c r="X67" s="169"/>
      <c r="Y67" s="169"/>
      <c r="Z67" s="169"/>
      <c r="AA67" s="170"/>
      <c r="AW67" s="11" t="s">
        <v>694</v>
      </c>
    </row>
    <row r="68" spans="1:49" s="11" customFormat="1">
      <c r="A68" s="184" t="s">
        <v>902</v>
      </c>
      <c r="B68" s="169">
        <v>4016993</v>
      </c>
      <c r="C68" s="170" t="s">
        <v>465</v>
      </c>
      <c r="D68" s="170" t="s">
        <v>470</v>
      </c>
      <c r="E68" s="171">
        <v>46211</v>
      </c>
      <c r="F68" s="171">
        <v>46265</v>
      </c>
      <c r="H68" s="169">
        <v>4017339</v>
      </c>
      <c r="I68" s="169">
        <v>4017398</v>
      </c>
      <c r="J68" s="169">
        <v>4015924</v>
      </c>
      <c r="K68" s="169">
        <v>4015922</v>
      </c>
      <c r="L68" s="169">
        <v>4017424</v>
      </c>
      <c r="M68" s="169">
        <v>4017419</v>
      </c>
      <c r="N68" s="169">
        <v>4017414</v>
      </c>
      <c r="O68" s="172"/>
      <c r="P68" s="172"/>
      <c r="Q68" s="172"/>
      <c r="R68" s="172"/>
      <c r="S68" s="172"/>
      <c r="T68" s="172"/>
      <c r="U68" s="172"/>
      <c r="V68" s="172"/>
      <c r="X68" s="169"/>
      <c r="Y68" s="169"/>
      <c r="Z68" s="169"/>
      <c r="AA68" s="170"/>
      <c r="AW68" s="11" t="s">
        <v>694</v>
      </c>
    </row>
    <row r="69" spans="1:49" s="11" customFormat="1">
      <c r="A69" s="184" t="s">
        <v>902</v>
      </c>
      <c r="B69" s="169">
        <v>4017064</v>
      </c>
      <c r="C69" s="170" t="s">
        <v>465</v>
      </c>
      <c r="D69" s="170" t="s">
        <v>471</v>
      </c>
      <c r="E69" s="171">
        <v>46211</v>
      </c>
      <c r="F69" s="171">
        <v>46265</v>
      </c>
      <c r="H69" s="169">
        <v>4017339</v>
      </c>
      <c r="I69" s="169">
        <v>4017398</v>
      </c>
      <c r="J69" s="169">
        <v>4015924</v>
      </c>
      <c r="K69" s="169">
        <v>4015922</v>
      </c>
      <c r="L69" s="169">
        <v>4017424</v>
      </c>
      <c r="M69" s="169">
        <v>4017419</v>
      </c>
      <c r="N69" s="169">
        <v>4017414</v>
      </c>
      <c r="O69" s="172"/>
      <c r="P69" s="172"/>
      <c r="Q69" s="172"/>
      <c r="R69" s="172"/>
      <c r="S69" s="172"/>
      <c r="T69" s="172"/>
      <c r="U69" s="172"/>
      <c r="V69" s="172"/>
      <c r="X69" s="169"/>
      <c r="Y69" s="169"/>
      <c r="Z69" s="169"/>
      <c r="AA69" s="170"/>
      <c r="AW69" s="11" t="s">
        <v>694</v>
      </c>
    </row>
    <row r="70" spans="1:49" s="11" customFormat="1">
      <c r="A70" s="168" t="s">
        <v>903</v>
      </c>
      <c r="B70" s="169">
        <v>4016839</v>
      </c>
      <c r="C70" s="170" t="s">
        <v>564</v>
      </c>
      <c r="D70" s="170" t="s">
        <v>565</v>
      </c>
      <c r="E70" s="171">
        <v>46246</v>
      </c>
      <c r="F70" s="171">
        <v>46265</v>
      </c>
      <c r="H70" s="169">
        <v>4017785</v>
      </c>
      <c r="I70" s="169">
        <v>4017780</v>
      </c>
      <c r="J70" s="169">
        <v>4017227</v>
      </c>
      <c r="K70" s="169">
        <v>4017223</v>
      </c>
      <c r="L70" s="169"/>
      <c r="M70" s="169"/>
      <c r="N70" s="182"/>
      <c r="O70" s="182"/>
      <c r="P70" s="182"/>
      <c r="Q70" s="182"/>
      <c r="R70" s="172"/>
      <c r="S70" s="172"/>
      <c r="T70" s="172"/>
      <c r="U70" s="172"/>
      <c r="V70" s="172"/>
      <c r="X70" s="169"/>
      <c r="Y70" s="169"/>
      <c r="Z70" s="169"/>
      <c r="AA70" s="170"/>
      <c r="AW70" s="11" t="s">
        <v>694</v>
      </c>
    </row>
    <row r="71" spans="1:49" s="11" customFormat="1">
      <c r="A71" s="168" t="s">
        <v>903</v>
      </c>
      <c r="B71" s="169">
        <v>4016872</v>
      </c>
      <c r="C71" s="170" t="s">
        <v>564</v>
      </c>
      <c r="D71" s="170" t="s">
        <v>566</v>
      </c>
      <c r="E71" s="171">
        <v>46246</v>
      </c>
      <c r="F71" s="171">
        <v>46265</v>
      </c>
      <c r="H71" s="169">
        <v>4017785</v>
      </c>
      <c r="I71" s="169">
        <v>4017780</v>
      </c>
      <c r="J71" s="169">
        <v>4017227</v>
      </c>
      <c r="K71" s="169">
        <v>4017223</v>
      </c>
      <c r="L71" s="169"/>
      <c r="M71" s="169"/>
      <c r="N71" s="182"/>
      <c r="O71" s="182"/>
      <c r="P71" s="182"/>
      <c r="Q71" s="182"/>
      <c r="R71" s="172"/>
      <c r="S71" s="172"/>
      <c r="T71" s="172"/>
      <c r="U71" s="172"/>
      <c r="V71" s="172"/>
      <c r="X71" s="169"/>
      <c r="Y71" s="169"/>
      <c r="Z71" s="169"/>
      <c r="AA71" s="170"/>
      <c r="AW71" s="11" t="s">
        <v>694</v>
      </c>
    </row>
    <row r="72" spans="1:49" s="11" customFormat="1">
      <c r="A72" s="168" t="s">
        <v>903</v>
      </c>
      <c r="B72" s="169">
        <v>4016858</v>
      </c>
      <c r="C72" s="170" t="s">
        <v>564</v>
      </c>
      <c r="D72" s="170" t="s">
        <v>567</v>
      </c>
      <c r="E72" s="171">
        <v>46246</v>
      </c>
      <c r="F72" s="171">
        <v>46265</v>
      </c>
      <c r="H72" s="169">
        <v>4017785</v>
      </c>
      <c r="I72" s="169">
        <v>4017780</v>
      </c>
      <c r="J72" s="169">
        <v>4017227</v>
      </c>
      <c r="K72" s="169">
        <v>4017223</v>
      </c>
      <c r="L72" s="169"/>
      <c r="M72" s="169"/>
      <c r="N72" s="182"/>
      <c r="O72" s="182"/>
      <c r="P72" s="182"/>
      <c r="Q72" s="182"/>
      <c r="R72" s="172"/>
      <c r="S72" s="172"/>
      <c r="T72" s="172"/>
      <c r="U72" s="172"/>
      <c r="V72" s="172"/>
      <c r="X72" s="169"/>
      <c r="Y72" s="169"/>
      <c r="Z72" s="169"/>
      <c r="AA72" s="170"/>
      <c r="AW72" s="11" t="s">
        <v>694</v>
      </c>
    </row>
    <row r="73" spans="1:49" s="11" customFormat="1">
      <c r="A73" s="168" t="s">
        <v>903</v>
      </c>
      <c r="B73" s="169">
        <v>4016863</v>
      </c>
      <c r="C73" s="170" t="s">
        <v>564</v>
      </c>
      <c r="D73" s="170" t="s">
        <v>568</v>
      </c>
      <c r="E73" s="171">
        <v>46246</v>
      </c>
      <c r="F73" s="171">
        <v>46265</v>
      </c>
      <c r="H73" s="169">
        <v>4017785</v>
      </c>
      <c r="I73" s="169">
        <v>4017780</v>
      </c>
      <c r="J73" s="169">
        <v>4017227</v>
      </c>
      <c r="K73" s="169">
        <v>4017223</v>
      </c>
      <c r="L73" s="169"/>
      <c r="M73" s="169"/>
      <c r="N73" s="182"/>
      <c r="O73" s="182"/>
      <c r="P73" s="182"/>
      <c r="Q73" s="182"/>
      <c r="R73" s="172"/>
      <c r="S73" s="172"/>
      <c r="T73" s="172"/>
      <c r="U73" s="172"/>
      <c r="V73" s="172"/>
      <c r="X73" s="169"/>
      <c r="Y73" s="169"/>
      <c r="Z73" s="169"/>
      <c r="AA73" s="170"/>
      <c r="AW73" s="11" t="s">
        <v>694</v>
      </c>
    </row>
    <row r="74" spans="1:49" s="11" customFormat="1">
      <c r="A74" s="168" t="s">
        <v>903</v>
      </c>
      <c r="B74" s="169">
        <v>4016886</v>
      </c>
      <c r="C74" s="170" t="s">
        <v>564</v>
      </c>
      <c r="D74" s="170" t="s">
        <v>569</v>
      </c>
      <c r="E74" s="171">
        <v>46246</v>
      </c>
      <c r="F74" s="171">
        <v>46265</v>
      </c>
      <c r="H74" s="169">
        <v>4017785</v>
      </c>
      <c r="I74" s="169">
        <v>4017780</v>
      </c>
      <c r="J74" s="169">
        <v>4017227</v>
      </c>
      <c r="K74" s="169">
        <v>4017223</v>
      </c>
      <c r="L74" s="169"/>
      <c r="M74" s="169"/>
      <c r="N74" s="182"/>
      <c r="O74" s="182"/>
      <c r="P74" s="172"/>
      <c r="Q74" s="172"/>
      <c r="R74" s="172"/>
      <c r="S74" s="172"/>
      <c r="T74" s="172"/>
      <c r="U74" s="172"/>
      <c r="V74" s="172"/>
      <c r="X74" s="169"/>
      <c r="Y74" s="169"/>
      <c r="Z74" s="169"/>
      <c r="AA74" s="170"/>
      <c r="AW74" s="11" t="s">
        <v>694</v>
      </c>
    </row>
    <row r="75" spans="1:49" s="11" customFormat="1">
      <c r="A75" s="168" t="s">
        <v>903</v>
      </c>
      <c r="B75" s="169">
        <v>4016901</v>
      </c>
      <c r="C75" s="170" t="s">
        <v>564</v>
      </c>
      <c r="D75" s="170" t="s">
        <v>570</v>
      </c>
      <c r="E75" s="171">
        <v>46246</v>
      </c>
      <c r="F75" s="171">
        <v>46265</v>
      </c>
      <c r="H75" s="169">
        <v>4017785</v>
      </c>
      <c r="I75" s="169">
        <v>4017780</v>
      </c>
      <c r="J75" s="169">
        <v>4017227</v>
      </c>
      <c r="K75" s="169">
        <v>4017223</v>
      </c>
      <c r="L75" s="169"/>
      <c r="M75" s="169"/>
      <c r="N75" s="182"/>
      <c r="O75" s="182"/>
      <c r="P75" s="172"/>
      <c r="Q75" s="172"/>
      <c r="R75" s="172"/>
      <c r="S75" s="172"/>
      <c r="T75" s="172"/>
      <c r="U75" s="172"/>
      <c r="V75" s="172"/>
      <c r="X75" s="169"/>
      <c r="Y75" s="169"/>
      <c r="Z75" s="169"/>
      <c r="AA75" s="170"/>
      <c r="AW75" s="11" t="s">
        <v>694</v>
      </c>
    </row>
    <row r="76" spans="1:49" s="11" customFormat="1">
      <c r="A76" s="168" t="s">
        <v>903</v>
      </c>
      <c r="B76" s="169">
        <v>4016895</v>
      </c>
      <c r="C76" s="170" t="s">
        <v>564</v>
      </c>
      <c r="D76" s="170" t="s">
        <v>571</v>
      </c>
      <c r="E76" s="171">
        <v>46246</v>
      </c>
      <c r="F76" s="171">
        <v>46265</v>
      </c>
      <c r="H76" s="169">
        <v>4017785</v>
      </c>
      <c r="I76" s="169">
        <v>4017780</v>
      </c>
      <c r="J76" s="169">
        <v>4017227</v>
      </c>
      <c r="K76" s="169">
        <v>4017223</v>
      </c>
      <c r="L76" s="169"/>
      <c r="M76" s="169"/>
      <c r="N76" s="182"/>
      <c r="O76" s="182"/>
      <c r="P76" s="172"/>
      <c r="Q76" s="172"/>
      <c r="R76" s="172"/>
      <c r="S76" s="172"/>
      <c r="T76" s="172"/>
      <c r="U76" s="172"/>
      <c r="V76" s="172"/>
      <c r="X76" s="169"/>
      <c r="Y76" s="169"/>
      <c r="Z76" s="169"/>
      <c r="AA76" s="170"/>
      <c r="AW76" s="11" t="s">
        <v>694</v>
      </c>
    </row>
    <row r="77" spans="1:49" s="11" customFormat="1">
      <c r="A77" s="168" t="s">
        <v>903</v>
      </c>
      <c r="B77" s="169">
        <v>4016880</v>
      </c>
      <c r="C77" s="170" t="s">
        <v>564</v>
      </c>
      <c r="D77" s="170" t="s">
        <v>572</v>
      </c>
      <c r="E77" s="171">
        <v>46246</v>
      </c>
      <c r="F77" s="171">
        <v>46265</v>
      </c>
      <c r="H77" s="169">
        <v>4017785</v>
      </c>
      <c r="I77" s="169">
        <v>4017780</v>
      </c>
      <c r="J77" s="169">
        <v>4017227</v>
      </c>
      <c r="K77" s="169">
        <v>4017223</v>
      </c>
      <c r="L77" s="169"/>
      <c r="M77" s="169"/>
      <c r="N77" s="182"/>
      <c r="O77" s="182"/>
      <c r="P77" s="172"/>
      <c r="Q77" s="172"/>
      <c r="R77" s="172"/>
      <c r="S77" s="172"/>
      <c r="T77" s="172"/>
      <c r="U77" s="172"/>
      <c r="V77" s="172"/>
      <c r="X77" s="169"/>
      <c r="Y77" s="169"/>
      <c r="Z77" s="169"/>
      <c r="AA77" s="170"/>
      <c r="AW77" s="11" t="s">
        <v>694</v>
      </c>
    </row>
    <row r="78" spans="1:49" s="11" customFormat="1">
      <c r="A78" s="168" t="s">
        <v>903</v>
      </c>
      <c r="B78" s="169">
        <v>4016871</v>
      </c>
      <c r="C78" s="170" t="s">
        <v>573</v>
      </c>
      <c r="D78" s="170" t="s">
        <v>574</v>
      </c>
      <c r="E78" s="171">
        <v>46246</v>
      </c>
      <c r="F78" s="171">
        <v>46265</v>
      </c>
      <c r="H78" s="169">
        <v>4017227</v>
      </c>
      <c r="I78" s="169">
        <v>4017223</v>
      </c>
      <c r="J78" s="169">
        <v>4017785</v>
      </c>
      <c r="K78" s="169">
        <v>4017780</v>
      </c>
      <c r="L78" s="182"/>
      <c r="M78" s="182"/>
      <c r="N78" s="182"/>
      <c r="O78" s="182"/>
      <c r="P78" s="172"/>
      <c r="Q78" s="172"/>
      <c r="R78" s="172"/>
      <c r="S78" s="172"/>
      <c r="T78" s="172"/>
      <c r="U78" s="172"/>
      <c r="V78" s="172"/>
      <c r="X78" s="169"/>
      <c r="Y78" s="169"/>
      <c r="Z78" s="169"/>
      <c r="AA78" s="170"/>
      <c r="AW78" s="11" t="s">
        <v>694</v>
      </c>
    </row>
    <row r="79" spans="1:49" s="11" customFormat="1">
      <c r="A79" s="168" t="s">
        <v>903</v>
      </c>
      <c r="B79" s="169">
        <v>4016851</v>
      </c>
      <c r="C79" s="170" t="s">
        <v>573</v>
      </c>
      <c r="D79" s="170" t="s">
        <v>575</v>
      </c>
      <c r="E79" s="171">
        <v>46246</v>
      </c>
      <c r="F79" s="171">
        <v>46265</v>
      </c>
      <c r="H79" s="169">
        <v>4017227</v>
      </c>
      <c r="I79" s="169">
        <v>4017223</v>
      </c>
      <c r="J79" s="169">
        <v>4017785</v>
      </c>
      <c r="K79" s="169">
        <v>4017780</v>
      </c>
      <c r="L79" s="182"/>
      <c r="M79" s="182"/>
      <c r="N79" s="182"/>
      <c r="O79" s="182"/>
      <c r="P79" s="172"/>
      <c r="Q79" s="172"/>
      <c r="R79" s="172"/>
      <c r="S79" s="172"/>
      <c r="T79" s="172"/>
      <c r="U79" s="172"/>
      <c r="V79" s="172"/>
      <c r="X79" s="169"/>
      <c r="Y79" s="169"/>
      <c r="Z79" s="169"/>
      <c r="AA79" s="170"/>
      <c r="AW79" s="11" t="s">
        <v>694</v>
      </c>
    </row>
    <row r="80" spans="1:49" s="11" customFormat="1">
      <c r="A80" s="168" t="s">
        <v>903</v>
      </c>
      <c r="B80" s="169">
        <v>4016864</v>
      </c>
      <c r="C80" s="170" t="s">
        <v>573</v>
      </c>
      <c r="D80" s="170" t="s">
        <v>576</v>
      </c>
      <c r="E80" s="171">
        <v>46246</v>
      </c>
      <c r="F80" s="171">
        <v>46265</v>
      </c>
      <c r="H80" s="169">
        <v>4017227</v>
      </c>
      <c r="I80" s="169">
        <v>4017223</v>
      </c>
      <c r="J80" s="169">
        <v>4017785</v>
      </c>
      <c r="K80" s="169">
        <v>4017780</v>
      </c>
      <c r="L80" s="182"/>
      <c r="M80" s="182"/>
      <c r="N80" s="182"/>
      <c r="O80" s="182"/>
      <c r="P80" s="172"/>
      <c r="Q80" s="172"/>
      <c r="R80" s="172"/>
      <c r="S80" s="172"/>
      <c r="T80" s="172"/>
      <c r="U80" s="172"/>
      <c r="V80" s="172"/>
      <c r="X80" s="169"/>
      <c r="Y80" s="169"/>
      <c r="Z80" s="169"/>
      <c r="AA80" s="170"/>
      <c r="AW80" s="11" t="s">
        <v>694</v>
      </c>
    </row>
    <row r="81" spans="1:49" s="11" customFormat="1">
      <c r="A81" s="168" t="s">
        <v>903</v>
      </c>
      <c r="B81" s="169">
        <v>4016900</v>
      </c>
      <c r="C81" s="170" t="s">
        <v>573</v>
      </c>
      <c r="D81" s="170" t="s">
        <v>577</v>
      </c>
      <c r="E81" s="171">
        <v>46246</v>
      </c>
      <c r="F81" s="171">
        <v>46265</v>
      </c>
      <c r="H81" s="169">
        <v>4017227</v>
      </c>
      <c r="I81" s="169">
        <v>4017223</v>
      </c>
      <c r="J81" s="169">
        <v>4017785</v>
      </c>
      <c r="K81" s="169">
        <v>4017780</v>
      </c>
      <c r="L81" s="182"/>
      <c r="M81" s="182"/>
      <c r="N81" s="182"/>
      <c r="O81" s="182"/>
      <c r="P81" s="172"/>
      <c r="Q81" s="172"/>
      <c r="R81" s="172"/>
      <c r="S81" s="172"/>
      <c r="T81" s="172"/>
      <c r="U81" s="172"/>
      <c r="V81" s="172"/>
      <c r="X81" s="169"/>
      <c r="Y81" s="169"/>
      <c r="Z81" s="169"/>
      <c r="AA81" s="170"/>
      <c r="AW81" s="11" t="s">
        <v>694</v>
      </c>
    </row>
    <row r="82" spans="1:49" s="11" customFormat="1">
      <c r="A82" s="168" t="s">
        <v>903</v>
      </c>
      <c r="B82" s="169">
        <v>4016893</v>
      </c>
      <c r="C82" s="170" t="s">
        <v>573</v>
      </c>
      <c r="D82" s="170" t="s">
        <v>578</v>
      </c>
      <c r="E82" s="171">
        <v>46246</v>
      </c>
      <c r="F82" s="171">
        <v>46265</v>
      </c>
      <c r="H82" s="169">
        <v>4017227</v>
      </c>
      <c r="I82" s="169">
        <v>4017223</v>
      </c>
      <c r="J82" s="169">
        <v>4017785</v>
      </c>
      <c r="K82" s="169">
        <v>4017780</v>
      </c>
      <c r="L82" s="182"/>
      <c r="M82" s="182"/>
      <c r="N82" s="182"/>
      <c r="O82" s="182"/>
      <c r="P82" s="172"/>
      <c r="Q82" s="172"/>
      <c r="R82" s="172"/>
      <c r="S82" s="172"/>
      <c r="T82" s="172"/>
      <c r="U82" s="172"/>
      <c r="V82" s="172"/>
      <c r="X82" s="169"/>
      <c r="Y82" s="169"/>
      <c r="Z82" s="169"/>
      <c r="AA82" s="170"/>
      <c r="AW82" s="11" t="s">
        <v>694</v>
      </c>
    </row>
    <row r="83" spans="1:49" s="11" customFormat="1">
      <c r="A83" s="168" t="s">
        <v>903</v>
      </c>
      <c r="B83" s="169">
        <v>4016879</v>
      </c>
      <c r="C83" s="170" t="s">
        <v>573</v>
      </c>
      <c r="D83" s="170" t="s">
        <v>579</v>
      </c>
      <c r="E83" s="171">
        <v>46246</v>
      </c>
      <c r="F83" s="171">
        <v>46265</v>
      </c>
      <c r="H83" s="169">
        <v>4017227</v>
      </c>
      <c r="I83" s="169">
        <v>4017223</v>
      </c>
      <c r="J83" s="169">
        <v>4017785</v>
      </c>
      <c r="K83" s="169">
        <v>4017780</v>
      </c>
      <c r="L83" s="182"/>
      <c r="M83" s="182"/>
      <c r="N83" s="182"/>
      <c r="O83" s="182"/>
      <c r="P83" s="172"/>
      <c r="Q83" s="172"/>
      <c r="R83" s="172"/>
      <c r="S83" s="172"/>
      <c r="T83" s="172"/>
      <c r="U83" s="172"/>
      <c r="V83" s="172"/>
      <c r="X83" s="169"/>
      <c r="Y83" s="169"/>
      <c r="Z83" s="169"/>
      <c r="AA83" s="170"/>
      <c r="AW83" s="11" t="s">
        <v>694</v>
      </c>
    </row>
    <row r="84" spans="1:49" s="11" customFormat="1">
      <c r="A84" s="168" t="s">
        <v>903</v>
      </c>
      <c r="B84" s="169">
        <v>4016902</v>
      </c>
      <c r="C84" s="170" t="s">
        <v>580</v>
      </c>
      <c r="D84" s="170" t="s">
        <v>581</v>
      </c>
      <c r="E84" s="171">
        <v>46246</v>
      </c>
      <c r="F84" s="171">
        <v>46265</v>
      </c>
      <c r="H84" s="169">
        <v>4017227</v>
      </c>
      <c r="I84" s="169">
        <v>4017223</v>
      </c>
      <c r="J84" s="169">
        <v>4017785</v>
      </c>
      <c r="K84" s="169">
        <v>4017780</v>
      </c>
      <c r="L84" s="182"/>
      <c r="M84" s="182"/>
      <c r="N84" s="182"/>
      <c r="O84" s="182"/>
      <c r="P84" s="172"/>
      <c r="Q84" s="172"/>
      <c r="R84" s="172"/>
      <c r="S84" s="172"/>
      <c r="T84" s="172"/>
      <c r="U84" s="172"/>
      <c r="V84" s="172"/>
      <c r="X84" s="169"/>
      <c r="Y84" s="169"/>
      <c r="Z84" s="169"/>
      <c r="AA84" s="170"/>
      <c r="AW84" s="11" t="s">
        <v>694</v>
      </c>
    </row>
    <row r="85" spans="1:49" s="11" customFormat="1">
      <c r="A85" s="168" t="s">
        <v>903</v>
      </c>
      <c r="B85" s="169">
        <v>4016881</v>
      </c>
      <c r="C85" s="170" t="s">
        <v>580</v>
      </c>
      <c r="D85" s="170" t="s">
        <v>582</v>
      </c>
      <c r="E85" s="171">
        <v>46246</v>
      </c>
      <c r="F85" s="171">
        <v>46265</v>
      </c>
      <c r="H85" s="169">
        <v>4017227</v>
      </c>
      <c r="I85" s="169">
        <v>4017223</v>
      </c>
      <c r="J85" s="169">
        <v>4017785</v>
      </c>
      <c r="K85" s="169">
        <v>4017780</v>
      </c>
      <c r="L85" s="182"/>
      <c r="M85" s="182"/>
      <c r="N85" s="182"/>
      <c r="O85" s="182"/>
      <c r="P85" s="172"/>
      <c r="Q85" s="172"/>
      <c r="R85" s="172"/>
      <c r="S85" s="172"/>
      <c r="T85" s="172"/>
      <c r="U85" s="172"/>
      <c r="V85" s="172"/>
      <c r="X85" s="169"/>
      <c r="Y85" s="169"/>
      <c r="Z85" s="169"/>
      <c r="AA85" s="170"/>
      <c r="AW85" s="11" t="s">
        <v>694</v>
      </c>
    </row>
    <row r="86" spans="1:49" s="11" customFormat="1">
      <c r="A86" s="168" t="s">
        <v>903</v>
      </c>
      <c r="B86" s="169">
        <v>4016894</v>
      </c>
      <c r="C86" s="170" t="s">
        <v>580</v>
      </c>
      <c r="D86" s="170" t="s">
        <v>583</v>
      </c>
      <c r="E86" s="171">
        <v>46246</v>
      </c>
      <c r="F86" s="171">
        <v>46265</v>
      </c>
      <c r="H86" s="169">
        <v>4017227</v>
      </c>
      <c r="I86" s="169">
        <v>4017223</v>
      </c>
      <c r="J86" s="169">
        <v>4017785</v>
      </c>
      <c r="K86" s="169">
        <v>4017780</v>
      </c>
      <c r="L86" s="182"/>
      <c r="M86" s="182"/>
      <c r="N86" s="182"/>
      <c r="O86" s="182"/>
      <c r="P86" s="172"/>
      <c r="Q86" s="172"/>
      <c r="R86" s="172"/>
      <c r="S86" s="172"/>
      <c r="T86" s="172"/>
      <c r="U86" s="172"/>
      <c r="V86" s="172"/>
      <c r="X86" s="169"/>
      <c r="Y86" s="169"/>
      <c r="Z86" s="169"/>
      <c r="AA86" s="170"/>
      <c r="AW86" s="11" t="s">
        <v>694</v>
      </c>
    </row>
    <row r="87" spans="1:49" s="11" customFormat="1">
      <c r="A87" s="168" t="s">
        <v>903</v>
      </c>
      <c r="B87" s="169">
        <v>4016875</v>
      </c>
      <c r="C87" s="170" t="s">
        <v>584</v>
      </c>
      <c r="D87" s="170" t="s">
        <v>585</v>
      </c>
      <c r="E87" s="171">
        <v>46246</v>
      </c>
      <c r="F87" s="171">
        <v>46265</v>
      </c>
      <c r="H87" s="169">
        <v>4017227</v>
      </c>
      <c r="I87" s="169">
        <v>4017223</v>
      </c>
      <c r="J87" s="169">
        <v>4017785</v>
      </c>
      <c r="K87" s="169">
        <v>4017780</v>
      </c>
      <c r="L87" s="182"/>
      <c r="M87" s="182"/>
      <c r="N87" s="182"/>
      <c r="O87" s="182"/>
      <c r="P87" s="172"/>
      <c r="Q87" s="172"/>
      <c r="R87" s="172"/>
      <c r="S87" s="172"/>
      <c r="T87" s="172"/>
      <c r="U87" s="172"/>
      <c r="V87" s="172"/>
      <c r="X87" s="169"/>
      <c r="Y87" s="169"/>
      <c r="Z87" s="169"/>
      <c r="AA87" s="170"/>
      <c r="AW87" s="11" t="s">
        <v>694</v>
      </c>
    </row>
    <row r="88" spans="1:49" s="11" customFormat="1">
      <c r="A88" s="168" t="s">
        <v>903</v>
      </c>
      <c r="B88" s="169">
        <v>4016859</v>
      </c>
      <c r="C88" s="170" t="s">
        <v>584</v>
      </c>
      <c r="D88" s="170" t="s">
        <v>586</v>
      </c>
      <c r="E88" s="171">
        <v>46246</v>
      </c>
      <c r="F88" s="171">
        <v>46265</v>
      </c>
      <c r="H88" s="169">
        <v>4017227</v>
      </c>
      <c r="I88" s="169">
        <v>4017223</v>
      </c>
      <c r="J88" s="169">
        <v>4017785</v>
      </c>
      <c r="K88" s="169">
        <v>4017780</v>
      </c>
      <c r="L88" s="182"/>
      <c r="M88" s="182"/>
      <c r="N88" s="182"/>
      <c r="O88" s="182"/>
      <c r="P88" s="172"/>
      <c r="Q88" s="172"/>
      <c r="R88" s="172"/>
      <c r="S88" s="172"/>
      <c r="T88" s="172"/>
      <c r="U88" s="172"/>
      <c r="V88" s="172"/>
      <c r="X88" s="169"/>
      <c r="Y88" s="169"/>
      <c r="Z88" s="169"/>
      <c r="AA88" s="170"/>
      <c r="AW88" s="11" t="s">
        <v>694</v>
      </c>
    </row>
    <row r="89" spans="1:49" s="11" customFormat="1">
      <c r="A89" s="168" t="s">
        <v>903</v>
      </c>
      <c r="B89" s="169">
        <v>4016852</v>
      </c>
      <c r="C89" s="170" t="s">
        <v>584</v>
      </c>
      <c r="D89" s="170" t="s">
        <v>587</v>
      </c>
      <c r="E89" s="171">
        <v>46246</v>
      </c>
      <c r="F89" s="171">
        <v>46265</v>
      </c>
      <c r="H89" s="169">
        <v>4017227</v>
      </c>
      <c r="I89" s="169">
        <v>4017223</v>
      </c>
      <c r="J89" s="169">
        <v>4017785</v>
      </c>
      <c r="K89" s="169">
        <v>4017780</v>
      </c>
      <c r="L89" s="182"/>
      <c r="M89" s="182"/>
      <c r="N89" s="182"/>
      <c r="O89" s="182"/>
      <c r="P89" s="172"/>
      <c r="Q89" s="172"/>
      <c r="R89" s="172"/>
      <c r="S89" s="172"/>
      <c r="T89" s="172"/>
      <c r="U89" s="172"/>
      <c r="V89" s="172"/>
      <c r="X89" s="169"/>
      <c r="Y89" s="169"/>
      <c r="Z89" s="169"/>
      <c r="AA89" s="170"/>
      <c r="AW89" s="11" t="s">
        <v>694</v>
      </c>
    </row>
    <row r="90" spans="1:49" s="11" customFormat="1">
      <c r="A90" s="168" t="s">
        <v>903</v>
      </c>
      <c r="B90" s="169">
        <v>4016905</v>
      </c>
      <c r="C90" s="170" t="s">
        <v>584</v>
      </c>
      <c r="D90" s="170" t="s">
        <v>588</v>
      </c>
      <c r="E90" s="171">
        <v>46246</v>
      </c>
      <c r="F90" s="171">
        <v>46265</v>
      </c>
      <c r="H90" s="169">
        <v>4017227</v>
      </c>
      <c r="I90" s="169">
        <v>4017223</v>
      </c>
      <c r="J90" s="169">
        <v>4017785</v>
      </c>
      <c r="K90" s="169">
        <v>4017780</v>
      </c>
      <c r="L90" s="182"/>
      <c r="M90" s="182"/>
      <c r="N90" s="182"/>
      <c r="O90" s="182"/>
      <c r="P90" s="172"/>
      <c r="Q90" s="172"/>
      <c r="R90" s="172"/>
      <c r="S90" s="172"/>
      <c r="T90" s="172"/>
      <c r="U90" s="172"/>
      <c r="V90" s="172"/>
      <c r="X90" s="169"/>
      <c r="Y90" s="169"/>
      <c r="Z90" s="169"/>
      <c r="AA90" s="170"/>
      <c r="AW90" s="11" t="s">
        <v>694</v>
      </c>
    </row>
    <row r="91" spans="1:49" s="11" customFormat="1">
      <c r="A91" s="168" t="s">
        <v>903</v>
      </c>
      <c r="B91" s="169">
        <v>4016890</v>
      </c>
      <c r="C91" s="170" t="s">
        <v>584</v>
      </c>
      <c r="D91" s="170" t="s">
        <v>589</v>
      </c>
      <c r="E91" s="171">
        <v>46246</v>
      </c>
      <c r="F91" s="171">
        <v>46265</v>
      </c>
      <c r="H91" s="169">
        <v>4017227</v>
      </c>
      <c r="I91" s="169">
        <v>4017223</v>
      </c>
      <c r="J91" s="169">
        <v>4017785</v>
      </c>
      <c r="K91" s="169">
        <v>4017780</v>
      </c>
      <c r="L91" s="182"/>
      <c r="M91" s="182"/>
      <c r="N91" s="182"/>
      <c r="O91" s="182"/>
      <c r="P91" s="172"/>
      <c r="Q91" s="172"/>
      <c r="R91" s="172"/>
      <c r="S91" s="172"/>
      <c r="T91" s="172"/>
      <c r="U91" s="172"/>
      <c r="V91" s="172"/>
      <c r="X91" s="169"/>
      <c r="Y91" s="169"/>
      <c r="Z91" s="169"/>
      <c r="AA91" s="170"/>
      <c r="AW91" s="11" t="s">
        <v>694</v>
      </c>
    </row>
    <row r="92" spans="1:49" s="11" customFormat="1">
      <c r="A92" s="168" t="s">
        <v>903</v>
      </c>
      <c r="B92" s="169">
        <v>4016883</v>
      </c>
      <c r="C92" s="170" t="s">
        <v>584</v>
      </c>
      <c r="D92" s="170" t="s">
        <v>590</v>
      </c>
      <c r="E92" s="171">
        <v>46246</v>
      </c>
      <c r="F92" s="171">
        <v>46265</v>
      </c>
      <c r="H92" s="169">
        <v>4017227</v>
      </c>
      <c r="I92" s="169">
        <v>4017223</v>
      </c>
      <c r="J92" s="169">
        <v>4017785</v>
      </c>
      <c r="K92" s="169">
        <v>4017780</v>
      </c>
      <c r="L92" s="182"/>
      <c r="M92" s="182"/>
      <c r="N92" s="182"/>
      <c r="O92" s="182"/>
      <c r="P92" s="172"/>
      <c r="Q92" s="172"/>
      <c r="R92" s="172"/>
      <c r="S92" s="172"/>
      <c r="T92" s="172"/>
      <c r="U92" s="172"/>
      <c r="V92" s="172"/>
      <c r="X92" s="169"/>
      <c r="Y92" s="169"/>
      <c r="Z92" s="169"/>
      <c r="AA92" s="170"/>
      <c r="AW92" s="11" t="s">
        <v>694</v>
      </c>
    </row>
    <row r="93" spans="1:49" s="11" customFormat="1">
      <c r="A93" s="168" t="s">
        <v>903</v>
      </c>
      <c r="B93" s="169">
        <v>4016853</v>
      </c>
      <c r="C93" s="170" t="s">
        <v>591</v>
      </c>
      <c r="D93" s="170" t="s">
        <v>592</v>
      </c>
      <c r="E93" s="171">
        <v>46246</v>
      </c>
      <c r="F93" s="171">
        <v>46265</v>
      </c>
      <c r="H93" s="169">
        <v>4017227</v>
      </c>
      <c r="I93" s="169">
        <v>4017223</v>
      </c>
      <c r="J93" s="169">
        <v>4017785</v>
      </c>
      <c r="K93" s="169">
        <v>4017780</v>
      </c>
      <c r="L93" s="182"/>
      <c r="M93" s="182"/>
      <c r="N93" s="182"/>
      <c r="O93" s="182"/>
      <c r="P93" s="172"/>
      <c r="Q93" s="172"/>
      <c r="R93" s="172"/>
      <c r="S93" s="172"/>
      <c r="T93" s="172"/>
      <c r="U93" s="172"/>
      <c r="V93" s="172"/>
      <c r="X93" s="169"/>
      <c r="Y93" s="169"/>
      <c r="Z93" s="169"/>
      <c r="AA93" s="170"/>
      <c r="AW93" s="11" t="s">
        <v>694</v>
      </c>
    </row>
    <row r="94" spans="1:49" s="11" customFormat="1">
      <c r="A94" s="168" t="s">
        <v>903</v>
      </c>
      <c r="B94" s="169">
        <v>4016884</v>
      </c>
      <c r="C94" s="170" t="s">
        <v>591</v>
      </c>
      <c r="D94" s="170" t="s">
        <v>593</v>
      </c>
      <c r="E94" s="171">
        <v>46246</v>
      </c>
      <c r="F94" s="171">
        <v>46265</v>
      </c>
      <c r="H94" s="169">
        <v>4017227</v>
      </c>
      <c r="I94" s="169">
        <v>4017223</v>
      </c>
      <c r="J94" s="169">
        <v>4017785</v>
      </c>
      <c r="K94" s="169">
        <v>4017780</v>
      </c>
      <c r="L94" s="182"/>
      <c r="M94" s="182"/>
      <c r="N94" s="182"/>
      <c r="O94" s="182"/>
      <c r="P94" s="172"/>
      <c r="Q94" s="172"/>
      <c r="R94" s="172"/>
      <c r="S94" s="172"/>
      <c r="T94" s="172"/>
      <c r="U94" s="172"/>
      <c r="V94" s="172"/>
      <c r="X94" s="169"/>
      <c r="Y94" s="169"/>
      <c r="Z94" s="169"/>
      <c r="AA94" s="170"/>
      <c r="AW94" s="11" t="s">
        <v>694</v>
      </c>
    </row>
    <row r="95" spans="1:49" s="11" customFormat="1">
      <c r="A95" s="168" t="s">
        <v>903</v>
      </c>
      <c r="B95" s="169">
        <v>4017407</v>
      </c>
      <c r="C95" s="170" t="s">
        <v>596</v>
      </c>
      <c r="D95" s="170" t="s">
        <v>597</v>
      </c>
      <c r="E95" s="171">
        <v>46246</v>
      </c>
      <c r="F95" s="171">
        <v>46265</v>
      </c>
      <c r="H95" s="169">
        <v>4017227</v>
      </c>
      <c r="I95" s="169">
        <v>4017223</v>
      </c>
      <c r="J95" s="169">
        <v>4017785</v>
      </c>
      <c r="K95" s="169">
        <v>4017780</v>
      </c>
      <c r="L95" s="182"/>
      <c r="M95" s="182"/>
      <c r="N95" s="182"/>
      <c r="O95" s="182"/>
      <c r="P95" s="172"/>
      <c r="Q95" s="172"/>
      <c r="R95" s="172"/>
      <c r="S95" s="172"/>
      <c r="T95" s="172"/>
      <c r="U95" s="172"/>
      <c r="V95" s="172"/>
      <c r="X95" s="169"/>
      <c r="Y95" s="169"/>
      <c r="Z95" s="169"/>
      <c r="AA95" s="170"/>
      <c r="AW95" s="11" t="s">
        <v>694</v>
      </c>
    </row>
    <row r="96" spans="1:49" s="11" customFormat="1">
      <c r="A96" s="168" t="s">
        <v>903</v>
      </c>
      <c r="B96" s="169">
        <v>4017422</v>
      </c>
      <c r="C96" s="170" t="s">
        <v>596</v>
      </c>
      <c r="D96" s="170" t="s">
        <v>598</v>
      </c>
      <c r="E96" s="171">
        <v>46246</v>
      </c>
      <c r="F96" s="171">
        <v>46265</v>
      </c>
      <c r="H96" s="169">
        <v>4017227</v>
      </c>
      <c r="I96" s="169">
        <v>4017223</v>
      </c>
      <c r="J96" s="169">
        <v>4017785</v>
      </c>
      <c r="K96" s="169">
        <v>4017780</v>
      </c>
      <c r="L96" s="182"/>
      <c r="M96" s="182"/>
      <c r="N96" s="182"/>
      <c r="O96" s="182"/>
      <c r="P96" s="172"/>
      <c r="Q96" s="172"/>
      <c r="R96" s="172"/>
      <c r="S96" s="172"/>
      <c r="T96" s="172"/>
      <c r="U96" s="172"/>
      <c r="V96" s="172"/>
      <c r="X96" s="169"/>
      <c r="Y96" s="169"/>
      <c r="Z96" s="169"/>
      <c r="AA96" s="170"/>
      <c r="AW96" s="11" t="s">
        <v>694</v>
      </c>
    </row>
    <row r="97" spans="1:49" s="11" customFormat="1">
      <c r="A97" s="168" t="s">
        <v>903</v>
      </c>
      <c r="B97" s="169">
        <v>4017391</v>
      </c>
      <c r="C97" s="170" t="s">
        <v>599</v>
      </c>
      <c r="D97" s="170" t="s">
        <v>600</v>
      </c>
      <c r="E97" s="171">
        <v>46246</v>
      </c>
      <c r="F97" s="171">
        <v>46265</v>
      </c>
      <c r="H97" s="169">
        <v>4017227</v>
      </c>
      <c r="I97" s="169">
        <v>4017223</v>
      </c>
      <c r="J97" s="169">
        <v>4017785</v>
      </c>
      <c r="K97" s="169">
        <v>4017780</v>
      </c>
      <c r="L97" s="182"/>
      <c r="M97" s="182"/>
      <c r="N97" s="182"/>
      <c r="O97" s="182"/>
      <c r="P97" s="172"/>
      <c r="Q97" s="172"/>
      <c r="R97" s="172"/>
      <c r="S97" s="172"/>
      <c r="T97" s="172"/>
      <c r="U97" s="172"/>
      <c r="V97" s="172"/>
      <c r="X97" s="169"/>
      <c r="Y97" s="169"/>
      <c r="Z97" s="169"/>
      <c r="AA97" s="170"/>
      <c r="AW97" s="11" t="s">
        <v>694</v>
      </c>
    </row>
    <row r="98" spans="1:49" s="11" customFormat="1">
      <c r="A98" s="168" t="s">
        <v>903</v>
      </c>
      <c r="B98" s="169">
        <v>4017406</v>
      </c>
      <c r="C98" s="170" t="s">
        <v>599</v>
      </c>
      <c r="D98" s="170" t="s">
        <v>601</v>
      </c>
      <c r="E98" s="171">
        <v>46246</v>
      </c>
      <c r="F98" s="171">
        <v>46265</v>
      </c>
      <c r="H98" s="169">
        <v>4017227</v>
      </c>
      <c r="I98" s="169">
        <v>4017223</v>
      </c>
      <c r="J98" s="169">
        <v>4017785</v>
      </c>
      <c r="K98" s="169">
        <v>4017780</v>
      </c>
      <c r="L98" s="182"/>
      <c r="M98" s="182"/>
      <c r="N98" s="182"/>
      <c r="O98" s="182"/>
      <c r="P98" s="172"/>
      <c r="Q98" s="172"/>
      <c r="R98" s="172"/>
      <c r="S98" s="172"/>
      <c r="T98" s="172"/>
      <c r="U98" s="172"/>
      <c r="V98" s="172"/>
      <c r="X98" s="169"/>
      <c r="Y98" s="169"/>
      <c r="Z98" s="169"/>
      <c r="AA98" s="170"/>
      <c r="AW98" s="11" t="s">
        <v>694</v>
      </c>
    </row>
    <row r="99" spans="1:49" s="11" customFormat="1">
      <c r="A99" s="168" t="s">
        <v>903</v>
      </c>
      <c r="B99" s="169">
        <v>4017411</v>
      </c>
      <c r="C99" s="170" t="s">
        <v>599</v>
      </c>
      <c r="D99" s="170" t="s">
        <v>602</v>
      </c>
      <c r="E99" s="171">
        <v>46246</v>
      </c>
      <c r="F99" s="171">
        <v>46265</v>
      </c>
      <c r="H99" s="169">
        <v>4017227</v>
      </c>
      <c r="I99" s="169">
        <v>4017223</v>
      </c>
      <c r="J99" s="169">
        <v>4017785</v>
      </c>
      <c r="K99" s="169">
        <v>4017780</v>
      </c>
      <c r="L99" s="182"/>
      <c r="M99" s="182"/>
      <c r="N99" s="182"/>
      <c r="O99" s="182"/>
      <c r="P99" s="172"/>
      <c r="Q99" s="172"/>
      <c r="R99" s="172"/>
      <c r="S99" s="172"/>
      <c r="T99" s="172"/>
      <c r="U99" s="172"/>
      <c r="V99" s="172"/>
      <c r="X99" s="169"/>
      <c r="Y99" s="169"/>
      <c r="Z99" s="169"/>
      <c r="AA99" s="170"/>
      <c r="AW99" s="11" t="s">
        <v>694</v>
      </c>
    </row>
    <row r="100" spans="1:49" s="11" customFormat="1">
      <c r="A100" s="168" t="s">
        <v>903</v>
      </c>
      <c r="B100" s="169">
        <v>4017421</v>
      </c>
      <c r="C100" s="170" t="s">
        <v>599</v>
      </c>
      <c r="D100" s="170" t="s">
        <v>603</v>
      </c>
      <c r="E100" s="171">
        <v>46246</v>
      </c>
      <c r="F100" s="171">
        <v>46265</v>
      </c>
      <c r="H100" s="169">
        <v>4017227</v>
      </c>
      <c r="I100" s="169">
        <v>4017223</v>
      </c>
      <c r="J100" s="169">
        <v>4017785</v>
      </c>
      <c r="K100" s="169">
        <v>4017780</v>
      </c>
      <c r="L100" s="182"/>
      <c r="M100" s="182"/>
      <c r="N100" s="182"/>
      <c r="O100" s="182"/>
      <c r="P100" s="172"/>
      <c r="Q100" s="172"/>
      <c r="R100" s="172"/>
      <c r="S100" s="172"/>
      <c r="T100" s="172"/>
      <c r="U100" s="172"/>
      <c r="V100" s="172"/>
      <c r="X100" s="169"/>
      <c r="Y100" s="169"/>
      <c r="Z100" s="169"/>
      <c r="AA100" s="170"/>
      <c r="AW100" s="11" t="s">
        <v>694</v>
      </c>
    </row>
    <row r="101" spans="1:49" s="11" customFormat="1">
      <c r="A101" s="168" t="s">
        <v>903</v>
      </c>
      <c r="B101" s="169">
        <v>4017416</v>
      </c>
      <c r="C101" s="170" t="s">
        <v>599</v>
      </c>
      <c r="D101" s="170" t="s">
        <v>604</v>
      </c>
      <c r="E101" s="171">
        <v>46246</v>
      </c>
      <c r="F101" s="171">
        <v>46265</v>
      </c>
      <c r="H101" s="169">
        <v>4017227</v>
      </c>
      <c r="I101" s="169">
        <v>4017223</v>
      </c>
      <c r="J101" s="169">
        <v>4017785</v>
      </c>
      <c r="K101" s="169">
        <v>4017780</v>
      </c>
      <c r="L101" s="182"/>
      <c r="M101" s="182"/>
      <c r="N101" s="182"/>
      <c r="O101" s="182"/>
      <c r="P101" s="172"/>
      <c r="Q101" s="172"/>
      <c r="R101" s="172"/>
      <c r="S101" s="172"/>
      <c r="T101" s="172"/>
      <c r="U101" s="172"/>
      <c r="V101" s="172"/>
      <c r="X101" s="169"/>
      <c r="Y101" s="169"/>
      <c r="Z101" s="169"/>
      <c r="AA101" s="170"/>
      <c r="AW101" s="11" t="s">
        <v>694</v>
      </c>
    </row>
    <row r="102" spans="1:49" s="11" customFormat="1">
      <c r="A102" s="184" t="s">
        <v>904</v>
      </c>
      <c r="B102" s="169">
        <v>4016974</v>
      </c>
      <c r="C102" s="170" t="s">
        <v>436</v>
      </c>
      <c r="D102" s="170" t="s">
        <v>437</v>
      </c>
      <c r="E102" s="171">
        <v>46211</v>
      </c>
      <c r="F102" s="171">
        <v>46265</v>
      </c>
      <c r="H102" s="169">
        <v>4017339</v>
      </c>
      <c r="I102" s="169">
        <v>4017398</v>
      </c>
      <c r="J102" s="169">
        <v>4015924</v>
      </c>
      <c r="K102" s="169">
        <v>4015922</v>
      </c>
      <c r="L102" s="169">
        <v>4017424</v>
      </c>
      <c r="M102" s="169">
        <v>4017419</v>
      </c>
      <c r="N102" s="169">
        <v>4017414</v>
      </c>
      <c r="O102" s="169"/>
      <c r="P102" s="169"/>
      <c r="Q102" s="169"/>
      <c r="R102" s="169"/>
      <c r="S102" s="172"/>
      <c r="T102" s="172"/>
      <c r="U102" s="172"/>
      <c r="V102" s="172"/>
      <c r="X102" s="169"/>
      <c r="Y102" s="169"/>
      <c r="Z102" s="169"/>
      <c r="AA102" s="170"/>
      <c r="AW102" s="11" t="s">
        <v>694</v>
      </c>
    </row>
    <row r="103" spans="1:49" s="11" customFormat="1">
      <c r="A103" s="184" t="s">
        <v>904</v>
      </c>
      <c r="B103" s="169">
        <v>4016989</v>
      </c>
      <c r="C103" s="170" t="s">
        <v>436</v>
      </c>
      <c r="D103" s="170" t="s">
        <v>438</v>
      </c>
      <c r="E103" s="171">
        <v>46211</v>
      </c>
      <c r="F103" s="171">
        <v>46265</v>
      </c>
      <c r="H103" s="169">
        <v>4017339</v>
      </c>
      <c r="I103" s="169">
        <v>4017398</v>
      </c>
      <c r="J103" s="169">
        <v>4015924</v>
      </c>
      <c r="K103" s="169">
        <v>4015922</v>
      </c>
      <c r="L103" s="169">
        <v>4017424</v>
      </c>
      <c r="M103" s="169">
        <v>4017419</v>
      </c>
      <c r="N103" s="169">
        <v>4017414</v>
      </c>
      <c r="O103" s="169"/>
      <c r="P103" s="169"/>
      <c r="Q103" s="169"/>
      <c r="R103" s="169"/>
      <c r="S103" s="172"/>
      <c r="T103" s="172"/>
      <c r="U103" s="172"/>
      <c r="V103" s="172"/>
      <c r="X103" s="169"/>
      <c r="Y103" s="169"/>
      <c r="Z103" s="169"/>
      <c r="AA103" s="170"/>
      <c r="AW103" s="11" t="s">
        <v>694</v>
      </c>
    </row>
    <row r="104" spans="1:49" s="11" customFormat="1">
      <c r="A104" s="184" t="s">
        <v>904</v>
      </c>
      <c r="B104" s="169">
        <v>4016978</v>
      </c>
      <c r="C104" s="170" t="s">
        <v>436</v>
      </c>
      <c r="D104" s="170" t="s">
        <v>439</v>
      </c>
      <c r="E104" s="171">
        <v>46211</v>
      </c>
      <c r="F104" s="171">
        <v>46265</v>
      </c>
      <c r="H104" s="169">
        <v>4017339</v>
      </c>
      <c r="I104" s="169">
        <v>4017398</v>
      </c>
      <c r="J104" s="169">
        <v>4015924</v>
      </c>
      <c r="K104" s="169">
        <v>4015922</v>
      </c>
      <c r="L104" s="169">
        <v>4017424</v>
      </c>
      <c r="M104" s="169">
        <v>4017419</v>
      </c>
      <c r="N104" s="169">
        <v>4017414</v>
      </c>
      <c r="O104" s="169"/>
      <c r="P104" s="169"/>
      <c r="Q104" s="169"/>
      <c r="R104" s="169"/>
      <c r="S104" s="172"/>
      <c r="T104" s="172"/>
      <c r="U104" s="172"/>
      <c r="V104" s="172"/>
      <c r="X104" s="169"/>
      <c r="Y104" s="169"/>
      <c r="Z104" s="169"/>
      <c r="AA104" s="170"/>
      <c r="AW104" s="11" t="s">
        <v>694</v>
      </c>
    </row>
    <row r="105" spans="1:49" s="11" customFormat="1">
      <c r="A105" s="184" t="s">
        <v>904</v>
      </c>
      <c r="B105" s="169">
        <v>4016994</v>
      </c>
      <c r="C105" s="170" t="s">
        <v>436</v>
      </c>
      <c r="D105" s="170" t="s">
        <v>440</v>
      </c>
      <c r="E105" s="171">
        <v>46211</v>
      </c>
      <c r="F105" s="171">
        <v>46265</v>
      </c>
      <c r="H105" s="169">
        <v>4017339</v>
      </c>
      <c r="I105" s="169">
        <v>4017398</v>
      </c>
      <c r="J105" s="169">
        <v>4015924</v>
      </c>
      <c r="K105" s="169">
        <v>4015922</v>
      </c>
      <c r="L105" s="169">
        <v>4017424</v>
      </c>
      <c r="M105" s="169">
        <v>4017419</v>
      </c>
      <c r="N105" s="169">
        <v>4017414</v>
      </c>
      <c r="O105" s="169"/>
      <c r="P105" s="169"/>
      <c r="Q105" s="169"/>
      <c r="R105" s="169"/>
      <c r="S105" s="172"/>
      <c r="T105" s="172"/>
      <c r="U105" s="172"/>
      <c r="V105" s="172"/>
      <c r="X105" s="169"/>
      <c r="Y105" s="169"/>
      <c r="Z105" s="169"/>
      <c r="AA105" s="170"/>
      <c r="AW105" s="11" t="s">
        <v>694</v>
      </c>
    </row>
    <row r="106" spans="1:49" s="11" customFormat="1">
      <c r="A106" s="184" t="s">
        <v>904</v>
      </c>
      <c r="B106" s="169">
        <v>4017060</v>
      </c>
      <c r="C106" s="170" t="s">
        <v>436</v>
      </c>
      <c r="D106" s="170" t="s">
        <v>441</v>
      </c>
      <c r="E106" s="171">
        <v>46211</v>
      </c>
      <c r="F106" s="171">
        <v>46265</v>
      </c>
      <c r="H106" s="169">
        <v>4017339</v>
      </c>
      <c r="I106" s="169">
        <v>4017398</v>
      </c>
      <c r="J106" s="169">
        <v>4015924</v>
      </c>
      <c r="K106" s="169">
        <v>4015922</v>
      </c>
      <c r="L106" s="169">
        <v>4017424</v>
      </c>
      <c r="M106" s="169">
        <v>4017419</v>
      </c>
      <c r="N106" s="169">
        <v>4017414</v>
      </c>
      <c r="O106" s="169"/>
      <c r="P106" s="169"/>
      <c r="Q106" s="169"/>
      <c r="R106" s="169"/>
      <c r="S106" s="172"/>
      <c r="T106" s="172"/>
      <c r="U106" s="172"/>
      <c r="V106" s="172"/>
      <c r="X106" s="169"/>
      <c r="Y106" s="169"/>
      <c r="Z106" s="169"/>
      <c r="AA106" s="170"/>
      <c r="AW106" s="11" t="s">
        <v>694</v>
      </c>
    </row>
    <row r="107" spans="1:49" s="11" customFormat="1">
      <c r="A107" s="184" t="s">
        <v>904</v>
      </c>
      <c r="B107" s="169">
        <v>4017063</v>
      </c>
      <c r="C107" s="170" t="s">
        <v>436</v>
      </c>
      <c r="D107" s="170" t="s">
        <v>442</v>
      </c>
      <c r="E107" s="171">
        <v>46211</v>
      </c>
      <c r="F107" s="171">
        <v>46265</v>
      </c>
      <c r="H107" s="169">
        <v>4017339</v>
      </c>
      <c r="I107" s="169">
        <v>4017398</v>
      </c>
      <c r="J107" s="169">
        <v>4015924</v>
      </c>
      <c r="K107" s="169">
        <v>4015922</v>
      </c>
      <c r="L107" s="169">
        <v>4017424</v>
      </c>
      <c r="M107" s="169">
        <v>4017419</v>
      </c>
      <c r="N107" s="169">
        <v>4017414</v>
      </c>
      <c r="O107" s="169"/>
      <c r="P107" s="169"/>
      <c r="Q107" s="169"/>
      <c r="R107" s="169"/>
      <c r="S107" s="172"/>
      <c r="T107" s="172"/>
      <c r="U107" s="172"/>
      <c r="V107" s="172"/>
      <c r="X107" s="169"/>
      <c r="Y107" s="169"/>
      <c r="Z107" s="169"/>
      <c r="AA107" s="170"/>
      <c r="AW107" s="11" t="s">
        <v>694</v>
      </c>
    </row>
    <row r="108" spans="1:49" s="11" customFormat="1">
      <c r="A108" s="168" t="s">
        <v>905</v>
      </c>
      <c r="B108" s="179">
        <v>4017646</v>
      </c>
      <c r="C108" s="180" t="s">
        <v>256</v>
      </c>
      <c r="D108" s="180" t="s">
        <v>257</v>
      </c>
      <c r="E108" s="171">
        <v>46246</v>
      </c>
      <c r="F108" s="171">
        <v>46265</v>
      </c>
      <c r="H108" s="169">
        <v>4017405</v>
      </c>
      <c r="I108" s="169">
        <v>4017967</v>
      </c>
      <c r="J108" s="169">
        <v>4017963</v>
      </c>
      <c r="K108" s="172"/>
      <c r="L108" s="172"/>
      <c r="M108" s="172"/>
      <c r="N108" s="172"/>
      <c r="O108" s="172"/>
      <c r="P108" s="172"/>
      <c r="Q108" s="172"/>
      <c r="R108" s="172"/>
      <c r="S108" s="172"/>
      <c r="T108" s="172"/>
      <c r="U108" s="172"/>
      <c r="V108" s="172"/>
      <c r="X108" s="169"/>
      <c r="Y108" s="169"/>
      <c r="Z108" s="169"/>
      <c r="AA108" s="170"/>
      <c r="AW108" s="11" t="s">
        <v>694</v>
      </c>
    </row>
    <row r="109" spans="1:49" s="11" customFormat="1">
      <c r="A109" s="168" t="s">
        <v>905</v>
      </c>
      <c r="B109" s="179">
        <v>4017644</v>
      </c>
      <c r="C109" s="180" t="s">
        <v>256</v>
      </c>
      <c r="D109" s="180" t="s">
        <v>258</v>
      </c>
      <c r="E109" s="171">
        <v>46246</v>
      </c>
      <c r="F109" s="171">
        <v>46265</v>
      </c>
      <c r="H109" s="169">
        <v>4017405</v>
      </c>
      <c r="I109" s="169">
        <v>4017967</v>
      </c>
      <c r="J109" s="169">
        <v>4017963</v>
      </c>
      <c r="K109" s="172"/>
      <c r="L109" s="172"/>
      <c r="M109" s="172"/>
      <c r="N109" s="172"/>
      <c r="O109" s="172"/>
      <c r="P109" s="172"/>
      <c r="Q109" s="172"/>
      <c r="R109" s="172"/>
      <c r="S109" s="172"/>
      <c r="T109" s="172"/>
      <c r="U109" s="172"/>
      <c r="V109" s="172"/>
      <c r="X109" s="169"/>
      <c r="Y109" s="169"/>
      <c r="Z109" s="169"/>
      <c r="AA109" s="170"/>
      <c r="AW109" s="11" t="s">
        <v>694</v>
      </c>
    </row>
    <row r="110" spans="1:49" s="11" customFormat="1">
      <c r="A110" s="168" t="s">
        <v>905</v>
      </c>
      <c r="B110" s="179">
        <v>4017666</v>
      </c>
      <c r="C110" s="180" t="s">
        <v>259</v>
      </c>
      <c r="D110" s="180" t="s">
        <v>260</v>
      </c>
      <c r="E110" s="171">
        <v>46246</v>
      </c>
      <c r="F110" s="171">
        <v>46265</v>
      </c>
      <c r="H110" s="169">
        <v>4017405</v>
      </c>
      <c r="I110" s="169">
        <v>4017967</v>
      </c>
      <c r="J110" s="169">
        <v>4017963</v>
      </c>
      <c r="K110" s="172"/>
      <c r="L110" s="172"/>
      <c r="M110" s="172"/>
      <c r="N110" s="172"/>
      <c r="O110" s="172"/>
      <c r="P110" s="172"/>
      <c r="Q110" s="172"/>
      <c r="R110" s="172"/>
      <c r="S110" s="172"/>
      <c r="T110" s="172"/>
      <c r="U110" s="172"/>
      <c r="V110" s="172"/>
      <c r="X110" s="169"/>
      <c r="Y110" s="169"/>
      <c r="Z110" s="169"/>
      <c r="AA110" s="170"/>
      <c r="AW110" s="11" t="s">
        <v>694</v>
      </c>
    </row>
    <row r="111" spans="1:49" s="11" customFormat="1">
      <c r="A111" s="184"/>
      <c r="B111" s="169"/>
      <c r="C111" s="170"/>
      <c r="D111" s="170"/>
      <c r="E111" s="171"/>
      <c r="F111" s="171"/>
      <c r="H111" s="169"/>
      <c r="I111" s="172"/>
      <c r="J111" s="172"/>
      <c r="K111" s="172"/>
      <c r="L111" s="172"/>
      <c r="M111" s="172"/>
      <c r="N111" s="172"/>
      <c r="O111" s="172"/>
      <c r="P111" s="172"/>
      <c r="Q111" s="172"/>
      <c r="R111" s="172"/>
      <c r="S111" s="172"/>
      <c r="T111" s="172"/>
      <c r="U111" s="172"/>
      <c r="V111" s="172"/>
      <c r="X111" s="169"/>
      <c r="Y111" s="169"/>
      <c r="Z111" s="169"/>
      <c r="AA111" s="170"/>
      <c r="AW111" s="11" t="s">
        <v>694</v>
      </c>
    </row>
    <row r="112" spans="1:49" s="11" customFormat="1">
      <c r="A112" s="184"/>
      <c r="B112" s="169"/>
      <c r="C112" s="170"/>
      <c r="D112" s="170"/>
      <c r="E112" s="171"/>
      <c r="F112" s="171"/>
      <c r="H112" s="169"/>
      <c r="I112" s="172"/>
      <c r="J112" s="172"/>
      <c r="K112" s="172"/>
      <c r="L112" s="172"/>
      <c r="M112" s="172"/>
      <c r="N112" s="172"/>
      <c r="O112" s="172"/>
      <c r="P112" s="172"/>
      <c r="Q112" s="172"/>
      <c r="R112" s="172"/>
      <c r="S112" s="172"/>
      <c r="T112" s="172"/>
      <c r="U112" s="172"/>
      <c r="V112" s="172"/>
      <c r="X112" s="169"/>
      <c r="Y112" s="169"/>
      <c r="Z112" s="169"/>
      <c r="AA112" s="170"/>
      <c r="AW112" s="11" t="s">
        <v>694</v>
      </c>
    </row>
    <row r="113" spans="1:49" s="11" customFormat="1">
      <c r="A113" s="184"/>
      <c r="B113" s="169"/>
      <c r="C113" s="170"/>
      <c r="D113" s="170"/>
      <c r="E113" s="171"/>
      <c r="F113" s="171"/>
      <c r="H113" s="169"/>
      <c r="I113" s="172"/>
      <c r="J113" s="172"/>
      <c r="K113" s="172"/>
      <c r="L113" s="172"/>
      <c r="M113" s="172"/>
      <c r="N113" s="172"/>
      <c r="O113" s="172"/>
      <c r="P113" s="172"/>
      <c r="Q113" s="172"/>
      <c r="R113" s="172"/>
      <c r="S113" s="172"/>
      <c r="T113" s="172"/>
      <c r="U113" s="172"/>
      <c r="V113" s="172"/>
      <c r="X113" s="169"/>
      <c r="Y113" s="169"/>
      <c r="Z113" s="169"/>
      <c r="AA113" s="170"/>
      <c r="AW113" s="11" t="s">
        <v>694</v>
      </c>
    </row>
    <row r="114" spans="1:49" s="11" customFormat="1">
      <c r="A114" s="184"/>
      <c r="B114" s="169"/>
      <c r="C114" s="170"/>
      <c r="D114" s="170"/>
      <c r="E114" s="171"/>
      <c r="F114" s="171"/>
      <c r="H114" s="169"/>
      <c r="I114" s="172"/>
      <c r="J114" s="172"/>
      <c r="K114" s="172"/>
      <c r="L114" s="172"/>
      <c r="M114" s="172"/>
      <c r="N114" s="172"/>
      <c r="O114" s="172"/>
      <c r="P114" s="172"/>
      <c r="Q114" s="172"/>
      <c r="R114" s="172"/>
      <c r="S114" s="172"/>
      <c r="T114" s="172"/>
      <c r="U114" s="172"/>
      <c r="V114" s="172"/>
      <c r="X114" s="169"/>
      <c r="Y114" s="169"/>
      <c r="Z114" s="169"/>
      <c r="AA114" s="170"/>
      <c r="AW114" s="11" t="s">
        <v>694</v>
      </c>
    </row>
    <row r="115" spans="1:49" s="11" customFormat="1">
      <c r="A115" s="184"/>
      <c r="B115" s="169"/>
      <c r="C115" s="170"/>
      <c r="D115" s="170"/>
      <c r="E115" s="171"/>
      <c r="F115" s="171"/>
      <c r="H115" s="169"/>
      <c r="I115" s="172"/>
      <c r="J115" s="172"/>
      <c r="K115" s="172"/>
      <c r="L115" s="172"/>
      <c r="M115" s="172"/>
      <c r="N115" s="172"/>
      <c r="O115" s="172"/>
      <c r="P115" s="172"/>
      <c r="Q115" s="172"/>
      <c r="R115" s="172"/>
      <c r="S115" s="172"/>
      <c r="T115" s="172"/>
      <c r="U115" s="172"/>
      <c r="V115" s="172"/>
      <c r="X115" s="169"/>
      <c r="Y115" s="169"/>
      <c r="Z115" s="169"/>
      <c r="AA115" s="170"/>
      <c r="AW115" s="11" t="s">
        <v>694</v>
      </c>
    </row>
    <row r="116" spans="1:49" s="11" customFormat="1">
      <c r="A116" s="184"/>
      <c r="B116" s="169"/>
      <c r="C116" s="170"/>
      <c r="D116" s="170"/>
      <c r="E116" s="171"/>
      <c r="F116" s="171"/>
      <c r="H116" s="169"/>
      <c r="I116" s="172"/>
      <c r="J116" s="172"/>
      <c r="K116" s="172"/>
      <c r="L116" s="172"/>
      <c r="M116" s="172"/>
      <c r="N116" s="172"/>
      <c r="O116" s="172"/>
      <c r="P116" s="172"/>
      <c r="Q116" s="172"/>
      <c r="R116" s="172"/>
      <c r="S116" s="172"/>
      <c r="T116" s="172"/>
      <c r="U116" s="172"/>
      <c r="V116" s="172"/>
      <c r="X116" s="169"/>
      <c r="Y116" s="169"/>
      <c r="Z116" s="169"/>
      <c r="AA116" s="170"/>
      <c r="AW116" s="11" t="s">
        <v>694</v>
      </c>
    </row>
    <row r="117" spans="1:49" s="11" customFormat="1">
      <c r="A117" s="184"/>
      <c r="B117" s="169"/>
      <c r="C117" s="170"/>
      <c r="D117" s="170"/>
      <c r="E117" s="171"/>
      <c r="F117" s="171"/>
      <c r="H117" s="169"/>
      <c r="I117" s="172"/>
      <c r="J117" s="172"/>
      <c r="K117" s="172"/>
      <c r="L117" s="172"/>
      <c r="M117" s="172"/>
      <c r="N117" s="172"/>
      <c r="O117" s="172"/>
      <c r="P117" s="172"/>
      <c r="Q117" s="172"/>
      <c r="R117" s="172"/>
      <c r="S117" s="172"/>
      <c r="T117" s="172"/>
      <c r="U117" s="172"/>
      <c r="V117" s="172"/>
      <c r="X117" s="169"/>
      <c r="Y117" s="169"/>
      <c r="Z117" s="169"/>
      <c r="AA117" s="170"/>
      <c r="AW117" s="11" t="s">
        <v>694</v>
      </c>
    </row>
    <row r="118" spans="1:49" s="11" customFormat="1">
      <c r="A118" s="184"/>
      <c r="B118" s="169"/>
      <c r="C118" s="170"/>
      <c r="D118" s="170"/>
      <c r="E118" s="171"/>
      <c r="F118" s="171"/>
      <c r="H118" s="169"/>
      <c r="I118" s="172"/>
      <c r="J118" s="172"/>
      <c r="K118" s="172"/>
      <c r="L118" s="172"/>
      <c r="M118" s="172"/>
      <c r="N118" s="172"/>
      <c r="O118" s="172"/>
      <c r="P118" s="172"/>
      <c r="Q118" s="172"/>
      <c r="R118" s="172"/>
      <c r="S118" s="172"/>
      <c r="T118" s="172"/>
      <c r="U118" s="172"/>
      <c r="V118" s="172"/>
      <c r="X118" s="169"/>
      <c r="Y118" s="169"/>
      <c r="Z118" s="169"/>
      <c r="AA118" s="170"/>
      <c r="AW118" s="11" t="s">
        <v>694</v>
      </c>
    </row>
    <row r="119" spans="1:49" s="11" customFormat="1">
      <c r="A119" s="184"/>
      <c r="B119" s="169"/>
      <c r="C119" s="170"/>
      <c r="D119" s="170"/>
      <c r="E119" s="171"/>
      <c r="F119" s="171"/>
      <c r="H119" s="169"/>
      <c r="I119" s="172"/>
      <c r="J119" s="172"/>
      <c r="K119" s="172"/>
      <c r="L119" s="172"/>
      <c r="M119" s="172"/>
      <c r="N119" s="172"/>
      <c r="O119" s="172"/>
      <c r="P119" s="172"/>
      <c r="Q119" s="172"/>
      <c r="R119" s="172"/>
      <c r="S119" s="172"/>
      <c r="T119" s="172"/>
      <c r="U119" s="172"/>
      <c r="V119" s="172"/>
      <c r="X119" s="169"/>
      <c r="Y119" s="169"/>
      <c r="Z119" s="169"/>
      <c r="AA119" s="170"/>
      <c r="AW119" s="11" t="s">
        <v>694</v>
      </c>
    </row>
    <row r="120" spans="1:49" s="11" customFormat="1">
      <c r="A120" s="184"/>
      <c r="B120" s="169"/>
      <c r="C120" s="170"/>
      <c r="D120" s="170"/>
      <c r="E120" s="171"/>
      <c r="F120" s="171"/>
      <c r="H120" s="169"/>
      <c r="I120" s="172"/>
      <c r="J120" s="172"/>
      <c r="K120" s="172"/>
      <c r="L120" s="172"/>
      <c r="M120" s="172"/>
      <c r="N120" s="172"/>
      <c r="O120" s="172"/>
      <c r="P120" s="172"/>
      <c r="Q120" s="172"/>
      <c r="R120" s="172"/>
      <c r="S120" s="172"/>
      <c r="T120" s="172"/>
      <c r="U120" s="172"/>
      <c r="V120" s="172"/>
      <c r="X120" s="169"/>
      <c r="Y120" s="169"/>
      <c r="Z120" s="169"/>
      <c r="AA120" s="170"/>
      <c r="AW120" s="11" t="s">
        <v>694</v>
      </c>
    </row>
    <row r="121" spans="1:49" s="11" customFormat="1">
      <c r="A121" s="184"/>
      <c r="B121" s="169"/>
      <c r="C121" s="170"/>
      <c r="D121" s="170"/>
      <c r="E121" s="171"/>
      <c r="F121" s="171"/>
      <c r="H121" s="169"/>
      <c r="I121" s="172"/>
      <c r="J121" s="172"/>
      <c r="K121" s="172"/>
      <c r="L121" s="172"/>
      <c r="M121" s="172"/>
      <c r="N121" s="172"/>
      <c r="O121" s="172"/>
      <c r="P121" s="172"/>
      <c r="Q121" s="172"/>
      <c r="R121" s="172"/>
      <c r="S121" s="172"/>
      <c r="T121" s="172"/>
      <c r="U121" s="172"/>
      <c r="V121" s="172"/>
      <c r="X121" s="169"/>
      <c r="Y121" s="169"/>
      <c r="Z121" s="169"/>
      <c r="AA121" s="170"/>
      <c r="AW121" s="11" t="s">
        <v>694</v>
      </c>
    </row>
    <row r="122" spans="1:49" s="11" customFormat="1">
      <c r="A122" s="184"/>
      <c r="B122" s="169"/>
      <c r="C122" s="170"/>
      <c r="D122" s="170"/>
      <c r="E122" s="171"/>
      <c r="F122" s="171"/>
      <c r="H122" s="169"/>
      <c r="I122" s="172"/>
      <c r="J122" s="172"/>
      <c r="K122" s="172"/>
      <c r="L122" s="172"/>
      <c r="M122" s="172"/>
      <c r="N122" s="172"/>
      <c r="O122" s="172"/>
      <c r="P122" s="172"/>
      <c r="Q122" s="172"/>
      <c r="R122" s="172"/>
      <c r="S122" s="172"/>
      <c r="T122" s="172"/>
      <c r="U122" s="172"/>
      <c r="V122" s="172"/>
      <c r="X122" s="169"/>
      <c r="Y122" s="169"/>
      <c r="Z122" s="169"/>
      <c r="AA122" s="170"/>
      <c r="AW122" s="11" t="s">
        <v>694</v>
      </c>
    </row>
    <row r="123" spans="1:49" s="11" customFormat="1">
      <c r="A123" s="184"/>
      <c r="B123" s="169"/>
      <c r="C123" s="170"/>
      <c r="D123" s="170"/>
      <c r="E123" s="171"/>
      <c r="F123" s="171"/>
      <c r="H123" s="169"/>
      <c r="I123" s="172"/>
      <c r="J123" s="172"/>
      <c r="K123" s="172"/>
      <c r="L123" s="172"/>
      <c r="M123" s="172"/>
      <c r="N123" s="172"/>
      <c r="O123" s="172"/>
      <c r="P123" s="172"/>
      <c r="Q123" s="172"/>
      <c r="R123" s="172"/>
      <c r="S123" s="172"/>
      <c r="T123" s="172"/>
      <c r="U123" s="172"/>
      <c r="V123" s="172"/>
      <c r="X123" s="169"/>
      <c r="Y123" s="169"/>
      <c r="Z123" s="169"/>
      <c r="AA123" s="170"/>
      <c r="AW123" s="11" t="s">
        <v>694</v>
      </c>
    </row>
    <row r="124" spans="1:49" s="11" customFormat="1">
      <c r="A124" s="184"/>
      <c r="B124" s="169"/>
      <c r="C124" s="170"/>
      <c r="D124" s="170"/>
      <c r="E124" s="171"/>
      <c r="F124" s="171"/>
      <c r="H124" s="169"/>
      <c r="I124" s="172"/>
      <c r="J124" s="172"/>
      <c r="K124" s="172"/>
      <c r="L124" s="172"/>
      <c r="M124" s="172"/>
      <c r="N124" s="172"/>
      <c r="O124" s="172"/>
      <c r="P124" s="172"/>
      <c r="Q124" s="172"/>
      <c r="R124" s="172"/>
      <c r="S124" s="172"/>
      <c r="T124" s="172"/>
      <c r="U124" s="172"/>
      <c r="V124" s="172"/>
      <c r="X124" s="169"/>
      <c r="Y124" s="169"/>
      <c r="Z124" s="169"/>
      <c r="AA124" s="170"/>
      <c r="AW124" s="11" t="s">
        <v>694</v>
      </c>
    </row>
    <row r="125" spans="1:49" s="11" customFormat="1">
      <c r="A125" s="184"/>
      <c r="B125" s="169"/>
      <c r="C125" s="170"/>
      <c r="D125" s="170"/>
      <c r="E125" s="171"/>
      <c r="F125" s="171"/>
      <c r="H125" s="169"/>
      <c r="I125" s="172"/>
      <c r="J125" s="172"/>
      <c r="K125" s="172"/>
      <c r="L125" s="172"/>
      <c r="M125" s="172"/>
      <c r="N125" s="172"/>
      <c r="O125" s="172"/>
      <c r="P125" s="172"/>
      <c r="Q125" s="172"/>
      <c r="R125" s="172"/>
      <c r="S125" s="172"/>
      <c r="T125" s="172"/>
      <c r="U125" s="172"/>
      <c r="V125" s="172"/>
      <c r="X125" s="169"/>
      <c r="Y125" s="169"/>
      <c r="Z125" s="169"/>
      <c r="AA125" s="170"/>
      <c r="AW125" s="11" t="s">
        <v>694</v>
      </c>
    </row>
    <row r="126" spans="1:49" s="11" customFormat="1">
      <c r="A126" s="184"/>
      <c r="B126" s="169"/>
      <c r="C126" s="170"/>
      <c r="D126" s="170"/>
      <c r="E126" s="171"/>
      <c r="F126" s="171"/>
      <c r="H126" s="169"/>
      <c r="I126" s="172"/>
      <c r="J126" s="172"/>
      <c r="K126" s="172"/>
      <c r="L126" s="172"/>
      <c r="M126" s="172"/>
      <c r="N126" s="172"/>
      <c r="O126" s="172"/>
      <c r="P126" s="172"/>
      <c r="Q126" s="172"/>
      <c r="R126" s="172"/>
      <c r="S126" s="172"/>
      <c r="T126" s="172"/>
      <c r="U126" s="172"/>
      <c r="V126" s="172"/>
      <c r="X126" s="169"/>
      <c r="Y126" s="169"/>
      <c r="Z126" s="169"/>
      <c r="AA126" s="170"/>
      <c r="AW126" s="11" t="s">
        <v>694</v>
      </c>
    </row>
    <row r="127" spans="1:49" s="11" customFormat="1">
      <c r="A127" s="184"/>
      <c r="B127" s="169"/>
      <c r="C127" s="170"/>
      <c r="D127" s="170"/>
      <c r="E127" s="171"/>
      <c r="F127" s="171"/>
      <c r="H127" s="169"/>
      <c r="I127" s="172"/>
      <c r="J127" s="172"/>
      <c r="K127" s="172"/>
      <c r="L127" s="172"/>
      <c r="M127" s="172"/>
      <c r="N127" s="172"/>
      <c r="O127" s="172"/>
      <c r="P127" s="172"/>
      <c r="Q127" s="172"/>
      <c r="R127" s="172"/>
      <c r="S127" s="172"/>
      <c r="T127" s="172"/>
      <c r="U127" s="172"/>
      <c r="V127" s="172"/>
      <c r="X127" s="169"/>
      <c r="Y127" s="169"/>
      <c r="Z127" s="169"/>
      <c r="AA127" s="170"/>
      <c r="AW127" s="11" t="s">
        <v>694</v>
      </c>
    </row>
    <row r="128" spans="1:49" s="11" customFormat="1">
      <c r="A128" s="184"/>
      <c r="B128" s="169"/>
      <c r="C128" s="170"/>
      <c r="D128" s="170"/>
      <c r="E128" s="171"/>
      <c r="F128" s="171"/>
      <c r="H128" s="169"/>
      <c r="I128" s="172"/>
      <c r="J128" s="172"/>
      <c r="K128" s="172"/>
      <c r="L128" s="172"/>
      <c r="M128" s="172"/>
      <c r="N128" s="172"/>
      <c r="O128" s="172"/>
      <c r="P128" s="172"/>
      <c r="Q128" s="172"/>
      <c r="R128" s="172"/>
      <c r="S128" s="172"/>
      <c r="T128" s="172"/>
      <c r="U128" s="172"/>
      <c r="V128" s="172"/>
      <c r="X128" s="169"/>
      <c r="Y128" s="169"/>
      <c r="Z128" s="169"/>
      <c r="AA128" s="170"/>
      <c r="AW128" s="11" t="s">
        <v>694</v>
      </c>
    </row>
    <row r="129" spans="1:49" s="11" customFormat="1">
      <c r="A129" s="184"/>
      <c r="B129" s="169"/>
      <c r="C129" s="170"/>
      <c r="D129" s="170"/>
      <c r="E129" s="171"/>
      <c r="F129" s="171"/>
      <c r="H129" s="169"/>
      <c r="I129" s="172"/>
      <c r="J129" s="172"/>
      <c r="K129" s="172"/>
      <c r="L129" s="172"/>
      <c r="M129" s="172"/>
      <c r="N129" s="172"/>
      <c r="O129" s="172"/>
      <c r="P129" s="172"/>
      <c r="Q129" s="172"/>
      <c r="R129" s="172"/>
      <c r="S129" s="172"/>
      <c r="T129" s="172"/>
      <c r="U129" s="172"/>
      <c r="V129" s="172"/>
      <c r="X129" s="169"/>
      <c r="Y129" s="169"/>
      <c r="Z129" s="169"/>
      <c r="AA129" s="170"/>
      <c r="AW129" s="11" t="s">
        <v>694</v>
      </c>
    </row>
    <row r="130" spans="1:49" s="11" customFormat="1">
      <c r="A130" s="184"/>
      <c r="B130" s="169"/>
      <c r="C130" s="170"/>
      <c r="D130" s="170"/>
      <c r="E130" s="171"/>
      <c r="F130" s="171"/>
      <c r="H130" s="169"/>
      <c r="I130" s="172"/>
      <c r="J130" s="172"/>
      <c r="K130" s="172"/>
      <c r="L130" s="172"/>
      <c r="M130" s="172"/>
      <c r="N130" s="172"/>
      <c r="O130" s="172"/>
      <c r="P130" s="172"/>
      <c r="Q130" s="172"/>
      <c r="R130" s="172"/>
      <c r="S130" s="172"/>
      <c r="T130" s="172"/>
      <c r="U130" s="172"/>
      <c r="V130" s="172"/>
      <c r="X130" s="169"/>
      <c r="Y130" s="169"/>
      <c r="Z130" s="169"/>
      <c r="AA130" s="170"/>
      <c r="AW130" s="11" t="s">
        <v>694</v>
      </c>
    </row>
    <row r="131" spans="1:49" s="11" customFormat="1">
      <c r="A131" s="184"/>
      <c r="B131" s="169"/>
      <c r="C131" s="170"/>
      <c r="D131" s="170"/>
      <c r="E131" s="171"/>
      <c r="F131" s="171"/>
      <c r="H131" s="169"/>
      <c r="I131" s="172"/>
      <c r="J131" s="172"/>
      <c r="K131" s="172"/>
      <c r="L131" s="172"/>
      <c r="M131" s="172"/>
      <c r="N131" s="172"/>
      <c r="O131" s="172"/>
      <c r="P131" s="172"/>
      <c r="Q131" s="172"/>
      <c r="R131" s="172"/>
      <c r="S131" s="172"/>
      <c r="T131" s="172"/>
      <c r="U131" s="172"/>
      <c r="V131" s="172"/>
      <c r="X131" s="169"/>
      <c r="Y131" s="169"/>
      <c r="Z131" s="169"/>
      <c r="AA131" s="170"/>
      <c r="AW131" s="11" t="s">
        <v>694</v>
      </c>
    </row>
    <row r="132" spans="1:49" s="11" customFormat="1">
      <c r="A132" s="184"/>
      <c r="B132" s="169"/>
      <c r="C132" s="170"/>
      <c r="D132" s="170"/>
      <c r="E132" s="171"/>
      <c r="F132" s="171"/>
      <c r="H132" s="169"/>
      <c r="I132" s="172"/>
      <c r="J132" s="172"/>
      <c r="K132" s="172"/>
      <c r="L132" s="172"/>
      <c r="M132" s="172"/>
      <c r="N132" s="172"/>
      <c r="O132" s="172"/>
      <c r="P132" s="172"/>
      <c r="Q132" s="172"/>
      <c r="R132" s="172"/>
      <c r="S132" s="172"/>
      <c r="T132" s="172"/>
      <c r="U132" s="172"/>
      <c r="V132" s="172"/>
      <c r="X132" s="169"/>
      <c r="Y132" s="169"/>
      <c r="Z132" s="169"/>
      <c r="AA132" s="170"/>
      <c r="AW132" s="11" t="s">
        <v>694</v>
      </c>
    </row>
    <row r="133" spans="1:49" s="11" customFormat="1">
      <c r="A133" s="184"/>
      <c r="B133" s="169"/>
      <c r="C133" s="170"/>
      <c r="D133" s="170"/>
      <c r="E133" s="171"/>
      <c r="F133" s="171"/>
      <c r="H133" s="169"/>
      <c r="I133" s="172"/>
      <c r="J133" s="172"/>
      <c r="K133" s="172"/>
      <c r="L133" s="172"/>
      <c r="M133" s="172"/>
      <c r="N133" s="172"/>
      <c r="O133" s="172"/>
      <c r="P133" s="172"/>
      <c r="Q133" s="172"/>
      <c r="R133" s="172"/>
      <c r="S133" s="172"/>
      <c r="T133" s="172"/>
      <c r="U133" s="172"/>
      <c r="V133" s="172"/>
      <c r="X133" s="169"/>
      <c r="Y133" s="169"/>
      <c r="Z133" s="169"/>
      <c r="AA133" s="170"/>
      <c r="AW133" s="11" t="s">
        <v>694</v>
      </c>
    </row>
    <row r="134" spans="1:49" s="11" customFormat="1">
      <c r="A134" s="184"/>
      <c r="B134" s="169"/>
      <c r="C134" s="170"/>
      <c r="D134" s="170"/>
      <c r="E134" s="171"/>
      <c r="F134" s="171"/>
      <c r="H134" s="169"/>
      <c r="I134" s="172"/>
      <c r="J134" s="172"/>
      <c r="K134" s="172"/>
      <c r="L134" s="172"/>
      <c r="M134" s="172"/>
      <c r="N134" s="172"/>
      <c r="O134" s="172"/>
      <c r="P134" s="172"/>
      <c r="Q134" s="172"/>
      <c r="R134" s="172"/>
      <c r="S134" s="172"/>
      <c r="T134" s="172"/>
      <c r="U134" s="172"/>
      <c r="V134" s="172"/>
      <c r="X134" s="169"/>
      <c r="Y134" s="169"/>
      <c r="Z134" s="169"/>
      <c r="AA134" s="170"/>
      <c r="AW134" s="11" t="s">
        <v>694</v>
      </c>
    </row>
    <row r="135" spans="1:49" s="11" customFormat="1">
      <c r="A135" s="184"/>
      <c r="B135" s="169"/>
      <c r="C135" s="170"/>
      <c r="D135" s="170"/>
      <c r="E135" s="171"/>
      <c r="F135" s="171"/>
      <c r="H135" s="169"/>
      <c r="I135" s="172"/>
      <c r="J135" s="172"/>
      <c r="K135" s="172"/>
      <c r="L135" s="172"/>
      <c r="M135" s="172"/>
      <c r="N135" s="172"/>
      <c r="O135" s="172"/>
      <c r="P135" s="172"/>
      <c r="Q135" s="172"/>
      <c r="R135" s="172"/>
      <c r="S135" s="172"/>
      <c r="T135" s="172"/>
      <c r="U135" s="172"/>
      <c r="V135" s="172"/>
      <c r="X135" s="169"/>
      <c r="Y135" s="169"/>
      <c r="Z135" s="169"/>
      <c r="AA135" s="170"/>
      <c r="AW135" s="11" t="s">
        <v>694</v>
      </c>
    </row>
    <row r="136" spans="1:49" s="11" customFormat="1">
      <c r="A136" s="184"/>
      <c r="B136" s="169"/>
      <c r="C136" s="170"/>
      <c r="D136" s="170"/>
      <c r="E136" s="171"/>
      <c r="F136" s="171"/>
      <c r="H136" s="169"/>
      <c r="I136" s="172"/>
      <c r="J136" s="172"/>
      <c r="K136" s="172"/>
      <c r="L136" s="172"/>
      <c r="M136" s="172"/>
      <c r="N136" s="172"/>
      <c r="O136" s="172"/>
      <c r="P136" s="172"/>
      <c r="Q136" s="172"/>
      <c r="R136" s="172"/>
      <c r="S136" s="172"/>
      <c r="T136" s="172"/>
      <c r="U136" s="172"/>
      <c r="V136" s="172"/>
      <c r="X136" s="169"/>
      <c r="Y136" s="169"/>
      <c r="Z136" s="169"/>
      <c r="AA136" s="170"/>
      <c r="AW136" s="11" t="s">
        <v>694</v>
      </c>
    </row>
    <row r="137" spans="1:49" s="11" customFormat="1">
      <c r="A137" s="184"/>
      <c r="B137" s="169"/>
      <c r="C137" s="170"/>
      <c r="D137" s="170"/>
      <c r="E137" s="171"/>
      <c r="F137" s="171"/>
      <c r="H137" s="169"/>
      <c r="I137" s="172"/>
      <c r="J137" s="172"/>
      <c r="K137" s="172"/>
      <c r="L137" s="172"/>
      <c r="M137" s="172"/>
      <c r="N137" s="172"/>
      <c r="O137" s="172"/>
      <c r="P137" s="172"/>
      <c r="Q137" s="172"/>
      <c r="R137" s="172"/>
      <c r="S137" s="172"/>
      <c r="T137" s="172"/>
      <c r="U137" s="172"/>
      <c r="V137" s="172"/>
      <c r="X137" s="169"/>
      <c r="Y137" s="169"/>
      <c r="Z137" s="169"/>
      <c r="AA137" s="170"/>
      <c r="AW137" s="11" t="s">
        <v>694</v>
      </c>
    </row>
    <row r="138" spans="1:49" s="11" customFormat="1">
      <c r="A138" s="184"/>
      <c r="B138" s="169"/>
      <c r="C138" s="170"/>
      <c r="D138" s="170"/>
      <c r="E138" s="171"/>
      <c r="F138" s="171"/>
      <c r="H138" s="169"/>
      <c r="I138" s="172"/>
      <c r="J138" s="172"/>
      <c r="K138" s="172"/>
      <c r="L138" s="172"/>
      <c r="M138" s="172"/>
      <c r="N138" s="172"/>
      <c r="O138" s="172"/>
      <c r="P138" s="172"/>
      <c r="Q138" s="172"/>
      <c r="R138" s="172"/>
      <c r="S138" s="172"/>
      <c r="T138" s="172"/>
      <c r="U138" s="172"/>
      <c r="V138" s="172"/>
      <c r="X138" s="169"/>
      <c r="Y138" s="169"/>
      <c r="Z138" s="169"/>
      <c r="AA138" s="170"/>
      <c r="AW138" s="11" t="s">
        <v>694</v>
      </c>
    </row>
    <row r="139" spans="1:49" s="11" customFormat="1">
      <c r="A139" s="184"/>
      <c r="B139" s="169"/>
      <c r="C139" s="170"/>
      <c r="D139" s="170"/>
      <c r="E139" s="171"/>
      <c r="F139" s="171"/>
      <c r="H139" s="169"/>
      <c r="I139" s="172"/>
      <c r="J139" s="172"/>
      <c r="K139" s="172"/>
      <c r="L139" s="172"/>
      <c r="M139" s="172"/>
      <c r="N139" s="172"/>
      <c r="O139" s="172"/>
      <c r="P139" s="172"/>
      <c r="Q139" s="172"/>
      <c r="R139" s="172"/>
      <c r="S139" s="172"/>
      <c r="T139" s="172"/>
      <c r="U139" s="172"/>
      <c r="V139" s="172"/>
      <c r="X139" s="169"/>
      <c r="Y139" s="169"/>
      <c r="Z139" s="169"/>
      <c r="AA139" s="170"/>
      <c r="AW139" s="11" t="s">
        <v>694</v>
      </c>
    </row>
    <row r="140" spans="1:49" s="11" customFormat="1">
      <c r="A140" s="184"/>
      <c r="B140" s="169"/>
      <c r="C140" s="170"/>
      <c r="D140" s="170"/>
      <c r="E140" s="171"/>
      <c r="F140" s="171"/>
      <c r="H140" s="169"/>
      <c r="I140" s="172"/>
      <c r="J140" s="172"/>
      <c r="K140" s="172"/>
      <c r="L140" s="172"/>
      <c r="M140" s="172"/>
      <c r="N140" s="172"/>
      <c r="O140" s="172"/>
      <c r="P140" s="172"/>
      <c r="Q140" s="172"/>
      <c r="R140" s="172"/>
      <c r="S140" s="172"/>
      <c r="T140" s="172"/>
      <c r="U140" s="172"/>
      <c r="V140" s="172"/>
      <c r="X140" s="169"/>
      <c r="Y140" s="169"/>
      <c r="Z140" s="169"/>
      <c r="AA140" s="170"/>
      <c r="AW140" s="11" t="s">
        <v>694</v>
      </c>
    </row>
    <row r="141" spans="1:49" s="11" customFormat="1">
      <c r="A141" s="184"/>
      <c r="B141" s="169"/>
      <c r="C141" s="170"/>
      <c r="D141" s="170"/>
      <c r="E141" s="171"/>
      <c r="F141" s="171"/>
      <c r="H141" s="169"/>
      <c r="I141" s="172"/>
      <c r="J141" s="172"/>
      <c r="K141" s="172"/>
      <c r="L141" s="172"/>
      <c r="M141" s="172"/>
      <c r="N141" s="172"/>
      <c r="O141" s="172"/>
      <c r="P141" s="172"/>
      <c r="Q141" s="172"/>
      <c r="R141" s="172"/>
      <c r="S141" s="172"/>
      <c r="T141" s="172"/>
      <c r="U141" s="172"/>
      <c r="V141" s="172"/>
      <c r="X141" s="169"/>
      <c r="Y141" s="169"/>
      <c r="Z141" s="169"/>
      <c r="AA141" s="170"/>
      <c r="AW141" s="11" t="s">
        <v>694</v>
      </c>
    </row>
    <row r="142" spans="1:49" s="11" customFormat="1">
      <c r="A142" s="184"/>
      <c r="B142" s="169"/>
      <c r="C142" s="170"/>
      <c r="D142" s="170"/>
      <c r="E142" s="171"/>
      <c r="F142" s="171"/>
      <c r="H142" s="169"/>
      <c r="I142" s="172"/>
      <c r="J142" s="172"/>
      <c r="K142" s="172"/>
      <c r="L142" s="172"/>
      <c r="M142" s="172"/>
      <c r="N142" s="172"/>
      <c r="O142" s="172"/>
      <c r="P142" s="172"/>
      <c r="Q142" s="172"/>
      <c r="R142" s="172"/>
      <c r="S142" s="172"/>
      <c r="T142" s="172"/>
      <c r="U142" s="172"/>
      <c r="V142" s="172"/>
      <c r="X142" s="169"/>
      <c r="Y142" s="169"/>
      <c r="Z142" s="169"/>
      <c r="AA142" s="170"/>
      <c r="AW142" s="11" t="s">
        <v>694</v>
      </c>
    </row>
    <row r="143" spans="1:49" s="11" customFormat="1">
      <c r="A143" s="184"/>
      <c r="B143" s="169"/>
      <c r="C143" s="170"/>
      <c r="D143" s="170"/>
      <c r="E143" s="171"/>
      <c r="F143" s="171"/>
      <c r="H143" s="169"/>
      <c r="I143" s="172"/>
      <c r="J143" s="172"/>
      <c r="K143" s="172"/>
      <c r="L143" s="172"/>
      <c r="M143" s="172"/>
      <c r="N143" s="172"/>
      <c r="O143" s="172"/>
      <c r="P143" s="172"/>
      <c r="Q143" s="172"/>
      <c r="R143" s="172"/>
      <c r="S143" s="172"/>
      <c r="T143" s="172"/>
      <c r="U143" s="172"/>
      <c r="V143" s="172"/>
      <c r="X143" s="169"/>
      <c r="Y143" s="169"/>
      <c r="Z143" s="169"/>
      <c r="AA143" s="170"/>
      <c r="AW143" s="11" t="s">
        <v>694</v>
      </c>
    </row>
    <row r="144" spans="1:49" s="11" customFormat="1">
      <c r="A144" s="184"/>
      <c r="B144" s="169"/>
      <c r="C144" s="170"/>
      <c r="D144" s="170"/>
      <c r="E144" s="171"/>
      <c r="F144" s="171"/>
      <c r="H144" s="169"/>
      <c r="I144" s="172"/>
      <c r="J144" s="172"/>
      <c r="K144" s="172"/>
      <c r="L144" s="172"/>
      <c r="M144" s="172"/>
      <c r="N144" s="172"/>
      <c r="O144" s="172"/>
      <c r="P144" s="172"/>
      <c r="Q144" s="172"/>
      <c r="R144" s="172"/>
      <c r="S144" s="172"/>
      <c r="T144" s="172"/>
      <c r="U144" s="172"/>
      <c r="V144" s="172"/>
      <c r="X144" s="169"/>
      <c r="Y144" s="169"/>
      <c r="Z144" s="169"/>
      <c r="AA144" s="170"/>
      <c r="AW144" s="11" t="s">
        <v>694</v>
      </c>
    </row>
    <row r="145" spans="1:49" s="11" customFormat="1">
      <c r="A145" s="184"/>
      <c r="B145" s="169"/>
      <c r="C145" s="170"/>
      <c r="D145" s="170"/>
      <c r="E145" s="171"/>
      <c r="F145" s="171"/>
      <c r="H145" s="169"/>
      <c r="I145" s="172"/>
      <c r="J145" s="172"/>
      <c r="K145" s="172"/>
      <c r="L145" s="172"/>
      <c r="M145" s="172"/>
      <c r="N145" s="172"/>
      <c r="O145" s="172"/>
      <c r="P145" s="172"/>
      <c r="Q145" s="172"/>
      <c r="R145" s="172"/>
      <c r="S145" s="172"/>
      <c r="T145" s="172"/>
      <c r="U145" s="172"/>
      <c r="V145" s="172"/>
      <c r="X145" s="169"/>
      <c r="Y145" s="169"/>
      <c r="Z145" s="169"/>
      <c r="AA145" s="170"/>
      <c r="AW145" s="11" t="s">
        <v>694</v>
      </c>
    </row>
    <row r="146" spans="1:49" s="11" customFormat="1">
      <c r="A146" s="184"/>
      <c r="B146" s="169"/>
      <c r="C146" s="170"/>
      <c r="D146" s="170"/>
      <c r="E146" s="171"/>
      <c r="F146" s="171"/>
      <c r="H146" s="169"/>
      <c r="I146" s="172"/>
      <c r="J146" s="172"/>
      <c r="K146" s="172"/>
      <c r="L146" s="172"/>
      <c r="M146" s="172"/>
      <c r="N146" s="172"/>
      <c r="O146" s="172"/>
      <c r="P146" s="172"/>
      <c r="Q146" s="172"/>
      <c r="R146" s="172"/>
      <c r="S146" s="172"/>
      <c r="T146" s="172"/>
      <c r="U146" s="172"/>
      <c r="V146" s="172"/>
      <c r="X146" s="169"/>
      <c r="Y146" s="169"/>
      <c r="Z146" s="169"/>
      <c r="AA146" s="170"/>
      <c r="AW146" s="11" t="s">
        <v>694</v>
      </c>
    </row>
    <row r="147" spans="1:49" s="11" customFormat="1">
      <c r="A147" s="184"/>
      <c r="B147" s="169"/>
      <c r="C147" s="170"/>
      <c r="D147" s="170"/>
      <c r="E147" s="171"/>
      <c r="F147" s="171"/>
      <c r="H147" s="169"/>
      <c r="I147" s="172"/>
      <c r="J147" s="172"/>
      <c r="K147" s="172"/>
      <c r="L147" s="172"/>
      <c r="M147" s="172"/>
      <c r="N147" s="172"/>
      <c r="O147" s="172"/>
      <c r="P147" s="172"/>
      <c r="Q147" s="172"/>
      <c r="R147" s="172"/>
      <c r="S147" s="172"/>
      <c r="T147" s="172"/>
      <c r="U147" s="172"/>
      <c r="V147" s="172"/>
      <c r="X147" s="169"/>
      <c r="Y147" s="169"/>
      <c r="Z147" s="169"/>
      <c r="AA147" s="170"/>
      <c r="AW147" s="11" t="s">
        <v>694</v>
      </c>
    </row>
    <row r="148" spans="1:49" s="11" customFormat="1">
      <c r="A148" s="184"/>
      <c r="B148" s="169"/>
      <c r="C148" s="170"/>
      <c r="D148" s="170"/>
      <c r="E148" s="171"/>
      <c r="F148" s="171"/>
      <c r="H148" s="169"/>
      <c r="I148" s="172"/>
      <c r="J148" s="172"/>
      <c r="K148" s="172"/>
      <c r="L148" s="172"/>
      <c r="M148" s="172"/>
      <c r="N148" s="172"/>
      <c r="O148" s="172"/>
      <c r="P148" s="172"/>
      <c r="Q148" s="172"/>
      <c r="R148" s="172"/>
      <c r="S148" s="172"/>
      <c r="T148" s="172"/>
      <c r="U148" s="172"/>
      <c r="V148" s="172"/>
      <c r="X148" s="169"/>
      <c r="Y148" s="169"/>
      <c r="Z148" s="169"/>
      <c r="AA148" s="170"/>
      <c r="AW148" s="11" t="s">
        <v>694</v>
      </c>
    </row>
    <row r="149" spans="1:49" s="11" customFormat="1">
      <c r="A149" s="184"/>
      <c r="B149" s="169"/>
      <c r="C149" s="170"/>
      <c r="D149" s="170"/>
      <c r="E149" s="171"/>
      <c r="F149" s="171"/>
      <c r="H149" s="169"/>
      <c r="I149" s="172"/>
      <c r="J149" s="172"/>
      <c r="K149" s="172"/>
      <c r="L149" s="172"/>
      <c r="M149" s="172"/>
      <c r="N149" s="172"/>
      <c r="O149" s="172"/>
      <c r="P149" s="172"/>
      <c r="Q149" s="172"/>
      <c r="R149" s="172"/>
      <c r="S149" s="172"/>
      <c r="T149" s="172"/>
      <c r="U149" s="172"/>
      <c r="V149" s="172"/>
      <c r="X149" s="169"/>
      <c r="Y149" s="169"/>
      <c r="Z149" s="169"/>
      <c r="AA149" s="170"/>
      <c r="AW149" s="11" t="s">
        <v>694</v>
      </c>
    </row>
    <row r="150" spans="1:49" s="11" customFormat="1">
      <c r="A150" s="184"/>
      <c r="B150" s="169"/>
      <c r="C150" s="170"/>
      <c r="D150" s="170"/>
      <c r="E150" s="171"/>
      <c r="F150" s="171"/>
      <c r="H150" s="169"/>
      <c r="I150" s="172"/>
      <c r="J150" s="172"/>
      <c r="K150" s="172"/>
      <c r="L150" s="172"/>
      <c r="M150" s="172"/>
      <c r="N150" s="172"/>
      <c r="O150" s="172"/>
      <c r="P150" s="172"/>
      <c r="Q150" s="172"/>
      <c r="R150" s="172"/>
      <c r="S150" s="172"/>
      <c r="T150" s="172"/>
      <c r="U150" s="172"/>
      <c r="V150" s="172"/>
      <c r="X150" s="169"/>
      <c r="Y150" s="169"/>
      <c r="Z150" s="169"/>
      <c r="AA150" s="170"/>
      <c r="AW150" s="11" t="s">
        <v>694</v>
      </c>
    </row>
    <row r="151" spans="1:49" s="11" customFormat="1">
      <c r="A151" s="184"/>
      <c r="B151" s="169"/>
      <c r="C151" s="170"/>
      <c r="D151" s="170"/>
      <c r="E151" s="171"/>
      <c r="F151" s="171"/>
      <c r="H151" s="169"/>
      <c r="I151" s="172"/>
      <c r="J151" s="172"/>
      <c r="K151" s="172"/>
      <c r="L151" s="172"/>
      <c r="M151" s="172"/>
      <c r="N151" s="172"/>
      <c r="O151" s="172"/>
      <c r="P151" s="172"/>
      <c r="Q151" s="172"/>
      <c r="R151" s="172"/>
      <c r="S151" s="172"/>
      <c r="T151" s="172"/>
      <c r="U151" s="172"/>
      <c r="V151" s="172"/>
      <c r="X151" s="169"/>
      <c r="Y151" s="169"/>
      <c r="Z151" s="169"/>
      <c r="AA151" s="170"/>
      <c r="AW151" s="11" t="s">
        <v>694</v>
      </c>
    </row>
    <row r="152" spans="1:49" s="11" customFormat="1">
      <c r="A152" s="184"/>
      <c r="B152" s="169"/>
      <c r="C152" s="170"/>
      <c r="D152" s="170"/>
      <c r="E152" s="171"/>
      <c r="F152" s="171"/>
      <c r="H152" s="169"/>
      <c r="I152" s="172"/>
      <c r="J152" s="172"/>
      <c r="K152" s="172"/>
      <c r="L152" s="172"/>
      <c r="M152" s="172"/>
      <c r="N152" s="172"/>
      <c r="O152" s="172"/>
      <c r="P152" s="172"/>
      <c r="Q152" s="172"/>
      <c r="R152" s="172"/>
      <c r="S152" s="172"/>
      <c r="T152" s="172"/>
      <c r="U152" s="172"/>
      <c r="V152" s="172"/>
      <c r="X152" s="169"/>
      <c r="Y152" s="169"/>
      <c r="Z152" s="169"/>
      <c r="AA152" s="170"/>
      <c r="AW152" s="11" t="s">
        <v>694</v>
      </c>
    </row>
    <row r="153" spans="1:49" s="11" customFormat="1">
      <c r="A153" s="184"/>
      <c r="B153" s="169"/>
      <c r="C153" s="170"/>
      <c r="D153" s="170"/>
      <c r="E153" s="171"/>
      <c r="F153" s="171"/>
      <c r="H153" s="169"/>
      <c r="I153" s="172"/>
      <c r="J153" s="172"/>
      <c r="K153" s="172"/>
      <c r="L153" s="172"/>
      <c r="M153" s="172"/>
      <c r="N153" s="172"/>
      <c r="O153" s="172"/>
      <c r="P153" s="172"/>
      <c r="Q153" s="172"/>
      <c r="R153" s="172"/>
      <c r="S153" s="172"/>
      <c r="T153" s="172"/>
      <c r="U153" s="172"/>
      <c r="V153" s="172"/>
      <c r="X153" s="169"/>
      <c r="Y153" s="169"/>
      <c r="Z153" s="169"/>
      <c r="AA153" s="170"/>
      <c r="AW153" s="11" t="s">
        <v>694</v>
      </c>
    </row>
    <row r="154" spans="1:49" s="11" customFormat="1">
      <c r="A154" s="184"/>
      <c r="B154" s="169"/>
      <c r="C154" s="170"/>
      <c r="D154" s="170"/>
      <c r="E154" s="171"/>
      <c r="F154" s="171"/>
      <c r="H154" s="169"/>
      <c r="I154" s="172"/>
      <c r="J154" s="172"/>
      <c r="K154" s="172"/>
      <c r="L154" s="172"/>
      <c r="M154" s="172"/>
      <c r="N154" s="172"/>
      <c r="O154" s="172"/>
      <c r="P154" s="172"/>
      <c r="Q154" s="172"/>
      <c r="R154" s="172"/>
      <c r="S154" s="172"/>
      <c r="T154" s="172"/>
      <c r="U154" s="172"/>
      <c r="V154" s="172"/>
      <c r="X154" s="169"/>
      <c r="Y154" s="169"/>
      <c r="Z154" s="169"/>
      <c r="AA154" s="170"/>
      <c r="AW154" s="11" t="s">
        <v>694</v>
      </c>
    </row>
    <row r="155" spans="1:49" s="11" customFormat="1">
      <c r="A155" s="184"/>
      <c r="B155" s="169"/>
      <c r="C155" s="170"/>
      <c r="D155" s="170"/>
      <c r="E155" s="171"/>
      <c r="F155" s="171"/>
      <c r="H155" s="169"/>
      <c r="I155" s="172"/>
      <c r="J155" s="172"/>
      <c r="K155" s="172"/>
      <c r="L155" s="172"/>
      <c r="M155" s="172"/>
      <c r="N155" s="172"/>
      <c r="O155" s="172"/>
      <c r="P155" s="172"/>
      <c r="Q155" s="172"/>
      <c r="R155" s="172"/>
      <c r="S155" s="172"/>
      <c r="T155" s="172"/>
      <c r="U155" s="172"/>
      <c r="V155" s="172"/>
      <c r="X155" s="169"/>
      <c r="Y155" s="169"/>
      <c r="Z155" s="169"/>
      <c r="AA155" s="170"/>
      <c r="AW155" s="11" t="s">
        <v>694</v>
      </c>
    </row>
    <row r="156" spans="1:49" s="11" customFormat="1">
      <c r="A156" s="184"/>
      <c r="B156" s="169"/>
      <c r="C156" s="170"/>
      <c r="D156" s="170"/>
      <c r="E156" s="171"/>
      <c r="F156" s="171"/>
      <c r="H156" s="169"/>
      <c r="I156" s="172"/>
      <c r="J156" s="172"/>
      <c r="K156" s="172"/>
      <c r="L156" s="172"/>
      <c r="M156" s="172"/>
      <c r="N156" s="172"/>
      <c r="O156" s="172"/>
      <c r="P156" s="172"/>
      <c r="Q156" s="172"/>
      <c r="R156" s="172"/>
      <c r="S156" s="172"/>
      <c r="T156" s="172"/>
      <c r="U156" s="172"/>
      <c r="V156" s="172"/>
      <c r="X156" s="169"/>
      <c r="Y156" s="169"/>
      <c r="Z156" s="169"/>
      <c r="AA156" s="170"/>
      <c r="AW156" s="11" t="s">
        <v>694</v>
      </c>
    </row>
    <row r="157" spans="1:49" s="11" customFormat="1">
      <c r="A157" s="184"/>
      <c r="B157" s="169"/>
      <c r="C157" s="170"/>
      <c r="D157" s="170"/>
      <c r="E157" s="171"/>
      <c r="F157" s="171"/>
      <c r="H157" s="169"/>
      <c r="I157" s="172"/>
      <c r="J157" s="172"/>
      <c r="K157" s="172"/>
      <c r="L157" s="172"/>
      <c r="M157" s="172"/>
      <c r="N157" s="172"/>
      <c r="O157" s="172"/>
      <c r="P157" s="172"/>
      <c r="Q157" s="172"/>
      <c r="R157" s="172"/>
      <c r="S157" s="172"/>
      <c r="T157" s="172"/>
      <c r="U157" s="172"/>
      <c r="V157" s="172"/>
      <c r="X157" s="169"/>
      <c r="Y157" s="169"/>
      <c r="Z157" s="169"/>
      <c r="AA157" s="170"/>
      <c r="AW157" s="11" t="s">
        <v>694</v>
      </c>
    </row>
    <row r="158" spans="1:49" s="11" customFormat="1">
      <c r="A158" s="184"/>
      <c r="B158" s="169"/>
      <c r="C158" s="170"/>
      <c r="D158" s="170"/>
      <c r="E158" s="171"/>
      <c r="F158" s="171"/>
      <c r="H158" s="169"/>
      <c r="I158" s="172"/>
      <c r="J158" s="172"/>
      <c r="K158" s="172"/>
      <c r="L158" s="172"/>
      <c r="M158" s="172"/>
      <c r="N158" s="172"/>
      <c r="O158" s="172"/>
      <c r="P158" s="172"/>
      <c r="Q158" s="172"/>
      <c r="R158" s="172"/>
      <c r="S158" s="172"/>
      <c r="T158" s="172"/>
      <c r="U158" s="172"/>
      <c r="V158" s="172"/>
      <c r="X158" s="169"/>
      <c r="Y158" s="169"/>
      <c r="Z158" s="169"/>
      <c r="AA158" s="170"/>
      <c r="AW158" s="11" t="s">
        <v>694</v>
      </c>
    </row>
    <row r="159" spans="1:49" s="11" customFormat="1">
      <c r="A159" s="184"/>
      <c r="B159" s="169"/>
      <c r="C159" s="170"/>
      <c r="D159" s="170"/>
      <c r="E159" s="171"/>
      <c r="F159" s="171"/>
      <c r="H159" s="169"/>
      <c r="I159" s="172"/>
      <c r="J159" s="172"/>
      <c r="K159" s="172"/>
      <c r="L159" s="172"/>
      <c r="M159" s="172"/>
      <c r="N159" s="172"/>
      <c r="O159" s="172"/>
      <c r="P159" s="172"/>
      <c r="Q159" s="172"/>
      <c r="R159" s="172"/>
      <c r="S159" s="172"/>
      <c r="T159" s="172"/>
      <c r="U159" s="172"/>
      <c r="V159" s="172"/>
      <c r="X159" s="169"/>
      <c r="Y159" s="169"/>
      <c r="Z159" s="169"/>
      <c r="AA159" s="170"/>
      <c r="AW159" s="11" t="s">
        <v>694</v>
      </c>
    </row>
    <row r="160" spans="1:49" s="11" customFormat="1">
      <c r="A160" s="184"/>
      <c r="B160" s="169"/>
      <c r="C160" s="170"/>
      <c r="D160" s="170"/>
      <c r="E160" s="171"/>
      <c r="F160" s="171"/>
      <c r="H160" s="169"/>
      <c r="I160" s="172"/>
      <c r="J160" s="172"/>
      <c r="K160" s="172"/>
      <c r="L160" s="172"/>
      <c r="M160" s="172"/>
      <c r="N160" s="172"/>
      <c r="O160" s="172"/>
      <c r="P160" s="172"/>
      <c r="Q160" s="172"/>
      <c r="R160" s="172"/>
      <c r="S160" s="172"/>
      <c r="T160" s="172"/>
      <c r="U160" s="172"/>
      <c r="V160" s="172"/>
      <c r="X160" s="169"/>
      <c r="Y160" s="169"/>
      <c r="Z160" s="169"/>
      <c r="AA160" s="170"/>
      <c r="AW160" s="11" t="s">
        <v>694</v>
      </c>
    </row>
    <row r="161" spans="1:49" s="11" customFormat="1">
      <c r="A161" s="184"/>
      <c r="B161" s="169"/>
      <c r="C161" s="170"/>
      <c r="D161" s="170"/>
      <c r="E161" s="171"/>
      <c r="F161" s="171"/>
      <c r="H161" s="169"/>
      <c r="I161" s="172"/>
      <c r="J161" s="172"/>
      <c r="K161" s="172"/>
      <c r="L161" s="172"/>
      <c r="M161" s="172"/>
      <c r="N161" s="172"/>
      <c r="O161" s="172"/>
      <c r="P161" s="172"/>
      <c r="Q161" s="172"/>
      <c r="R161" s="172"/>
      <c r="S161" s="172"/>
      <c r="T161" s="172"/>
      <c r="U161" s="172"/>
      <c r="V161" s="172"/>
      <c r="X161" s="169"/>
      <c r="Y161" s="169"/>
      <c r="Z161" s="169"/>
      <c r="AA161" s="170"/>
      <c r="AW161" s="11" t="s">
        <v>694</v>
      </c>
    </row>
    <row r="162" spans="1:49" s="11" customFormat="1">
      <c r="A162" s="184"/>
      <c r="B162" s="169"/>
      <c r="C162" s="170"/>
      <c r="D162" s="170"/>
      <c r="E162" s="171"/>
      <c r="F162" s="171"/>
      <c r="H162" s="169"/>
      <c r="I162" s="172"/>
      <c r="J162" s="172"/>
      <c r="K162" s="172"/>
      <c r="L162" s="172"/>
      <c r="M162" s="172"/>
      <c r="N162" s="172"/>
      <c r="O162" s="172"/>
      <c r="P162" s="172"/>
      <c r="Q162" s="172"/>
      <c r="R162" s="172"/>
      <c r="S162" s="172"/>
      <c r="T162" s="172"/>
      <c r="U162" s="172"/>
      <c r="V162" s="172"/>
      <c r="X162" s="169"/>
      <c r="Y162" s="169"/>
      <c r="Z162" s="169"/>
      <c r="AA162" s="170"/>
      <c r="AW162" s="11" t="s">
        <v>694</v>
      </c>
    </row>
    <row r="163" spans="1:49" s="11" customFormat="1">
      <c r="A163" s="184"/>
      <c r="B163" s="169"/>
      <c r="C163" s="170"/>
      <c r="D163" s="170"/>
      <c r="E163" s="171"/>
      <c r="F163" s="171"/>
      <c r="H163" s="169"/>
      <c r="I163" s="172"/>
      <c r="J163" s="172"/>
      <c r="K163" s="172"/>
      <c r="L163" s="172"/>
      <c r="M163" s="172"/>
      <c r="N163" s="172"/>
      <c r="O163" s="172"/>
      <c r="P163" s="172"/>
      <c r="Q163" s="172"/>
      <c r="R163" s="172"/>
      <c r="S163" s="172"/>
      <c r="T163" s="172"/>
      <c r="U163" s="172"/>
      <c r="V163" s="172"/>
      <c r="X163" s="169"/>
      <c r="Y163" s="169"/>
      <c r="Z163" s="169"/>
      <c r="AA163" s="170"/>
      <c r="AW163" s="11" t="s">
        <v>694</v>
      </c>
    </row>
    <row r="164" spans="1:49" s="11" customFormat="1">
      <c r="A164" s="184"/>
      <c r="B164" s="169"/>
      <c r="C164" s="170"/>
      <c r="D164" s="170"/>
      <c r="E164" s="171"/>
      <c r="F164" s="171"/>
      <c r="H164" s="169"/>
      <c r="I164" s="172"/>
      <c r="J164" s="172"/>
      <c r="K164" s="172"/>
      <c r="L164" s="172"/>
      <c r="M164" s="172"/>
      <c r="N164" s="172"/>
      <c r="O164" s="172"/>
      <c r="P164" s="172"/>
      <c r="Q164" s="172"/>
      <c r="R164" s="172"/>
      <c r="S164" s="172"/>
      <c r="T164" s="172"/>
      <c r="U164" s="172"/>
      <c r="V164" s="172"/>
      <c r="X164" s="169"/>
      <c r="Y164" s="169"/>
      <c r="Z164" s="169"/>
      <c r="AA164" s="170"/>
      <c r="AW164" s="11" t="s">
        <v>694</v>
      </c>
    </row>
    <row r="165" spans="1:49" s="11" customFormat="1">
      <c r="A165" s="184"/>
      <c r="B165" s="169"/>
      <c r="C165" s="170"/>
      <c r="D165" s="170"/>
      <c r="E165" s="171"/>
      <c r="F165" s="171"/>
      <c r="H165" s="169"/>
      <c r="I165" s="172"/>
      <c r="J165" s="172"/>
      <c r="K165" s="172"/>
      <c r="L165" s="172"/>
      <c r="M165" s="172"/>
      <c r="N165" s="172"/>
      <c r="O165" s="172"/>
      <c r="P165" s="172"/>
      <c r="Q165" s="172"/>
      <c r="R165" s="172"/>
      <c r="S165" s="172"/>
      <c r="T165" s="172"/>
      <c r="U165" s="172"/>
      <c r="V165" s="172"/>
      <c r="X165" s="169"/>
      <c r="Y165" s="169"/>
      <c r="Z165" s="169"/>
      <c r="AA165" s="170"/>
      <c r="AW165" s="11" t="s">
        <v>694</v>
      </c>
    </row>
    <row r="166" spans="1:49" s="11" customFormat="1">
      <c r="A166" s="184"/>
      <c r="B166" s="169"/>
      <c r="C166" s="170"/>
      <c r="D166" s="170"/>
      <c r="E166" s="171"/>
      <c r="F166" s="171"/>
      <c r="H166" s="169"/>
      <c r="I166" s="172"/>
      <c r="J166" s="172"/>
      <c r="K166" s="172"/>
      <c r="L166" s="172"/>
      <c r="M166" s="172"/>
      <c r="N166" s="172"/>
      <c r="O166" s="172"/>
      <c r="P166" s="172"/>
      <c r="Q166" s="172"/>
      <c r="R166" s="172"/>
      <c r="S166" s="172"/>
      <c r="T166" s="172"/>
      <c r="U166" s="172"/>
      <c r="V166" s="172"/>
      <c r="X166" s="169"/>
      <c r="Y166" s="169"/>
      <c r="Z166" s="169"/>
      <c r="AA166" s="170"/>
      <c r="AW166" s="11" t="s">
        <v>694</v>
      </c>
    </row>
    <row r="167" spans="1:49" s="11" customFormat="1">
      <c r="A167" s="184"/>
      <c r="B167" s="169"/>
      <c r="C167" s="170"/>
      <c r="D167" s="170"/>
      <c r="E167" s="171"/>
      <c r="F167" s="171"/>
      <c r="H167" s="169"/>
      <c r="I167" s="172"/>
      <c r="J167" s="172"/>
      <c r="K167" s="172"/>
      <c r="L167" s="172"/>
      <c r="M167" s="172"/>
      <c r="N167" s="172"/>
      <c r="O167" s="172"/>
      <c r="P167" s="172"/>
      <c r="Q167" s="172"/>
      <c r="R167" s="172"/>
      <c r="S167" s="172"/>
      <c r="T167" s="172"/>
      <c r="U167" s="172"/>
      <c r="V167" s="172"/>
      <c r="X167" s="169"/>
      <c r="Y167" s="169"/>
      <c r="Z167" s="169"/>
      <c r="AA167" s="170"/>
      <c r="AW167" s="11" t="s">
        <v>694</v>
      </c>
    </row>
    <row r="168" spans="1:49" s="11" customFormat="1">
      <c r="A168" s="184"/>
      <c r="B168" s="169"/>
      <c r="C168" s="170"/>
      <c r="D168" s="170"/>
      <c r="E168" s="171"/>
      <c r="F168" s="171"/>
      <c r="H168" s="169"/>
      <c r="I168" s="172"/>
      <c r="J168" s="172"/>
      <c r="K168" s="172"/>
      <c r="L168" s="172"/>
      <c r="M168" s="172"/>
      <c r="N168" s="172"/>
      <c r="O168" s="172"/>
      <c r="P168" s="172"/>
      <c r="Q168" s="172"/>
      <c r="R168" s="172"/>
      <c r="S168" s="172"/>
      <c r="T168" s="172"/>
      <c r="U168" s="172"/>
      <c r="V168" s="172"/>
      <c r="X168" s="169"/>
      <c r="Y168" s="169"/>
      <c r="Z168" s="169"/>
      <c r="AA168" s="170"/>
      <c r="AW168" s="11" t="s">
        <v>694</v>
      </c>
    </row>
    <row r="169" spans="1:49" s="11" customFormat="1">
      <c r="A169" s="184"/>
      <c r="B169" s="169"/>
      <c r="C169" s="170"/>
      <c r="D169" s="170"/>
      <c r="E169" s="171"/>
      <c r="F169" s="171"/>
      <c r="H169" s="169"/>
      <c r="I169" s="172"/>
      <c r="J169" s="172"/>
      <c r="K169" s="172"/>
      <c r="L169" s="172"/>
      <c r="M169" s="172"/>
      <c r="N169" s="172"/>
      <c r="O169" s="172"/>
      <c r="P169" s="172"/>
      <c r="Q169" s="172"/>
      <c r="R169" s="172"/>
      <c r="S169" s="172"/>
      <c r="T169" s="172"/>
      <c r="U169" s="172"/>
      <c r="V169" s="172"/>
      <c r="X169" s="169"/>
      <c r="Y169" s="169"/>
      <c r="Z169" s="169"/>
      <c r="AA169" s="170"/>
      <c r="AW169" s="11" t="s">
        <v>694</v>
      </c>
    </row>
    <row r="170" spans="1:49" s="11" customFormat="1">
      <c r="A170" s="184"/>
      <c r="B170" s="169"/>
      <c r="C170" s="170"/>
      <c r="D170" s="170"/>
      <c r="E170" s="171"/>
      <c r="F170" s="171"/>
      <c r="H170" s="169"/>
      <c r="I170" s="172"/>
      <c r="J170" s="172"/>
      <c r="K170" s="172"/>
      <c r="L170" s="172"/>
      <c r="M170" s="172"/>
      <c r="N170" s="172"/>
      <c r="O170" s="172"/>
      <c r="P170" s="172"/>
      <c r="Q170" s="172"/>
      <c r="R170" s="172"/>
      <c r="S170" s="172"/>
      <c r="T170" s="172"/>
      <c r="U170" s="172"/>
      <c r="V170" s="172"/>
      <c r="X170" s="169"/>
      <c r="Y170" s="169"/>
      <c r="Z170" s="169"/>
      <c r="AA170" s="170"/>
      <c r="AW170" s="11" t="s">
        <v>694</v>
      </c>
    </row>
    <row r="171" spans="1:49" s="11" customFormat="1">
      <c r="A171" s="184"/>
      <c r="B171" s="169"/>
      <c r="C171" s="170"/>
      <c r="D171" s="170"/>
      <c r="E171" s="171"/>
      <c r="F171" s="171"/>
      <c r="H171" s="169"/>
      <c r="I171" s="172"/>
      <c r="J171" s="172"/>
      <c r="K171" s="172"/>
      <c r="L171" s="172"/>
      <c r="M171" s="172"/>
      <c r="N171" s="172"/>
      <c r="O171" s="172"/>
      <c r="P171" s="172"/>
      <c r="Q171" s="172"/>
      <c r="R171" s="172"/>
      <c r="S171" s="172"/>
      <c r="T171" s="172"/>
      <c r="U171" s="172"/>
      <c r="V171" s="172"/>
      <c r="X171" s="169"/>
      <c r="Y171" s="169"/>
      <c r="Z171" s="169"/>
      <c r="AA171" s="170"/>
      <c r="AW171" s="11" t="s">
        <v>694</v>
      </c>
    </row>
    <row r="172" spans="1:49" s="11" customFormat="1">
      <c r="A172" s="184"/>
      <c r="B172" s="169"/>
      <c r="C172" s="170"/>
      <c r="D172" s="170"/>
      <c r="E172" s="171"/>
      <c r="F172" s="171"/>
      <c r="H172" s="169"/>
      <c r="I172" s="172"/>
      <c r="J172" s="172"/>
      <c r="K172" s="172"/>
      <c r="L172" s="172"/>
      <c r="M172" s="172"/>
      <c r="N172" s="172"/>
      <c r="O172" s="172"/>
      <c r="P172" s="172"/>
      <c r="Q172" s="172"/>
      <c r="R172" s="172"/>
      <c r="S172" s="172"/>
      <c r="T172" s="172"/>
      <c r="U172" s="172"/>
      <c r="V172" s="172"/>
      <c r="X172" s="169"/>
      <c r="Y172" s="169"/>
      <c r="Z172" s="169"/>
      <c r="AA172" s="170"/>
      <c r="AW172" s="11" t="s">
        <v>694</v>
      </c>
    </row>
    <row r="173" spans="1:49" s="11" customFormat="1">
      <c r="A173" s="184"/>
      <c r="B173" s="169"/>
      <c r="C173" s="170"/>
      <c r="D173" s="170"/>
      <c r="E173" s="171"/>
      <c r="F173" s="171"/>
      <c r="H173" s="169"/>
      <c r="I173" s="172"/>
      <c r="J173" s="172"/>
      <c r="K173" s="172"/>
      <c r="L173" s="172"/>
      <c r="M173" s="172"/>
      <c r="N173" s="172"/>
      <c r="O173" s="172"/>
      <c r="P173" s="172"/>
      <c r="Q173" s="172"/>
      <c r="R173" s="172"/>
      <c r="S173" s="172"/>
      <c r="T173" s="172"/>
      <c r="U173" s="172"/>
      <c r="V173" s="172"/>
      <c r="X173" s="169"/>
      <c r="Y173" s="169"/>
      <c r="Z173" s="169"/>
      <c r="AA173" s="170"/>
      <c r="AW173" s="11" t="s">
        <v>694</v>
      </c>
    </row>
    <row r="174" spans="1:49" s="11" customFormat="1">
      <c r="A174" s="184"/>
      <c r="B174" s="169"/>
      <c r="C174" s="170"/>
      <c r="D174" s="170"/>
      <c r="E174" s="171"/>
      <c r="F174" s="171"/>
      <c r="H174" s="169"/>
      <c r="I174" s="172"/>
      <c r="J174" s="172"/>
      <c r="K174" s="172"/>
      <c r="L174" s="172"/>
      <c r="M174" s="172"/>
      <c r="N174" s="172"/>
      <c r="O174" s="172"/>
      <c r="P174" s="172"/>
      <c r="Q174" s="172"/>
      <c r="R174" s="172"/>
      <c r="S174" s="172"/>
      <c r="T174" s="172"/>
      <c r="U174" s="172"/>
      <c r="V174" s="172"/>
      <c r="X174" s="169"/>
      <c r="Y174" s="169"/>
      <c r="Z174" s="169"/>
      <c r="AA174" s="170"/>
      <c r="AW174" s="11" t="s">
        <v>694</v>
      </c>
    </row>
    <row r="175" spans="1:49" s="11" customFormat="1">
      <c r="A175" s="184"/>
      <c r="B175" s="169"/>
      <c r="C175" s="170"/>
      <c r="D175" s="170"/>
      <c r="E175" s="171"/>
      <c r="F175" s="171"/>
      <c r="H175" s="169"/>
      <c r="I175" s="172"/>
      <c r="J175" s="172"/>
      <c r="K175" s="172"/>
      <c r="L175" s="172"/>
      <c r="M175" s="172"/>
      <c r="N175" s="172"/>
      <c r="O175" s="172"/>
      <c r="P175" s="172"/>
      <c r="Q175" s="172"/>
      <c r="R175" s="172"/>
      <c r="S175" s="172"/>
      <c r="T175" s="172"/>
      <c r="U175" s="172"/>
      <c r="V175" s="172"/>
      <c r="X175" s="169"/>
      <c r="Y175" s="169"/>
      <c r="Z175" s="169"/>
      <c r="AA175" s="170"/>
      <c r="AW175" s="11" t="s">
        <v>694</v>
      </c>
    </row>
    <row r="176" spans="1:49" s="11" customFormat="1">
      <c r="A176" s="184"/>
      <c r="B176" s="169"/>
      <c r="C176" s="170"/>
      <c r="D176" s="170"/>
      <c r="E176" s="171"/>
      <c r="F176" s="171"/>
      <c r="H176" s="169"/>
      <c r="I176" s="172"/>
      <c r="J176" s="172"/>
      <c r="K176" s="172"/>
      <c r="L176" s="172"/>
      <c r="M176" s="172"/>
      <c r="N176" s="172"/>
      <c r="O176" s="172"/>
      <c r="P176" s="172"/>
      <c r="Q176" s="172"/>
      <c r="R176" s="172"/>
      <c r="S176" s="172"/>
      <c r="T176" s="172"/>
      <c r="U176" s="172"/>
      <c r="V176" s="172"/>
      <c r="X176" s="169"/>
      <c r="Y176" s="169"/>
      <c r="Z176" s="169"/>
      <c r="AA176" s="170"/>
      <c r="AW176" s="11" t="s">
        <v>694</v>
      </c>
    </row>
    <row r="177" spans="1:49" s="11" customFormat="1">
      <c r="A177" s="184"/>
      <c r="B177" s="169"/>
      <c r="C177" s="170"/>
      <c r="D177" s="170"/>
      <c r="E177" s="171"/>
      <c r="F177" s="171"/>
      <c r="H177" s="169"/>
      <c r="I177" s="172"/>
      <c r="J177" s="172"/>
      <c r="K177" s="172"/>
      <c r="L177" s="172"/>
      <c r="M177" s="172"/>
      <c r="N177" s="172"/>
      <c r="O177" s="172"/>
      <c r="P177" s="172"/>
      <c r="Q177" s="172"/>
      <c r="R177" s="172"/>
      <c r="S177" s="172"/>
      <c r="T177" s="172"/>
      <c r="U177" s="172"/>
      <c r="V177" s="172"/>
      <c r="X177" s="169"/>
      <c r="Y177" s="169"/>
      <c r="Z177" s="169"/>
      <c r="AA177" s="170"/>
      <c r="AW177" s="11" t="s">
        <v>694</v>
      </c>
    </row>
    <row r="178" spans="1:49" s="11" customFormat="1">
      <c r="A178" s="184"/>
      <c r="B178" s="169"/>
      <c r="C178" s="170"/>
      <c r="D178" s="170"/>
      <c r="E178" s="171"/>
      <c r="F178" s="171"/>
      <c r="H178" s="169"/>
      <c r="I178" s="172"/>
      <c r="J178" s="172"/>
      <c r="K178" s="172"/>
      <c r="L178" s="172"/>
      <c r="M178" s="172"/>
      <c r="N178" s="172"/>
      <c r="O178" s="172"/>
      <c r="P178" s="172"/>
      <c r="Q178" s="172"/>
      <c r="R178" s="172"/>
      <c r="S178" s="172"/>
      <c r="T178" s="172"/>
      <c r="U178" s="172"/>
      <c r="V178" s="172"/>
      <c r="X178" s="169"/>
      <c r="Y178" s="169"/>
      <c r="Z178" s="169"/>
      <c r="AA178" s="170"/>
      <c r="AW178" s="11" t="s">
        <v>694</v>
      </c>
    </row>
    <row r="179" spans="1:49" s="11" customFormat="1">
      <c r="A179" s="184"/>
      <c r="B179" s="169"/>
      <c r="C179" s="170"/>
      <c r="D179" s="170"/>
      <c r="E179" s="171"/>
      <c r="F179" s="171"/>
      <c r="H179" s="169"/>
      <c r="I179" s="172"/>
      <c r="J179" s="172"/>
      <c r="K179" s="172"/>
      <c r="L179" s="172"/>
      <c r="M179" s="172"/>
      <c r="N179" s="172"/>
      <c r="O179" s="172"/>
      <c r="P179" s="172"/>
      <c r="Q179" s="172"/>
      <c r="R179" s="172"/>
      <c r="S179" s="172"/>
      <c r="T179" s="172"/>
      <c r="U179" s="172"/>
      <c r="V179" s="172"/>
      <c r="X179" s="169"/>
      <c r="Y179" s="169"/>
      <c r="Z179" s="169"/>
      <c r="AA179" s="170"/>
      <c r="AW179" s="11" t="s">
        <v>694</v>
      </c>
    </row>
    <row r="180" spans="1:49" s="11" customFormat="1">
      <c r="A180" s="184"/>
      <c r="B180" s="169"/>
      <c r="C180" s="170"/>
      <c r="D180" s="170"/>
      <c r="E180" s="171"/>
      <c r="F180" s="171"/>
      <c r="H180" s="169"/>
      <c r="I180" s="172"/>
      <c r="J180" s="172"/>
      <c r="K180" s="172"/>
      <c r="L180" s="172"/>
      <c r="M180" s="172"/>
      <c r="N180" s="172"/>
      <c r="O180" s="172"/>
      <c r="P180" s="172"/>
      <c r="Q180" s="172"/>
      <c r="R180" s="172"/>
      <c r="S180" s="172"/>
      <c r="T180" s="172"/>
      <c r="U180" s="172"/>
      <c r="V180" s="172"/>
      <c r="X180" s="169"/>
      <c r="Y180" s="169"/>
      <c r="Z180" s="169"/>
      <c r="AA180" s="170"/>
      <c r="AW180" s="11" t="s">
        <v>694</v>
      </c>
    </row>
    <row r="181" spans="1:49" s="11" customFormat="1">
      <c r="A181" s="184"/>
      <c r="B181" s="169"/>
      <c r="C181" s="170"/>
      <c r="D181" s="170"/>
      <c r="E181" s="171"/>
      <c r="F181" s="171"/>
      <c r="H181" s="169"/>
      <c r="I181" s="172"/>
      <c r="J181" s="172"/>
      <c r="K181" s="172"/>
      <c r="L181" s="172"/>
      <c r="M181" s="172"/>
      <c r="N181" s="172"/>
      <c r="O181" s="172"/>
      <c r="P181" s="172"/>
      <c r="Q181" s="172"/>
      <c r="R181" s="172"/>
      <c r="S181" s="172"/>
      <c r="T181" s="172"/>
      <c r="U181" s="172"/>
      <c r="V181" s="172"/>
      <c r="X181" s="169"/>
      <c r="Y181" s="169"/>
      <c r="Z181" s="169"/>
      <c r="AA181" s="170"/>
      <c r="AW181" s="11" t="s">
        <v>694</v>
      </c>
    </row>
    <row r="182" spans="1:49" s="11" customFormat="1">
      <c r="A182" s="184"/>
      <c r="B182" s="169"/>
      <c r="C182" s="170"/>
      <c r="D182" s="170"/>
      <c r="E182" s="171"/>
      <c r="F182" s="171"/>
      <c r="H182" s="169"/>
      <c r="I182" s="172"/>
      <c r="J182" s="172"/>
      <c r="K182" s="172"/>
      <c r="L182" s="172"/>
      <c r="M182" s="172"/>
      <c r="N182" s="172"/>
      <c r="O182" s="172"/>
      <c r="P182" s="172"/>
      <c r="Q182" s="172"/>
      <c r="R182" s="172"/>
      <c r="S182" s="172"/>
      <c r="T182" s="172"/>
      <c r="U182" s="172"/>
      <c r="V182" s="172"/>
      <c r="X182" s="169"/>
      <c r="Y182" s="169"/>
      <c r="Z182" s="169"/>
      <c r="AA182" s="170"/>
      <c r="AW182" s="11" t="s">
        <v>694</v>
      </c>
    </row>
    <row r="183" spans="1:49" s="11" customFormat="1">
      <c r="A183" s="184"/>
      <c r="B183" s="169"/>
      <c r="C183" s="170"/>
      <c r="D183" s="170"/>
      <c r="E183" s="171"/>
      <c r="F183" s="171"/>
      <c r="H183" s="169"/>
      <c r="I183" s="172"/>
      <c r="J183" s="172"/>
      <c r="K183" s="172"/>
      <c r="L183" s="172"/>
      <c r="M183" s="172"/>
      <c r="N183" s="172"/>
      <c r="O183" s="172"/>
      <c r="P183" s="172"/>
      <c r="Q183" s="172"/>
      <c r="R183" s="172"/>
      <c r="S183" s="172"/>
      <c r="T183" s="172"/>
      <c r="U183" s="172"/>
      <c r="V183" s="172"/>
      <c r="X183" s="169"/>
      <c r="Y183" s="169"/>
      <c r="Z183" s="169"/>
      <c r="AA183" s="170"/>
      <c r="AW183" s="11" t="s">
        <v>694</v>
      </c>
    </row>
    <row r="184" spans="1:49" s="11" customFormat="1">
      <c r="A184" s="184"/>
      <c r="B184" s="169"/>
      <c r="C184" s="170"/>
      <c r="D184" s="170"/>
      <c r="E184" s="171"/>
      <c r="F184" s="171"/>
      <c r="H184" s="169"/>
      <c r="I184" s="169"/>
      <c r="J184" s="169"/>
      <c r="K184" s="172"/>
      <c r="L184" s="172"/>
      <c r="M184" s="172"/>
      <c r="N184" s="172"/>
      <c r="O184" s="172"/>
      <c r="P184" s="172"/>
      <c r="Q184" s="172"/>
      <c r="R184" s="172"/>
      <c r="S184" s="172"/>
      <c r="T184" s="172"/>
      <c r="U184" s="172"/>
      <c r="V184" s="172"/>
      <c r="X184" s="169"/>
      <c r="Y184" s="169"/>
      <c r="Z184" s="169"/>
      <c r="AA184" s="170"/>
      <c r="AW184" s="11" t="s">
        <v>694</v>
      </c>
    </row>
    <row r="185" spans="1:49" s="11" customFormat="1">
      <c r="A185" s="184"/>
      <c r="B185" s="169"/>
      <c r="C185" s="170"/>
      <c r="D185" s="170"/>
      <c r="E185" s="171"/>
      <c r="F185" s="171"/>
      <c r="H185" s="169"/>
      <c r="I185" s="169"/>
      <c r="J185" s="169"/>
      <c r="K185" s="172"/>
      <c r="L185" s="172"/>
      <c r="M185" s="172"/>
      <c r="N185" s="172"/>
      <c r="O185" s="172"/>
      <c r="P185" s="172"/>
      <c r="Q185" s="172"/>
      <c r="R185" s="172"/>
      <c r="S185" s="172"/>
      <c r="T185" s="172"/>
      <c r="U185" s="172"/>
      <c r="V185" s="172"/>
      <c r="X185" s="169"/>
      <c r="Y185" s="169"/>
      <c r="Z185" s="169"/>
      <c r="AA185" s="170"/>
      <c r="AW185" s="11" t="s">
        <v>694</v>
      </c>
    </row>
    <row r="186" spans="1:49" s="11" customFormat="1">
      <c r="A186" s="184"/>
      <c r="B186" s="169"/>
      <c r="C186" s="170"/>
      <c r="D186" s="170"/>
      <c r="E186" s="171"/>
      <c r="F186" s="171"/>
      <c r="H186" s="169"/>
      <c r="I186" s="169"/>
      <c r="J186" s="169"/>
      <c r="K186" s="172"/>
      <c r="L186" s="172"/>
      <c r="M186" s="172"/>
      <c r="N186" s="172"/>
      <c r="O186" s="172"/>
      <c r="P186" s="172"/>
      <c r="Q186" s="172"/>
      <c r="R186" s="172"/>
      <c r="S186" s="172"/>
      <c r="T186" s="172"/>
      <c r="U186" s="172"/>
      <c r="V186" s="172"/>
      <c r="X186" s="169"/>
      <c r="Y186" s="169"/>
      <c r="Z186" s="169"/>
      <c r="AA186" s="170"/>
      <c r="AW186" s="11" t="s">
        <v>694</v>
      </c>
    </row>
    <row r="187" spans="1:49" s="11" customFormat="1">
      <c r="A187" s="184"/>
      <c r="B187" s="169"/>
      <c r="C187" s="170"/>
      <c r="D187" s="170"/>
      <c r="E187" s="171"/>
      <c r="F187" s="171"/>
      <c r="H187" s="169"/>
      <c r="I187" s="169"/>
      <c r="J187" s="169"/>
      <c r="K187" s="172"/>
      <c r="L187" s="172"/>
      <c r="M187" s="172"/>
      <c r="N187" s="172"/>
      <c r="O187" s="172"/>
      <c r="P187" s="172"/>
      <c r="Q187" s="172"/>
      <c r="R187" s="172"/>
      <c r="S187" s="172"/>
      <c r="T187" s="172"/>
      <c r="U187" s="172"/>
      <c r="V187" s="172"/>
      <c r="X187" s="169"/>
      <c r="Y187" s="169"/>
      <c r="Z187" s="169"/>
      <c r="AA187" s="170"/>
      <c r="AW187" s="11" t="s">
        <v>694</v>
      </c>
    </row>
    <row r="188" spans="1:49" s="11" customFormat="1">
      <c r="A188" s="184"/>
      <c r="B188" s="169"/>
      <c r="C188" s="170"/>
      <c r="D188" s="170"/>
      <c r="E188" s="171"/>
      <c r="F188" s="171"/>
      <c r="H188" s="169"/>
      <c r="I188" s="169"/>
      <c r="J188" s="169"/>
      <c r="K188" s="172"/>
      <c r="L188" s="172"/>
      <c r="M188" s="172"/>
      <c r="N188" s="172"/>
      <c r="O188" s="172"/>
      <c r="P188" s="172"/>
      <c r="Q188" s="172"/>
      <c r="R188" s="172"/>
      <c r="S188" s="172"/>
      <c r="T188" s="172"/>
      <c r="U188" s="172"/>
      <c r="V188" s="172"/>
      <c r="X188" s="169"/>
      <c r="Y188" s="169"/>
      <c r="Z188" s="169"/>
      <c r="AA188" s="170"/>
      <c r="AW188" s="11" t="s">
        <v>694</v>
      </c>
    </row>
    <row r="189" spans="1:49" s="11" customFormat="1">
      <c r="A189" s="184"/>
      <c r="B189" s="169"/>
      <c r="C189" s="170"/>
      <c r="D189" s="170"/>
      <c r="E189" s="171"/>
      <c r="F189" s="171"/>
      <c r="H189" s="169"/>
      <c r="I189" s="169"/>
      <c r="J189" s="169"/>
      <c r="K189" s="172"/>
      <c r="L189" s="172"/>
      <c r="M189" s="172"/>
      <c r="N189" s="172"/>
      <c r="O189" s="172"/>
      <c r="P189" s="172"/>
      <c r="Q189" s="172"/>
      <c r="R189" s="172"/>
      <c r="S189" s="172"/>
      <c r="T189" s="172"/>
      <c r="U189" s="172"/>
      <c r="V189" s="172"/>
      <c r="X189" s="169"/>
      <c r="Y189" s="169"/>
      <c r="Z189" s="169"/>
      <c r="AA189" s="170"/>
      <c r="AW189" s="11" t="s">
        <v>694</v>
      </c>
    </row>
    <row r="190" spans="1:49" s="11" customFormat="1">
      <c r="A190" s="184"/>
      <c r="B190" s="169"/>
      <c r="C190" s="170"/>
      <c r="D190" s="170"/>
      <c r="E190" s="171"/>
      <c r="F190" s="171"/>
      <c r="H190" s="169"/>
      <c r="I190" s="169"/>
      <c r="J190" s="169"/>
      <c r="K190" s="172"/>
      <c r="L190" s="172"/>
      <c r="M190" s="172"/>
      <c r="N190" s="172"/>
      <c r="O190" s="172"/>
      <c r="P190" s="172"/>
      <c r="Q190" s="172"/>
      <c r="R190" s="172"/>
      <c r="S190" s="172"/>
      <c r="T190" s="172"/>
      <c r="U190" s="172"/>
      <c r="V190" s="172"/>
      <c r="X190" s="169"/>
      <c r="Y190" s="169"/>
      <c r="Z190" s="169"/>
      <c r="AA190" s="170"/>
      <c r="AW190" s="11" t="s">
        <v>694</v>
      </c>
    </row>
    <row r="191" spans="1:49" s="11" customFormat="1">
      <c r="A191" s="184"/>
      <c r="B191" s="169"/>
      <c r="C191" s="170"/>
      <c r="D191" s="170"/>
      <c r="E191" s="171"/>
      <c r="F191" s="171"/>
      <c r="H191" s="169"/>
      <c r="I191" s="169"/>
      <c r="J191" s="169"/>
      <c r="K191" s="172"/>
      <c r="L191" s="172"/>
      <c r="M191" s="172"/>
      <c r="N191" s="172"/>
      <c r="O191" s="172"/>
      <c r="P191" s="172"/>
      <c r="Q191" s="172"/>
      <c r="R191" s="172"/>
      <c r="S191" s="172"/>
      <c r="T191" s="172"/>
      <c r="U191" s="172"/>
      <c r="V191" s="172"/>
      <c r="X191" s="169"/>
      <c r="Y191" s="169"/>
      <c r="Z191" s="169"/>
      <c r="AA191" s="170"/>
      <c r="AW191" s="11" t="s">
        <v>694</v>
      </c>
    </row>
    <row r="192" spans="1:49" s="11" customFormat="1">
      <c r="A192" s="184"/>
      <c r="B192" s="169"/>
      <c r="C192" s="169"/>
      <c r="D192" s="169"/>
      <c r="E192" s="169"/>
      <c r="F192" s="169"/>
      <c r="H192" s="172"/>
      <c r="I192" s="172"/>
      <c r="J192" s="172"/>
      <c r="K192" s="172"/>
      <c r="L192" s="172"/>
      <c r="M192" s="172"/>
      <c r="N192" s="172"/>
      <c r="O192" s="172"/>
      <c r="P192" s="172"/>
      <c r="Q192" s="172"/>
      <c r="R192" s="172"/>
      <c r="S192" s="172"/>
      <c r="T192" s="172"/>
      <c r="U192" s="172"/>
      <c r="V192" s="172"/>
      <c r="X192" s="169"/>
      <c r="Y192" s="169"/>
      <c r="Z192" s="169"/>
      <c r="AA192" s="170"/>
      <c r="AW192" s="11" t="s">
        <v>694</v>
      </c>
    </row>
    <row r="193" spans="1:49" s="11" customFormat="1">
      <c r="A193" s="184"/>
      <c r="B193" s="169"/>
      <c r="C193" s="169"/>
      <c r="D193" s="169"/>
      <c r="E193" s="169"/>
      <c r="F193" s="169"/>
      <c r="H193" s="172"/>
      <c r="I193" s="172"/>
      <c r="J193" s="172"/>
      <c r="K193" s="172"/>
      <c r="L193" s="172"/>
      <c r="M193" s="172"/>
      <c r="N193" s="172"/>
      <c r="O193" s="172"/>
      <c r="P193" s="172"/>
      <c r="Q193" s="172"/>
      <c r="R193" s="172"/>
      <c r="S193" s="172"/>
      <c r="T193" s="172"/>
      <c r="U193" s="172"/>
      <c r="V193" s="172"/>
      <c r="X193" s="169"/>
      <c r="Y193" s="169"/>
      <c r="Z193" s="169"/>
      <c r="AA193" s="170"/>
      <c r="AW193" s="11" t="s">
        <v>694</v>
      </c>
    </row>
    <row r="194" spans="1:49" s="11" customFormat="1">
      <c r="A194" s="184"/>
      <c r="B194" s="169"/>
      <c r="C194" s="169"/>
      <c r="D194" s="169"/>
      <c r="E194" s="169"/>
      <c r="F194" s="169"/>
      <c r="H194" s="172"/>
      <c r="I194" s="172"/>
      <c r="J194" s="172"/>
      <c r="K194" s="172"/>
      <c r="L194" s="172"/>
      <c r="M194" s="172"/>
      <c r="N194" s="172"/>
      <c r="O194" s="172"/>
      <c r="P194" s="172"/>
      <c r="Q194" s="172"/>
      <c r="R194" s="172"/>
      <c r="S194" s="172"/>
      <c r="T194" s="172"/>
      <c r="U194" s="172"/>
      <c r="V194" s="172"/>
      <c r="X194" s="169"/>
      <c r="Y194" s="169"/>
      <c r="Z194" s="169"/>
      <c r="AA194" s="170"/>
      <c r="AW194" s="11" t="s">
        <v>694</v>
      </c>
    </row>
    <row r="195" spans="1:49" s="11" customFormat="1">
      <c r="A195" s="184"/>
      <c r="B195" s="169"/>
      <c r="C195" s="169"/>
      <c r="D195" s="169"/>
      <c r="E195" s="169"/>
      <c r="F195" s="169"/>
      <c r="H195" s="172"/>
      <c r="I195" s="172"/>
      <c r="J195" s="172"/>
      <c r="K195" s="172"/>
      <c r="L195" s="172"/>
      <c r="M195" s="172"/>
      <c r="N195" s="172"/>
      <c r="O195" s="172"/>
      <c r="P195" s="172"/>
      <c r="Q195" s="172"/>
      <c r="R195" s="172"/>
      <c r="S195" s="172"/>
      <c r="T195" s="172"/>
      <c r="U195" s="172"/>
      <c r="V195" s="172"/>
      <c r="X195" s="169"/>
      <c r="Y195" s="169"/>
      <c r="Z195" s="169"/>
      <c r="AA195" s="170"/>
      <c r="AW195" s="11" t="s">
        <v>694</v>
      </c>
    </row>
    <row r="196" spans="1:49" s="11" customFormat="1">
      <c r="A196" s="184"/>
      <c r="B196" s="169"/>
      <c r="C196" s="169"/>
      <c r="D196" s="169"/>
      <c r="E196" s="169"/>
      <c r="F196" s="169"/>
      <c r="H196" s="172"/>
      <c r="I196" s="172"/>
      <c r="J196" s="172"/>
      <c r="K196" s="172"/>
      <c r="L196" s="172"/>
      <c r="M196" s="172"/>
      <c r="N196" s="172"/>
      <c r="O196" s="172"/>
      <c r="P196" s="172"/>
      <c r="Q196" s="172"/>
      <c r="R196" s="172"/>
      <c r="S196" s="172"/>
      <c r="T196" s="172"/>
      <c r="U196" s="172"/>
      <c r="V196" s="172"/>
      <c r="X196" s="169"/>
      <c r="Y196" s="169"/>
      <c r="Z196" s="169"/>
      <c r="AA196" s="170"/>
      <c r="AW196" s="11" t="s">
        <v>694</v>
      </c>
    </row>
    <row r="197" spans="1:49" s="11" customFormat="1">
      <c r="A197" s="184"/>
      <c r="B197" s="169"/>
      <c r="C197" s="169"/>
      <c r="D197" s="169"/>
      <c r="E197" s="169"/>
      <c r="F197" s="169"/>
      <c r="H197" s="172"/>
      <c r="I197" s="172"/>
      <c r="J197" s="172"/>
      <c r="K197" s="172"/>
      <c r="L197" s="172"/>
      <c r="M197" s="172"/>
      <c r="N197" s="172"/>
      <c r="O197" s="172"/>
      <c r="P197" s="172"/>
      <c r="Q197" s="172"/>
      <c r="R197" s="172"/>
      <c r="S197" s="172"/>
      <c r="T197" s="172"/>
      <c r="U197" s="172"/>
      <c r="V197" s="172"/>
      <c r="X197" s="169"/>
      <c r="Y197" s="169"/>
      <c r="Z197" s="169"/>
      <c r="AA197" s="170"/>
      <c r="AW197" s="11" t="s">
        <v>694</v>
      </c>
    </row>
    <row r="198" spans="1:49" s="11" customFormat="1">
      <c r="A198" s="184"/>
      <c r="B198" s="169"/>
      <c r="C198" s="169"/>
      <c r="D198" s="169"/>
      <c r="E198" s="169"/>
      <c r="F198" s="169"/>
      <c r="H198" s="172"/>
      <c r="I198" s="172"/>
      <c r="J198" s="172"/>
      <c r="K198" s="172"/>
      <c r="L198" s="172"/>
      <c r="M198" s="172"/>
      <c r="N198" s="172"/>
      <c r="O198" s="172"/>
      <c r="P198" s="172"/>
      <c r="Q198" s="172"/>
      <c r="R198" s="172"/>
      <c r="S198" s="172"/>
      <c r="T198" s="172"/>
      <c r="U198" s="172"/>
      <c r="V198" s="172"/>
      <c r="X198" s="169"/>
      <c r="Y198" s="169"/>
      <c r="Z198" s="169"/>
      <c r="AA198" s="170"/>
      <c r="AW198" s="11" t="s">
        <v>694</v>
      </c>
    </row>
    <row r="199" spans="1:49" s="11" customFormat="1">
      <c r="A199" s="184"/>
      <c r="B199" s="169"/>
      <c r="C199" s="169"/>
      <c r="D199" s="169"/>
      <c r="E199" s="169"/>
      <c r="F199" s="169"/>
      <c r="H199" s="172"/>
      <c r="I199" s="172"/>
      <c r="J199" s="172"/>
      <c r="K199" s="172"/>
      <c r="L199" s="172"/>
      <c r="M199" s="172"/>
      <c r="N199" s="172"/>
      <c r="O199" s="172"/>
      <c r="P199" s="172"/>
      <c r="Q199" s="172"/>
      <c r="R199" s="172"/>
      <c r="S199" s="172"/>
      <c r="T199" s="172"/>
      <c r="U199" s="172"/>
      <c r="V199" s="172"/>
      <c r="X199" s="169"/>
      <c r="Y199" s="169"/>
      <c r="Z199" s="169"/>
      <c r="AA199" s="170"/>
      <c r="AW199" s="11" t="s">
        <v>694</v>
      </c>
    </row>
    <row r="200" spans="1:49" s="11" customFormat="1">
      <c r="A200" s="184"/>
      <c r="B200" s="169"/>
      <c r="C200" s="169"/>
      <c r="D200" s="169"/>
      <c r="E200" s="169"/>
      <c r="F200" s="169"/>
      <c r="H200" s="172"/>
      <c r="I200" s="172"/>
      <c r="J200" s="172"/>
      <c r="K200" s="172"/>
      <c r="L200" s="172"/>
      <c r="M200" s="172"/>
      <c r="N200" s="172"/>
      <c r="O200" s="172"/>
      <c r="P200" s="172"/>
      <c r="Q200" s="172"/>
      <c r="R200" s="172"/>
      <c r="S200" s="172"/>
      <c r="T200" s="172"/>
      <c r="U200" s="172"/>
      <c r="V200" s="172"/>
      <c r="X200" s="169"/>
      <c r="Y200" s="169"/>
      <c r="Z200" s="169"/>
      <c r="AA200" s="170"/>
      <c r="AW200" s="11" t="s">
        <v>694</v>
      </c>
    </row>
    <row r="201" spans="1:49" s="11" customFormat="1">
      <c r="A201" s="184"/>
      <c r="B201" s="169"/>
      <c r="C201" s="169"/>
      <c r="D201" s="169"/>
      <c r="E201" s="169"/>
      <c r="F201" s="169"/>
      <c r="H201" s="172"/>
      <c r="I201" s="172"/>
      <c r="J201" s="172"/>
      <c r="K201" s="172"/>
      <c r="L201" s="172"/>
      <c r="M201" s="172"/>
      <c r="N201" s="172"/>
      <c r="O201" s="172"/>
      <c r="P201" s="172"/>
      <c r="Q201" s="172"/>
      <c r="R201" s="172"/>
      <c r="S201" s="172"/>
      <c r="T201" s="172"/>
      <c r="U201" s="172"/>
      <c r="V201" s="172"/>
      <c r="X201" s="169"/>
      <c r="Y201" s="169"/>
      <c r="Z201" s="169"/>
      <c r="AA201" s="170"/>
      <c r="AW201" s="11" t="s">
        <v>694</v>
      </c>
    </row>
    <row r="202" spans="1:49" s="11" customFormat="1">
      <c r="A202" s="184"/>
      <c r="B202" s="169"/>
      <c r="C202" s="169"/>
      <c r="D202" s="169"/>
      <c r="E202" s="169"/>
      <c r="F202" s="169"/>
      <c r="H202" s="172"/>
      <c r="I202" s="172"/>
      <c r="J202" s="172"/>
      <c r="K202" s="172"/>
      <c r="L202" s="172"/>
      <c r="M202" s="172"/>
      <c r="N202" s="172"/>
      <c r="O202" s="172"/>
      <c r="P202" s="172"/>
      <c r="Q202" s="172"/>
      <c r="R202" s="172"/>
      <c r="S202" s="172"/>
      <c r="T202" s="172"/>
      <c r="U202" s="172"/>
      <c r="V202" s="172"/>
      <c r="X202" s="169"/>
      <c r="Y202" s="169"/>
      <c r="Z202" s="169"/>
      <c r="AA202" s="170"/>
      <c r="AW202" s="11" t="s">
        <v>694</v>
      </c>
    </row>
    <row r="203" spans="1:49" s="11" customFormat="1">
      <c r="A203" s="184"/>
      <c r="B203" s="169"/>
      <c r="C203" s="169"/>
      <c r="D203" s="169"/>
      <c r="E203" s="169"/>
      <c r="F203" s="169"/>
      <c r="H203" s="172"/>
      <c r="I203" s="172"/>
      <c r="J203" s="172"/>
      <c r="K203" s="172"/>
      <c r="L203" s="172"/>
      <c r="M203" s="172"/>
      <c r="N203" s="172"/>
      <c r="O203" s="172"/>
      <c r="P203" s="172"/>
      <c r="Q203" s="172"/>
      <c r="R203" s="172"/>
      <c r="S203" s="172"/>
      <c r="T203" s="172"/>
      <c r="U203" s="172"/>
      <c r="V203" s="172"/>
      <c r="X203" s="169"/>
      <c r="Y203" s="169"/>
      <c r="Z203" s="169"/>
      <c r="AA203" s="170"/>
      <c r="AW203" s="11" t="s">
        <v>694</v>
      </c>
    </row>
    <row r="204" spans="1:49" s="11" customFormat="1">
      <c r="A204" s="184"/>
      <c r="B204" s="169"/>
      <c r="C204" s="169"/>
      <c r="D204" s="169"/>
      <c r="E204" s="169"/>
      <c r="F204" s="169"/>
      <c r="H204" s="172"/>
      <c r="I204" s="172"/>
      <c r="J204" s="172"/>
      <c r="K204" s="172"/>
      <c r="L204" s="172"/>
      <c r="M204" s="172"/>
      <c r="N204" s="172"/>
      <c r="O204" s="172"/>
      <c r="P204" s="172"/>
      <c r="Q204" s="172"/>
      <c r="R204" s="172"/>
      <c r="S204" s="172"/>
      <c r="T204" s="172"/>
      <c r="U204" s="172"/>
      <c r="V204" s="172"/>
      <c r="X204" s="169"/>
      <c r="Y204" s="169"/>
      <c r="Z204" s="169"/>
      <c r="AA204" s="170"/>
      <c r="AW204" s="11" t="s">
        <v>694</v>
      </c>
    </row>
    <row r="205" spans="1:49" s="11" customFormat="1">
      <c r="A205" s="184"/>
      <c r="B205" s="169"/>
      <c r="C205" s="169"/>
      <c r="D205" s="169"/>
      <c r="E205" s="169"/>
      <c r="F205" s="169"/>
      <c r="H205" s="172"/>
      <c r="I205" s="172"/>
      <c r="J205" s="172"/>
      <c r="K205" s="172"/>
      <c r="L205" s="172"/>
      <c r="M205" s="172"/>
      <c r="N205" s="172"/>
      <c r="O205" s="172"/>
      <c r="P205" s="172"/>
      <c r="Q205" s="172"/>
      <c r="R205" s="172"/>
      <c r="S205" s="172"/>
      <c r="T205" s="172"/>
      <c r="U205" s="172"/>
      <c r="V205" s="172"/>
      <c r="X205" s="169"/>
      <c r="Y205" s="169"/>
      <c r="Z205" s="169"/>
      <c r="AA205" s="170"/>
      <c r="AW205" s="11" t="s">
        <v>694</v>
      </c>
    </row>
    <row r="206" spans="1:49" s="11" customFormat="1">
      <c r="A206" s="184"/>
      <c r="B206" s="169"/>
      <c r="C206" s="169"/>
      <c r="D206" s="169"/>
      <c r="E206" s="169"/>
      <c r="F206" s="169"/>
      <c r="H206" s="172"/>
      <c r="I206" s="172"/>
      <c r="J206" s="172"/>
      <c r="K206" s="172"/>
      <c r="L206" s="172"/>
      <c r="M206" s="172"/>
      <c r="N206" s="172"/>
      <c r="O206" s="172"/>
      <c r="P206" s="172"/>
      <c r="Q206" s="172"/>
      <c r="R206" s="172"/>
      <c r="S206" s="172"/>
      <c r="T206" s="172"/>
      <c r="U206" s="172"/>
      <c r="V206" s="172"/>
      <c r="X206" s="169"/>
      <c r="Y206" s="169"/>
      <c r="Z206" s="169"/>
      <c r="AA206" s="170"/>
      <c r="AW206" s="11" t="s">
        <v>694</v>
      </c>
    </row>
    <row r="207" spans="1:49" s="11" customFormat="1">
      <c r="A207" s="184"/>
      <c r="B207" s="169"/>
      <c r="C207" s="169"/>
      <c r="D207" s="169"/>
      <c r="E207" s="169"/>
      <c r="F207" s="169"/>
      <c r="H207" s="172"/>
      <c r="I207" s="172"/>
      <c r="J207" s="172"/>
      <c r="K207" s="172"/>
      <c r="L207" s="172"/>
      <c r="M207" s="172"/>
      <c r="N207" s="172"/>
      <c r="O207" s="172"/>
      <c r="P207" s="172"/>
      <c r="Q207" s="172"/>
      <c r="R207" s="172"/>
      <c r="S207" s="172"/>
      <c r="T207" s="172"/>
      <c r="U207" s="172"/>
      <c r="V207" s="172"/>
      <c r="X207" s="169"/>
      <c r="Y207" s="169"/>
      <c r="Z207" s="169"/>
      <c r="AA207" s="170"/>
      <c r="AW207" s="11" t="s">
        <v>694</v>
      </c>
    </row>
    <row r="208" spans="1:49" s="11" customFormat="1">
      <c r="A208" s="184"/>
      <c r="B208" s="169"/>
      <c r="C208" s="169"/>
      <c r="D208" s="169"/>
      <c r="E208" s="169"/>
      <c r="F208" s="169"/>
      <c r="H208" s="172"/>
      <c r="I208" s="172"/>
      <c r="J208" s="172"/>
      <c r="K208" s="172"/>
      <c r="L208" s="172"/>
      <c r="M208" s="172"/>
      <c r="N208" s="172"/>
      <c r="O208" s="172"/>
      <c r="P208" s="172"/>
      <c r="Q208" s="172"/>
      <c r="R208" s="172"/>
      <c r="S208" s="172"/>
      <c r="T208" s="172"/>
      <c r="U208" s="172"/>
      <c r="V208" s="172"/>
      <c r="X208" s="169"/>
      <c r="Y208" s="169"/>
      <c r="Z208" s="169"/>
      <c r="AA208" s="170"/>
      <c r="AW208" s="11" t="s">
        <v>694</v>
      </c>
    </row>
    <row r="209" spans="1:49" s="11" customFormat="1">
      <c r="A209" s="184"/>
      <c r="B209" s="169"/>
      <c r="C209" s="169"/>
      <c r="D209" s="169"/>
      <c r="E209" s="169"/>
      <c r="F209" s="169"/>
      <c r="H209" s="172"/>
      <c r="I209" s="172"/>
      <c r="J209" s="172"/>
      <c r="K209" s="172"/>
      <c r="L209" s="172"/>
      <c r="M209" s="172"/>
      <c r="N209" s="172"/>
      <c r="O209" s="172"/>
      <c r="P209" s="172"/>
      <c r="Q209" s="172"/>
      <c r="R209" s="172"/>
      <c r="S209" s="172"/>
      <c r="T209" s="172"/>
      <c r="U209" s="172"/>
      <c r="V209" s="172"/>
      <c r="X209" s="169"/>
      <c r="Y209" s="169"/>
      <c r="Z209" s="169"/>
      <c r="AA209" s="170"/>
      <c r="AW209" s="11" t="s">
        <v>694</v>
      </c>
    </row>
    <row r="210" spans="1:49" s="11" customFormat="1">
      <c r="A210" s="184"/>
      <c r="B210" s="169"/>
      <c r="C210" s="169"/>
      <c r="D210" s="169"/>
      <c r="E210" s="169"/>
      <c r="F210" s="169"/>
      <c r="H210" s="172"/>
      <c r="I210" s="172"/>
      <c r="J210" s="172"/>
      <c r="K210" s="172"/>
      <c r="L210" s="172"/>
      <c r="M210" s="172"/>
      <c r="N210" s="172"/>
      <c r="O210" s="172"/>
      <c r="P210" s="172"/>
      <c r="Q210" s="172"/>
      <c r="R210" s="172"/>
      <c r="S210" s="172"/>
      <c r="T210" s="172"/>
      <c r="U210" s="172"/>
      <c r="V210" s="172"/>
      <c r="X210" s="169"/>
      <c r="Y210" s="169"/>
      <c r="Z210" s="169"/>
      <c r="AA210" s="170"/>
      <c r="AW210" s="11" t="s">
        <v>694</v>
      </c>
    </row>
    <row r="211" spans="1:49" s="11" customFormat="1">
      <c r="A211" s="184"/>
      <c r="B211" s="169"/>
      <c r="C211" s="169"/>
      <c r="D211" s="169"/>
      <c r="E211" s="169"/>
      <c r="F211" s="169"/>
      <c r="H211" s="172"/>
      <c r="I211" s="172"/>
      <c r="J211" s="172"/>
      <c r="K211" s="172"/>
      <c r="L211" s="172"/>
      <c r="M211" s="172"/>
      <c r="N211" s="172"/>
      <c r="O211" s="172"/>
      <c r="P211" s="172"/>
      <c r="Q211" s="172"/>
      <c r="R211" s="172"/>
      <c r="S211" s="172"/>
      <c r="T211" s="172"/>
      <c r="U211" s="172"/>
      <c r="V211" s="172"/>
      <c r="X211" s="169"/>
      <c r="Y211" s="169"/>
      <c r="Z211" s="169"/>
      <c r="AA211" s="170"/>
      <c r="AW211" s="11" t="s">
        <v>694</v>
      </c>
    </row>
    <row r="212" spans="1:49" s="11" customFormat="1">
      <c r="A212" s="184"/>
      <c r="B212" s="169"/>
      <c r="C212" s="169"/>
      <c r="D212" s="169"/>
      <c r="E212" s="169"/>
      <c r="F212" s="169"/>
      <c r="H212" s="172"/>
      <c r="I212" s="172"/>
      <c r="J212" s="172"/>
      <c r="K212" s="172"/>
      <c r="L212" s="172"/>
      <c r="M212" s="172"/>
      <c r="N212" s="172"/>
      <c r="O212" s="172"/>
      <c r="P212" s="172"/>
      <c r="Q212" s="172"/>
      <c r="R212" s="172"/>
      <c r="S212" s="172"/>
      <c r="T212" s="172"/>
      <c r="U212" s="172"/>
      <c r="V212" s="172"/>
      <c r="X212" s="169"/>
      <c r="Y212" s="169"/>
      <c r="Z212" s="169"/>
      <c r="AA212" s="170"/>
      <c r="AW212" s="11" t="s">
        <v>694</v>
      </c>
    </row>
    <row r="213" spans="1:49" s="11" customFormat="1">
      <c r="A213" s="184"/>
      <c r="B213" s="169"/>
      <c r="C213" s="169"/>
      <c r="D213" s="169"/>
      <c r="E213" s="169"/>
      <c r="F213" s="169"/>
      <c r="H213" s="172"/>
      <c r="I213" s="172"/>
      <c r="J213" s="172"/>
      <c r="K213" s="172"/>
      <c r="L213" s="172"/>
      <c r="M213" s="172"/>
      <c r="N213" s="172"/>
      <c r="O213" s="172"/>
      <c r="P213" s="172"/>
      <c r="Q213" s="172"/>
      <c r="R213" s="172"/>
      <c r="S213" s="172"/>
      <c r="T213" s="172"/>
      <c r="U213" s="172"/>
      <c r="V213" s="172"/>
      <c r="X213" s="169"/>
      <c r="Y213" s="169"/>
      <c r="Z213" s="169"/>
      <c r="AA213" s="170"/>
      <c r="AW213" s="11" t="s">
        <v>694</v>
      </c>
    </row>
    <row r="214" spans="1:49" s="11" customFormat="1">
      <c r="A214" s="184"/>
      <c r="B214" s="169"/>
      <c r="C214" s="169"/>
      <c r="D214" s="169"/>
      <c r="E214" s="169"/>
      <c r="F214" s="169"/>
      <c r="H214" s="172"/>
      <c r="I214" s="172"/>
      <c r="J214" s="172"/>
      <c r="K214" s="172"/>
      <c r="L214" s="172"/>
      <c r="M214" s="172"/>
      <c r="N214" s="172"/>
      <c r="O214" s="172"/>
      <c r="P214" s="172"/>
      <c r="Q214" s="172"/>
      <c r="R214" s="172"/>
      <c r="S214" s="172"/>
      <c r="T214" s="172"/>
      <c r="U214" s="172"/>
      <c r="V214" s="172"/>
      <c r="X214" s="169"/>
      <c r="Y214" s="169"/>
      <c r="Z214" s="169"/>
      <c r="AA214" s="170"/>
      <c r="AW214" s="11" t="s">
        <v>694</v>
      </c>
    </row>
    <row r="215" spans="1:49" s="11" customFormat="1">
      <c r="A215" s="184"/>
      <c r="B215" s="169"/>
      <c r="C215" s="169"/>
      <c r="D215" s="169"/>
      <c r="E215" s="169"/>
      <c r="F215" s="169"/>
      <c r="H215" s="172"/>
      <c r="I215" s="172"/>
      <c r="J215" s="172"/>
      <c r="K215" s="172"/>
      <c r="L215" s="172"/>
      <c r="M215" s="172"/>
      <c r="N215" s="172"/>
      <c r="O215" s="172"/>
      <c r="P215" s="172"/>
      <c r="Q215" s="172"/>
      <c r="R215" s="172"/>
      <c r="S215" s="172"/>
      <c r="T215" s="172"/>
      <c r="U215" s="172"/>
      <c r="V215" s="172"/>
      <c r="X215" s="169"/>
      <c r="Y215" s="169"/>
      <c r="Z215" s="169"/>
      <c r="AA215" s="170"/>
      <c r="AW215" s="11" t="s">
        <v>694</v>
      </c>
    </row>
    <row r="216" spans="1:49" s="11" customFormat="1">
      <c r="A216" s="184"/>
      <c r="B216" s="169"/>
      <c r="C216" s="169"/>
      <c r="D216" s="169"/>
      <c r="E216" s="169"/>
      <c r="F216" s="169"/>
      <c r="H216" s="172"/>
      <c r="I216" s="172"/>
      <c r="J216" s="172"/>
      <c r="K216" s="172"/>
      <c r="L216" s="172"/>
      <c r="M216" s="172"/>
      <c r="N216" s="172"/>
      <c r="O216" s="172"/>
      <c r="P216" s="172"/>
      <c r="Q216" s="172"/>
      <c r="R216" s="172"/>
      <c r="S216" s="172"/>
      <c r="T216" s="172"/>
      <c r="U216" s="172"/>
      <c r="V216" s="172"/>
      <c r="X216" s="169"/>
      <c r="Y216" s="169"/>
      <c r="Z216" s="169"/>
      <c r="AA216" s="170"/>
      <c r="AW216" s="11" t="s">
        <v>694</v>
      </c>
    </row>
    <row r="217" spans="1:49" s="11" customFormat="1">
      <c r="A217" s="184"/>
      <c r="B217" s="169"/>
      <c r="C217" s="169"/>
      <c r="D217" s="169"/>
      <c r="E217" s="169"/>
      <c r="F217" s="169"/>
      <c r="H217" s="172"/>
      <c r="I217" s="172"/>
      <c r="J217" s="172"/>
      <c r="K217" s="172"/>
      <c r="L217" s="172"/>
      <c r="M217" s="172"/>
      <c r="N217" s="172"/>
      <c r="O217" s="172"/>
      <c r="P217" s="172"/>
      <c r="Q217" s="172"/>
      <c r="R217" s="172"/>
      <c r="S217" s="172"/>
      <c r="T217" s="172"/>
      <c r="U217" s="172"/>
      <c r="V217" s="172"/>
      <c r="X217" s="169"/>
      <c r="Y217" s="169"/>
      <c r="Z217" s="169"/>
      <c r="AA217" s="170"/>
      <c r="AW217" s="11" t="s">
        <v>694</v>
      </c>
    </row>
    <row r="218" spans="1:49" s="11" customFormat="1">
      <c r="A218" s="184"/>
      <c r="B218" s="169"/>
      <c r="C218" s="169"/>
      <c r="D218" s="169"/>
      <c r="E218" s="169"/>
      <c r="F218" s="169"/>
      <c r="H218" s="172"/>
      <c r="I218" s="172"/>
      <c r="J218" s="172"/>
      <c r="K218" s="172"/>
      <c r="L218" s="172"/>
      <c r="M218" s="172"/>
      <c r="N218" s="172"/>
      <c r="O218" s="172"/>
      <c r="P218" s="172"/>
      <c r="Q218" s="172"/>
      <c r="R218" s="172"/>
      <c r="S218" s="172"/>
      <c r="T218" s="172"/>
      <c r="U218" s="172"/>
      <c r="V218" s="172"/>
      <c r="X218" s="169"/>
      <c r="Y218" s="169"/>
      <c r="Z218" s="169"/>
      <c r="AA218" s="170"/>
      <c r="AW218" s="11" t="s">
        <v>694</v>
      </c>
    </row>
    <row r="219" spans="1:49" s="11" customFormat="1">
      <c r="A219" s="184"/>
      <c r="B219" s="169"/>
      <c r="C219" s="169"/>
      <c r="D219" s="169"/>
      <c r="E219" s="169"/>
      <c r="F219" s="169"/>
      <c r="H219" s="172"/>
      <c r="I219" s="172"/>
      <c r="J219" s="172"/>
      <c r="K219" s="172"/>
      <c r="L219" s="172"/>
      <c r="M219" s="172"/>
      <c r="N219" s="172"/>
      <c r="O219" s="172"/>
      <c r="P219" s="172"/>
      <c r="Q219" s="172"/>
      <c r="R219" s="172"/>
      <c r="S219" s="172"/>
      <c r="T219" s="172"/>
      <c r="U219" s="172"/>
      <c r="V219" s="172"/>
      <c r="X219" s="169"/>
      <c r="Y219" s="169"/>
      <c r="Z219" s="169"/>
      <c r="AA219" s="170"/>
      <c r="AW219" s="11" t="s">
        <v>694</v>
      </c>
    </row>
    <row r="220" spans="1:49" s="11" customFormat="1">
      <c r="A220" s="184"/>
      <c r="B220" s="169"/>
      <c r="C220" s="169"/>
      <c r="D220" s="169"/>
      <c r="E220" s="169"/>
      <c r="F220" s="169"/>
      <c r="H220" s="172"/>
      <c r="I220" s="172"/>
      <c r="J220" s="172"/>
      <c r="K220" s="172"/>
      <c r="L220" s="172"/>
      <c r="M220" s="172"/>
      <c r="N220" s="172"/>
      <c r="O220" s="172"/>
      <c r="P220" s="172"/>
      <c r="Q220" s="172"/>
      <c r="R220" s="172"/>
      <c r="S220" s="172"/>
      <c r="T220" s="172"/>
      <c r="U220" s="172"/>
      <c r="V220" s="172"/>
      <c r="X220" s="169"/>
      <c r="Y220" s="169"/>
      <c r="Z220" s="169"/>
      <c r="AA220" s="170"/>
      <c r="AW220" s="11" t="s">
        <v>694</v>
      </c>
    </row>
    <row r="221" spans="1:49" s="11" customFormat="1">
      <c r="A221" s="184"/>
      <c r="B221" s="169"/>
      <c r="C221" s="169"/>
      <c r="D221" s="169"/>
      <c r="E221" s="169"/>
      <c r="F221" s="169"/>
      <c r="H221" s="172"/>
      <c r="I221" s="172"/>
      <c r="J221" s="172"/>
      <c r="K221" s="172"/>
      <c r="L221" s="172"/>
      <c r="M221" s="172"/>
      <c r="N221" s="172"/>
      <c r="O221" s="172"/>
      <c r="P221" s="172"/>
      <c r="Q221" s="172"/>
      <c r="R221" s="172"/>
      <c r="S221" s="172"/>
      <c r="T221" s="172"/>
      <c r="U221" s="172"/>
      <c r="V221" s="172"/>
      <c r="X221" s="169"/>
      <c r="Y221" s="169"/>
      <c r="Z221" s="169"/>
      <c r="AA221" s="170"/>
      <c r="AW221" s="11" t="s">
        <v>694</v>
      </c>
    </row>
    <row r="222" spans="1:49" s="11" customFormat="1">
      <c r="A222" s="184"/>
      <c r="B222" s="169"/>
      <c r="C222" s="169"/>
      <c r="D222" s="169"/>
      <c r="E222" s="169"/>
      <c r="F222" s="169"/>
      <c r="H222" s="172"/>
      <c r="I222" s="172"/>
      <c r="J222" s="172"/>
      <c r="K222" s="172"/>
      <c r="L222" s="172"/>
      <c r="M222" s="172"/>
      <c r="N222" s="172"/>
      <c r="O222" s="172"/>
      <c r="P222" s="172"/>
      <c r="Q222" s="172"/>
      <c r="R222" s="172"/>
      <c r="S222" s="172"/>
      <c r="T222" s="172"/>
      <c r="U222" s="172"/>
      <c r="V222" s="172"/>
      <c r="X222" s="169"/>
      <c r="Y222" s="169"/>
      <c r="Z222" s="169"/>
      <c r="AA222" s="170"/>
      <c r="AW222" s="11" t="s">
        <v>694</v>
      </c>
    </row>
    <row r="223" spans="1:49" s="11" customFormat="1">
      <c r="A223" s="184"/>
      <c r="B223" s="169"/>
      <c r="C223" s="169"/>
      <c r="D223" s="169"/>
      <c r="E223" s="169"/>
      <c r="F223" s="169"/>
      <c r="H223" s="172"/>
      <c r="I223" s="172"/>
      <c r="J223" s="172"/>
      <c r="K223" s="172"/>
      <c r="L223" s="172"/>
      <c r="M223" s="172"/>
      <c r="N223" s="172"/>
      <c r="O223" s="172"/>
      <c r="P223" s="172"/>
      <c r="Q223" s="172"/>
      <c r="R223" s="172"/>
      <c r="S223" s="172"/>
      <c r="T223" s="172"/>
      <c r="U223" s="172"/>
      <c r="V223" s="172"/>
      <c r="X223" s="169"/>
      <c r="Y223" s="169"/>
      <c r="Z223" s="169"/>
      <c r="AA223" s="170"/>
      <c r="AW223" s="11" t="s">
        <v>694</v>
      </c>
    </row>
    <row r="224" spans="1:49" s="11" customFormat="1">
      <c r="A224" s="184"/>
      <c r="B224" s="169"/>
      <c r="C224" s="169"/>
      <c r="D224" s="169"/>
      <c r="E224" s="169"/>
      <c r="F224" s="169"/>
      <c r="H224" s="172"/>
      <c r="I224" s="172"/>
      <c r="J224" s="172"/>
      <c r="K224" s="172"/>
      <c r="L224" s="172"/>
      <c r="M224" s="172"/>
      <c r="N224" s="172"/>
      <c r="O224" s="172"/>
      <c r="P224" s="172"/>
      <c r="Q224" s="172"/>
      <c r="R224" s="172"/>
      <c r="S224" s="172"/>
      <c r="T224" s="172"/>
      <c r="U224" s="172"/>
      <c r="V224" s="172"/>
      <c r="X224" s="169"/>
      <c r="Y224" s="169"/>
      <c r="Z224" s="169"/>
      <c r="AA224" s="170"/>
      <c r="AW224" s="11" t="s">
        <v>694</v>
      </c>
    </row>
    <row r="225" spans="1:49" s="11" customFormat="1">
      <c r="A225" s="184"/>
      <c r="B225" s="169"/>
      <c r="C225" s="169"/>
      <c r="D225" s="169"/>
      <c r="E225" s="169"/>
      <c r="F225" s="169"/>
      <c r="H225" s="172"/>
      <c r="I225" s="172"/>
      <c r="J225" s="172"/>
      <c r="K225" s="172"/>
      <c r="L225" s="172"/>
      <c r="M225" s="172"/>
      <c r="N225" s="172"/>
      <c r="O225" s="172"/>
      <c r="P225" s="172"/>
      <c r="Q225" s="172"/>
      <c r="R225" s="172"/>
      <c r="S225" s="172"/>
      <c r="T225" s="172"/>
      <c r="U225" s="172"/>
      <c r="V225" s="172"/>
      <c r="X225" s="169"/>
      <c r="Y225" s="169"/>
      <c r="Z225" s="169"/>
      <c r="AA225" s="170"/>
      <c r="AW225" s="11" t="s">
        <v>694</v>
      </c>
    </row>
    <row r="226" spans="1:49" s="11" customFormat="1">
      <c r="A226" s="184"/>
      <c r="B226" s="169"/>
      <c r="C226" s="169"/>
      <c r="D226" s="169"/>
      <c r="E226" s="169"/>
      <c r="F226" s="169"/>
      <c r="H226" s="172"/>
      <c r="I226" s="172"/>
      <c r="J226" s="172"/>
      <c r="K226" s="172"/>
      <c r="L226" s="172"/>
      <c r="M226" s="172"/>
      <c r="N226" s="172"/>
      <c r="O226" s="172"/>
      <c r="P226" s="172"/>
      <c r="Q226" s="172"/>
      <c r="R226" s="172"/>
      <c r="S226" s="172"/>
      <c r="T226" s="172"/>
      <c r="U226" s="172"/>
      <c r="V226" s="172"/>
      <c r="X226" s="169"/>
      <c r="Y226" s="169"/>
      <c r="Z226" s="169"/>
      <c r="AA226" s="170"/>
      <c r="AW226" s="11" t="s">
        <v>694</v>
      </c>
    </row>
    <row r="227" spans="1:49" s="11" customFormat="1">
      <c r="A227" s="184"/>
      <c r="B227" s="169"/>
      <c r="C227" s="169"/>
      <c r="D227" s="169"/>
      <c r="E227" s="169"/>
      <c r="F227" s="169"/>
      <c r="H227" s="172"/>
      <c r="I227" s="172"/>
      <c r="J227" s="172"/>
      <c r="K227" s="172"/>
      <c r="L227" s="172"/>
      <c r="M227" s="172"/>
      <c r="N227" s="172"/>
      <c r="O227" s="172"/>
      <c r="P227" s="172"/>
      <c r="Q227" s="172"/>
      <c r="R227" s="172"/>
      <c r="S227" s="172"/>
      <c r="T227" s="172"/>
      <c r="U227" s="172"/>
      <c r="V227" s="172"/>
      <c r="X227" s="169"/>
      <c r="Y227" s="169"/>
      <c r="Z227" s="169"/>
      <c r="AA227" s="170"/>
      <c r="AW227" s="11" t="s">
        <v>694</v>
      </c>
    </row>
    <row r="228" spans="1:49" s="11" customFormat="1">
      <c r="A228" s="184"/>
      <c r="B228" s="169"/>
      <c r="C228" s="169"/>
      <c r="D228" s="169"/>
      <c r="E228" s="169"/>
      <c r="F228" s="169"/>
      <c r="H228" s="172"/>
      <c r="I228" s="172"/>
      <c r="J228" s="172"/>
      <c r="K228" s="172"/>
      <c r="L228" s="172"/>
      <c r="M228" s="172"/>
      <c r="N228" s="172"/>
      <c r="O228" s="172"/>
      <c r="P228" s="172"/>
      <c r="Q228" s="172"/>
      <c r="R228" s="172"/>
      <c r="S228" s="172"/>
      <c r="T228" s="172"/>
      <c r="U228" s="172"/>
      <c r="V228" s="172"/>
      <c r="X228" s="169"/>
      <c r="Y228" s="169"/>
      <c r="Z228" s="169"/>
      <c r="AA228" s="170"/>
      <c r="AW228" s="11" t="s">
        <v>694</v>
      </c>
    </row>
    <row r="229" spans="1:49" s="11" customFormat="1">
      <c r="A229" s="184"/>
      <c r="B229" s="169"/>
      <c r="C229" s="169"/>
      <c r="D229" s="169"/>
      <c r="E229" s="169"/>
      <c r="F229" s="169"/>
      <c r="H229" s="172"/>
      <c r="I229" s="172"/>
      <c r="J229" s="172"/>
      <c r="K229" s="172"/>
      <c r="L229" s="172"/>
      <c r="M229" s="172"/>
      <c r="N229" s="172"/>
      <c r="O229" s="172"/>
      <c r="P229" s="172"/>
      <c r="Q229" s="172"/>
      <c r="R229" s="172"/>
      <c r="S229" s="172"/>
      <c r="T229" s="172"/>
      <c r="U229" s="172"/>
      <c r="V229" s="172"/>
      <c r="X229" s="169"/>
      <c r="Y229" s="169"/>
      <c r="Z229" s="169"/>
      <c r="AA229" s="170"/>
      <c r="AW229" s="11" t="s">
        <v>694</v>
      </c>
    </row>
    <row r="230" spans="1:49" s="11" customFormat="1">
      <c r="A230" s="184"/>
      <c r="B230" s="169"/>
      <c r="C230" s="169"/>
      <c r="D230" s="169"/>
      <c r="E230" s="169"/>
      <c r="F230" s="169"/>
      <c r="H230" s="172"/>
      <c r="I230" s="172"/>
      <c r="J230" s="172"/>
      <c r="K230" s="172"/>
      <c r="L230" s="172"/>
      <c r="M230" s="172"/>
      <c r="N230" s="172"/>
      <c r="O230" s="172"/>
      <c r="P230" s="172"/>
      <c r="Q230" s="172"/>
      <c r="R230" s="172"/>
      <c r="S230" s="172"/>
      <c r="T230" s="172"/>
      <c r="U230" s="172"/>
      <c r="V230" s="172"/>
      <c r="X230" s="169"/>
      <c r="Y230" s="169"/>
      <c r="Z230" s="169"/>
      <c r="AA230" s="170"/>
      <c r="AW230" s="11" t="s">
        <v>694</v>
      </c>
    </row>
    <row r="231" spans="1:49" s="11" customFormat="1">
      <c r="A231" s="184"/>
      <c r="B231" s="169"/>
      <c r="C231" s="169"/>
      <c r="D231" s="169"/>
      <c r="E231" s="169"/>
      <c r="F231" s="169"/>
      <c r="H231" s="172"/>
      <c r="I231" s="172"/>
      <c r="J231" s="172"/>
      <c r="K231" s="172"/>
      <c r="L231" s="172"/>
      <c r="M231" s="172"/>
      <c r="N231" s="172"/>
      <c r="O231" s="172"/>
      <c r="P231" s="172"/>
      <c r="Q231" s="172"/>
      <c r="R231" s="172"/>
      <c r="S231" s="172"/>
      <c r="T231" s="172"/>
      <c r="U231" s="172"/>
      <c r="V231" s="172"/>
      <c r="X231" s="169"/>
      <c r="Y231" s="169"/>
      <c r="Z231" s="169"/>
      <c r="AA231" s="170"/>
      <c r="AW231" s="11" t="s">
        <v>694</v>
      </c>
    </row>
    <row r="232" spans="1:49" s="11" customFormat="1">
      <c r="A232" s="184"/>
      <c r="B232" s="169"/>
      <c r="C232" s="169"/>
      <c r="D232" s="169"/>
      <c r="E232" s="169"/>
      <c r="F232" s="169"/>
      <c r="H232" s="172"/>
      <c r="I232" s="172"/>
      <c r="J232" s="172"/>
      <c r="K232" s="172"/>
      <c r="L232" s="172"/>
      <c r="M232" s="172"/>
      <c r="N232" s="172"/>
      <c r="O232" s="172"/>
      <c r="P232" s="172"/>
      <c r="Q232" s="172"/>
      <c r="R232" s="172"/>
      <c r="S232" s="172"/>
      <c r="T232" s="172"/>
      <c r="U232" s="172"/>
      <c r="V232" s="172"/>
      <c r="X232" s="169"/>
      <c r="Y232" s="169"/>
      <c r="Z232" s="169"/>
      <c r="AA232" s="170"/>
      <c r="AW232" s="11" t="s">
        <v>694</v>
      </c>
    </row>
    <row r="233" spans="1:49" s="11" customFormat="1">
      <c r="A233" s="184"/>
      <c r="B233" s="169"/>
      <c r="C233" s="169"/>
      <c r="D233" s="169"/>
      <c r="E233" s="169"/>
      <c r="F233" s="169"/>
      <c r="H233" s="172"/>
      <c r="I233" s="172"/>
      <c r="J233" s="172"/>
      <c r="K233" s="172"/>
      <c r="L233" s="172"/>
      <c r="M233" s="172"/>
      <c r="N233" s="172"/>
      <c r="O233" s="172"/>
      <c r="P233" s="172"/>
      <c r="Q233" s="172"/>
      <c r="R233" s="172"/>
      <c r="S233" s="172"/>
      <c r="T233" s="172"/>
      <c r="U233" s="172"/>
      <c r="V233" s="172"/>
      <c r="X233" s="169"/>
      <c r="Y233" s="169"/>
      <c r="Z233" s="169"/>
      <c r="AA233" s="170"/>
      <c r="AW233" s="11" t="s">
        <v>694</v>
      </c>
    </row>
    <row r="234" spans="1:49" s="11" customFormat="1">
      <c r="A234" s="184"/>
      <c r="B234" s="169"/>
      <c r="C234" s="169"/>
      <c r="D234" s="169"/>
      <c r="E234" s="169"/>
      <c r="F234" s="169"/>
      <c r="H234" s="172"/>
      <c r="I234" s="172"/>
      <c r="J234" s="172"/>
      <c r="K234" s="172"/>
      <c r="L234" s="172"/>
      <c r="M234" s="172"/>
      <c r="N234" s="172"/>
      <c r="O234" s="172"/>
      <c r="P234" s="172"/>
      <c r="Q234" s="172"/>
      <c r="R234" s="172"/>
      <c r="S234" s="172"/>
      <c r="T234" s="172"/>
      <c r="U234" s="172"/>
      <c r="V234" s="172"/>
      <c r="X234" s="169"/>
      <c r="Y234" s="169"/>
      <c r="Z234" s="169"/>
      <c r="AA234" s="170"/>
      <c r="AW234" s="11" t="s">
        <v>694</v>
      </c>
    </row>
    <row r="235" spans="1:49" s="11" customFormat="1">
      <c r="A235" s="184"/>
      <c r="B235" s="169"/>
      <c r="C235" s="169"/>
      <c r="D235" s="169"/>
      <c r="E235" s="169"/>
      <c r="F235" s="169"/>
      <c r="H235" s="172"/>
      <c r="I235" s="172"/>
      <c r="J235" s="172"/>
      <c r="K235" s="172"/>
      <c r="L235" s="172"/>
      <c r="M235" s="172"/>
      <c r="N235" s="172"/>
      <c r="O235" s="172"/>
      <c r="P235" s="172"/>
      <c r="Q235" s="172"/>
      <c r="R235" s="172"/>
      <c r="S235" s="172"/>
      <c r="T235" s="172"/>
      <c r="U235" s="172"/>
      <c r="V235" s="172"/>
      <c r="X235" s="169"/>
      <c r="Y235" s="169"/>
      <c r="Z235" s="169"/>
      <c r="AA235" s="170"/>
      <c r="AW235" s="11" t="s">
        <v>694</v>
      </c>
    </row>
    <row r="236" spans="1:49" s="11" customFormat="1">
      <c r="A236" s="184"/>
      <c r="B236" s="169"/>
      <c r="C236" s="169"/>
      <c r="D236" s="169"/>
      <c r="E236" s="169"/>
      <c r="F236" s="169"/>
      <c r="H236" s="172"/>
      <c r="I236" s="172"/>
      <c r="J236" s="172"/>
      <c r="K236" s="172"/>
      <c r="L236" s="172"/>
      <c r="M236" s="172"/>
      <c r="N236" s="172"/>
      <c r="O236" s="172"/>
      <c r="P236" s="172"/>
      <c r="Q236" s="172"/>
      <c r="R236" s="172"/>
      <c r="S236" s="172"/>
      <c r="T236" s="172"/>
      <c r="U236" s="172"/>
      <c r="V236" s="172"/>
      <c r="X236" s="169"/>
      <c r="Y236" s="169"/>
      <c r="Z236" s="169"/>
      <c r="AA236" s="170"/>
      <c r="AW236" s="11" t="s">
        <v>694</v>
      </c>
    </row>
    <row r="237" spans="1:49" s="11" customFormat="1">
      <c r="A237" s="184"/>
      <c r="B237" s="169"/>
      <c r="C237" s="169"/>
      <c r="D237" s="169"/>
      <c r="E237" s="169"/>
      <c r="F237" s="169"/>
      <c r="H237" s="172"/>
      <c r="I237" s="172"/>
      <c r="J237" s="172"/>
      <c r="K237" s="172"/>
      <c r="L237" s="172"/>
      <c r="M237" s="172"/>
      <c r="N237" s="172"/>
      <c r="O237" s="172"/>
      <c r="P237" s="172"/>
      <c r="Q237" s="172"/>
      <c r="R237" s="172"/>
      <c r="S237" s="172"/>
      <c r="T237" s="172"/>
      <c r="U237" s="172"/>
      <c r="V237" s="172"/>
      <c r="X237" s="169"/>
      <c r="Y237" s="169"/>
      <c r="Z237" s="169"/>
      <c r="AA237" s="170"/>
      <c r="AW237" s="11" t="s">
        <v>694</v>
      </c>
    </row>
    <row r="238" spans="1:49" s="11" customFormat="1">
      <c r="A238" s="184"/>
      <c r="B238" s="169"/>
      <c r="C238" s="169"/>
      <c r="D238" s="169"/>
      <c r="E238" s="169"/>
      <c r="F238" s="169"/>
      <c r="H238" s="172"/>
      <c r="I238" s="172"/>
      <c r="J238" s="172"/>
      <c r="K238" s="172"/>
      <c r="L238" s="172"/>
      <c r="M238" s="172"/>
      <c r="N238" s="172"/>
      <c r="O238" s="172"/>
      <c r="P238" s="172"/>
      <c r="Q238" s="172"/>
      <c r="R238" s="172"/>
      <c r="S238" s="172"/>
      <c r="T238" s="172"/>
      <c r="U238" s="172"/>
      <c r="V238" s="172"/>
      <c r="X238" s="169"/>
      <c r="Y238" s="169"/>
      <c r="Z238" s="169"/>
      <c r="AA238" s="170"/>
      <c r="AW238" s="11" t="s">
        <v>694</v>
      </c>
    </row>
    <row r="239" spans="1:49" s="11" customFormat="1">
      <c r="A239" s="184"/>
      <c r="B239" s="169"/>
      <c r="C239" s="169"/>
      <c r="D239" s="169"/>
      <c r="E239" s="169"/>
      <c r="F239" s="169"/>
      <c r="H239" s="172"/>
      <c r="I239" s="172"/>
      <c r="J239" s="172"/>
      <c r="K239" s="172"/>
      <c r="L239" s="172"/>
      <c r="M239" s="172"/>
      <c r="N239" s="172"/>
      <c r="O239" s="172"/>
      <c r="P239" s="172"/>
      <c r="Q239" s="172"/>
      <c r="R239" s="172"/>
      <c r="S239" s="172"/>
      <c r="T239" s="172"/>
      <c r="U239" s="172"/>
      <c r="V239" s="172"/>
      <c r="X239" s="169"/>
      <c r="Y239" s="169"/>
      <c r="Z239" s="169"/>
      <c r="AA239" s="170"/>
      <c r="AW239" s="11" t="s">
        <v>694</v>
      </c>
    </row>
    <row r="240" spans="1:49" s="11" customFormat="1">
      <c r="A240" s="184"/>
      <c r="B240" s="169"/>
      <c r="C240" s="169"/>
      <c r="D240" s="169"/>
      <c r="E240" s="169"/>
      <c r="F240" s="169"/>
      <c r="H240" s="172"/>
      <c r="I240" s="172"/>
      <c r="J240" s="172"/>
      <c r="K240" s="172"/>
      <c r="L240" s="172"/>
      <c r="M240" s="172"/>
      <c r="N240" s="172"/>
      <c r="O240" s="172"/>
      <c r="P240" s="172"/>
      <c r="Q240" s="172"/>
      <c r="R240" s="172"/>
      <c r="S240" s="172"/>
      <c r="T240" s="172"/>
      <c r="U240" s="172"/>
      <c r="V240" s="172"/>
      <c r="X240" s="169"/>
      <c r="Y240" s="169"/>
      <c r="Z240" s="169"/>
      <c r="AA240" s="170"/>
      <c r="AW240" s="11" t="s">
        <v>694</v>
      </c>
    </row>
    <row r="241" spans="1:49" s="11" customFormat="1">
      <c r="A241" s="184"/>
      <c r="B241" s="169"/>
      <c r="C241" s="169"/>
      <c r="D241" s="169"/>
      <c r="E241" s="169"/>
      <c r="F241" s="169"/>
      <c r="H241" s="172"/>
      <c r="I241" s="172"/>
      <c r="J241" s="172"/>
      <c r="K241" s="172"/>
      <c r="L241" s="172"/>
      <c r="M241" s="172"/>
      <c r="N241" s="172"/>
      <c r="O241" s="172"/>
      <c r="P241" s="172"/>
      <c r="Q241" s="172"/>
      <c r="R241" s="172"/>
      <c r="S241" s="172"/>
      <c r="T241" s="172"/>
      <c r="U241" s="172"/>
      <c r="V241" s="172"/>
      <c r="X241" s="169"/>
      <c r="Y241" s="169"/>
      <c r="Z241" s="169"/>
      <c r="AA241" s="170"/>
      <c r="AW241" s="11" t="s">
        <v>694</v>
      </c>
    </row>
    <row r="242" spans="1:49" s="11" customFormat="1">
      <c r="A242" s="184"/>
      <c r="B242" s="169"/>
      <c r="C242" s="169"/>
      <c r="D242" s="169"/>
      <c r="E242" s="169"/>
      <c r="F242" s="169"/>
      <c r="H242" s="172"/>
      <c r="I242" s="172"/>
      <c r="J242" s="172"/>
      <c r="K242" s="172"/>
      <c r="L242" s="172"/>
      <c r="M242" s="172"/>
      <c r="N242" s="172"/>
      <c r="O242" s="172"/>
      <c r="P242" s="172"/>
      <c r="Q242" s="172"/>
      <c r="R242" s="172"/>
      <c r="S242" s="172"/>
      <c r="T242" s="172"/>
      <c r="U242" s="172"/>
      <c r="V242" s="172"/>
      <c r="X242" s="169"/>
      <c r="Y242" s="169"/>
      <c r="Z242" s="169"/>
      <c r="AA242" s="170"/>
      <c r="AW242" s="11" t="s">
        <v>694</v>
      </c>
    </row>
    <row r="243" spans="1:49" s="11" customFormat="1">
      <c r="A243" s="184"/>
      <c r="B243" s="169"/>
      <c r="C243" s="169"/>
      <c r="D243" s="169"/>
      <c r="E243" s="169"/>
      <c r="F243" s="169"/>
      <c r="H243" s="172"/>
      <c r="I243" s="172"/>
      <c r="J243" s="172"/>
      <c r="K243" s="172"/>
      <c r="L243" s="172"/>
      <c r="M243" s="172"/>
      <c r="N243" s="172"/>
      <c r="O243" s="172"/>
      <c r="P243" s="172"/>
      <c r="Q243" s="172"/>
      <c r="R243" s="172"/>
      <c r="S243" s="172"/>
      <c r="T243" s="172"/>
      <c r="U243" s="172"/>
      <c r="V243" s="172"/>
      <c r="X243" s="169"/>
      <c r="Y243" s="169"/>
      <c r="Z243" s="169"/>
      <c r="AA243" s="170"/>
      <c r="AW243" s="11" t="s">
        <v>694</v>
      </c>
    </row>
    <row r="244" spans="1:49" s="11" customFormat="1">
      <c r="A244" s="184"/>
      <c r="B244" s="169"/>
      <c r="C244" s="169"/>
      <c r="D244" s="169"/>
      <c r="E244" s="169"/>
      <c r="F244" s="169"/>
      <c r="H244" s="172"/>
      <c r="I244" s="172"/>
      <c r="J244" s="172"/>
      <c r="K244" s="172"/>
      <c r="L244" s="172"/>
      <c r="M244" s="172"/>
      <c r="N244" s="172"/>
      <c r="O244" s="172"/>
      <c r="P244" s="172"/>
      <c r="Q244" s="172"/>
      <c r="R244" s="172"/>
      <c r="S244" s="172"/>
      <c r="T244" s="172"/>
      <c r="U244" s="172"/>
      <c r="V244" s="172"/>
      <c r="X244" s="169"/>
      <c r="Y244" s="169"/>
      <c r="Z244" s="169"/>
      <c r="AA244" s="170"/>
      <c r="AW244" s="11" t="s">
        <v>694</v>
      </c>
    </row>
    <row r="245" spans="1:49" s="11" customFormat="1">
      <c r="A245" s="184"/>
      <c r="B245" s="169"/>
      <c r="C245" s="169"/>
      <c r="D245" s="169"/>
      <c r="E245" s="169"/>
      <c r="F245" s="169"/>
      <c r="H245" s="172"/>
      <c r="I245" s="172"/>
      <c r="J245" s="172"/>
      <c r="K245" s="172"/>
      <c r="L245" s="172"/>
      <c r="M245" s="172"/>
      <c r="N245" s="172"/>
      <c r="O245" s="172"/>
      <c r="P245" s="172"/>
      <c r="Q245" s="172"/>
      <c r="R245" s="172"/>
      <c r="S245" s="172"/>
      <c r="T245" s="172"/>
      <c r="U245" s="172"/>
      <c r="V245" s="172"/>
      <c r="X245" s="169"/>
      <c r="Y245" s="169"/>
      <c r="Z245" s="169"/>
      <c r="AA245" s="170"/>
      <c r="AW245" s="11" t="s">
        <v>694</v>
      </c>
    </row>
    <row r="246" spans="1:49" s="11" customFormat="1">
      <c r="A246" s="184"/>
      <c r="B246" s="169"/>
      <c r="C246" s="169"/>
      <c r="D246" s="169"/>
      <c r="E246" s="169"/>
      <c r="F246" s="169"/>
      <c r="H246" s="172"/>
      <c r="I246" s="172"/>
      <c r="J246" s="172"/>
      <c r="K246" s="172"/>
      <c r="L246" s="172"/>
      <c r="M246" s="172"/>
      <c r="N246" s="172"/>
      <c r="O246" s="172"/>
      <c r="P246" s="172"/>
      <c r="Q246" s="172"/>
      <c r="R246" s="172"/>
      <c r="S246" s="172"/>
      <c r="T246" s="172"/>
      <c r="U246" s="172"/>
      <c r="V246" s="172"/>
      <c r="X246" s="169"/>
      <c r="Y246" s="169"/>
      <c r="Z246" s="169"/>
      <c r="AA246" s="170"/>
      <c r="AW246" s="11" t="s">
        <v>694</v>
      </c>
    </row>
    <row r="247" spans="1:49" s="11" customFormat="1">
      <c r="A247" s="184"/>
      <c r="B247" s="169"/>
      <c r="C247" s="169"/>
      <c r="D247" s="169"/>
      <c r="E247" s="169"/>
      <c r="F247" s="169"/>
      <c r="H247" s="172"/>
      <c r="I247" s="172"/>
      <c r="J247" s="172"/>
      <c r="K247" s="172"/>
      <c r="L247" s="172"/>
      <c r="M247" s="172"/>
      <c r="N247" s="172"/>
      <c r="O247" s="172"/>
      <c r="P247" s="172"/>
      <c r="Q247" s="172"/>
      <c r="R247" s="172"/>
      <c r="S247" s="172"/>
      <c r="T247" s="172"/>
      <c r="U247" s="172"/>
      <c r="V247" s="172"/>
      <c r="X247" s="169"/>
      <c r="Y247" s="169"/>
      <c r="Z247" s="169"/>
      <c r="AA247" s="170"/>
      <c r="AW247" s="11" t="s">
        <v>694</v>
      </c>
    </row>
    <row r="248" spans="1:49" s="11" customFormat="1">
      <c r="A248" s="184"/>
      <c r="B248" s="169"/>
      <c r="C248" s="169"/>
      <c r="D248" s="169"/>
      <c r="E248" s="169"/>
      <c r="F248" s="169"/>
      <c r="H248" s="172"/>
      <c r="I248" s="172"/>
      <c r="J248" s="172"/>
      <c r="K248" s="172"/>
      <c r="L248" s="172"/>
      <c r="M248" s="172"/>
      <c r="N248" s="172"/>
      <c r="O248" s="172"/>
      <c r="P248" s="172"/>
      <c r="Q248" s="172"/>
      <c r="R248" s="172"/>
      <c r="S248" s="172"/>
      <c r="T248" s="172"/>
      <c r="U248" s="172"/>
      <c r="V248" s="172"/>
      <c r="X248" s="169"/>
      <c r="Y248" s="169"/>
      <c r="Z248" s="169"/>
      <c r="AA248" s="170"/>
      <c r="AW248" s="11" t="s">
        <v>694</v>
      </c>
    </row>
    <row r="249" spans="1:49" s="11" customFormat="1">
      <c r="A249" s="184"/>
      <c r="B249" s="169"/>
      <c r="C249" s="169"/>
      <c r="D249" s="169"/>
      <c r="E249" s="169"/>
      <c r="F249" s="169"/>
      <c r="H249" s="172"/>
      <c r="I249" s="172"/>
      <c r="J249" s="172"/>
      <c r="K249" s="172"/>
      <c r="L249" s="172"/>
      <c r="M249" s="172"/>
      <c r="N249" s="172"/>
      <c r="O249" s="172"/>
      <c r="P249" s="172"/>
      <c r="Q249" s="172"/>
      <c r="R249" s="172"/>
      <c r="S249" s="172"/>
      <c r="T249" s="172"/>
      <c r="U249" s="172"/>
      <c r="V249" s="172"/>
      <c r="X249" s="169"/>
      <c r="Y249" s="169"/>
      <c r="Z249" s="169"/>
      <c r="AA249" s="170"/>
      <c r="AW249" s="11" t="s">
        <v>694</v>
      </c>
    </row>
    <row r="250" spans="1:49" s="11" customFormat="1">
      <c r="A250" s="184"/>
      <c r="B250" s="169"/>
      <c r="C250" s="169"/>
      <c r="D250" s="169"/>
      <c r="E250" s="169"/>
      <c r="F250" s="169"/>
      <c r="H250" s="172"/>
      <c r="I250" s="172"/>
      <c r="J250" s="172"/>
      <c r="K250" s="172"/>
      <c r="L250" s="172"/>
      <c r="M250" s="172"/>
      <c r="N250" s="172"/>
      <c r="O250" s="172"/>
      <c r="P250" s="172"/>
      <c r="Q250" s="172"/>
      <c r="R250" s="172"/>
      <c r="S250" s="172"/>
      <c r="T250" s="172"/>
      <c r="U250" s="172"/>
      <c r="V250" s="172"/>
      <c r="X250" s="169"/>
      <c r="Y250" s="169"/>
      <c r="Z250" s="169"/>
      <c r="AA250" s="170"/>
      <c r="AW250" s="11" t="s">
        <v>694</v>
      </c>
    </row>
    <row r="251" spans="1:49" s="11" customFormat="1">
      <c r="A251" s="184"/>
      <c r="B251" s="169"/>
      <c r="C251" s="169"/>
      <c r="D251" s="169"/>
      <c r="E251" s="169"/>
      <c r="F251" s="169"/>
      <c r="H251" s="172"/>
      <c r="I251" s="172"/>
      <c r="J251" s="172"/>
      <c r="K251" s="172"/>
      <c r="L251" s="172"/>
      <c r="M251" s="172"/>
      <c r="N251" s="172"/>
      <c r="O251" s="172"/>
      <c r="P251" s="172"/>
      <c r="Q251" s="172"/>
      <c r="R251" s="172"/>
      <c r="S251" s="172"/>
      <c r="T251" s="172"/>
      <c r="U251" s="172"/>
      <c r="V251" s="172"/>
      <c r="X251" s="169"/>
      <c r="Y251" s="169"/>
      <c r="Z251" s="169"/>
      <c r="AA251" s="170"/>
      <c r="AW251" s="11" t="s">
        <v>694</v>
      </c>
    </row>
    <row r="252" spans="1:49" s="11" customFormat="1">
      <c r="A252" s="184"/>
      <c r="B252" s="169"/>
      <c r="C252" s="169"/>
      <c r="D252" s="169"/>
      <c r="E252" s="169"/>
      <c r="F252" s="169"/>
      <c r="H252" s="172"/>
      <c r="I252" s="172"/>
      <c r="J252" s="172"/>
      <c r="K252" s="172"/>
      <c r="L252" s="172"/>
      <c r="M252" s="172"/>
      <c r="N252" s="172"/>
      <c r="O252" s="172"/>
      <c r="P252" s="172"/>
      <c r="Q252" s="172"/>
      <c r="R252" s="172"/>
      <c r="S252" s="172"/>
      <c r="T252" s="172"/>
      <c r="U252" s="172"/>
      <c r="V252" s="172"/>
      <c r="X252" s="169"/>
      <c r="Y252" s="169"/>
      <c r="Z252" s="169"/>
      <c r="AA252" s="170"/>
      <c r="AW252" s="11" t="s">
        <v>694</v>
      </c>
    </row>
    <row r="253" spans="1:49" s="11" customFormat="1">
      <c r="A253" s="184"/>
      <c r="B253" s="169"/>
      <c r="C253" s="169"/>
      <c r="D253" s="169"/>
      <c r="E253" s="169"/>
      <c r="F253" s="169"/>
      <c r="H253" s="172"/>
      <c r="I253" s="172"/>
      <c r="J253" s="172"/>
      <c r="K253" s="172"/>
      <c r="L253" s="172"/>
      <c r="M253" s="172"/>
      <c r="N253" s="172"/>
      <c r="O253" s="172"/>
      <c r="P253" s="172"/>
      <c r="Q253" s="172"/>
      <c r="R253" s="172"/>
      <c r="S253" s="172"/>
      <c r="T253" s="172"/>
      <c r="U253" s="172"/>
      <c r="V253" s="172"/>
      <c r="X253" s="169"/>
      <c r="Y253" s="169"/>
      <c r="Z253" s="169"/>
      <c r="AA253" s="170"/>
      <c r="AW253" s="11" t="s">
        <v>694</v>
      </c>
    </row>
    <row r="254" spans="1:49" s="11" customFormat="1">
      <c r="A254" s="184"/>
      <c r="B254" s="169"/>
      <c r="C254" s="169"/>
      <c r="D254" s="169"/>
      <c r="E254" s="169"/>
      <c r="F254" s="169"/>
      <c r="H254" s="172"/>
      <c r="I254" s="172"/>
      <c r="J254" s="172"/>
      <c r="K254" s="172"/>
      <c r="L254" s="172"/>
      <c r="M254" s="172"/>
      <c r="N254" s="172"/>
      <c r="O254" s="172"/>
      <c r="P254" s="172"/>
      <c r="Q254" s="172"/>
      <c r="R254" s="172"/>
      <c r="S254" s="172"/>
      <c r="T254" s="172"/>
      <c r="U254" s="172"/>
      <c r="V254" s="172"/>
      <c r="X254" s="169"/>
      <c r="Y254" s="169"/>
      <c r="Z254" s="169"/>
      <c r="AA254" s="170"/>
      <c r="AW254" s="11" t="s">
        <v>694</v>
      </c>
    </row>
    <row r="255" spans="1:49" s="11" customFormat="1">
      <c r="A255" s="184"/>
      <c r="B255" s="169"/>
      <c r="C255" s="169"/>
      <c r="D255" s="169"/>
      <c r="E255" s="169"/>
      <c r="F255" s="169"/>
      <c r="H255" s="172"/>
      <c r="I255" s="172"/>
      <c r="J255" s="172"/>
      <c r="K255" s="172"/>
      <c r="L255" s="172"/>
      <c r="M255" s="172"/>
      <c r="N255" s="172"/>
      <c r="O255" s="172"/>
      <c r="P255" s="172"/>
      <c r="Q255" s="172"/>
      <c r="R255" s="172"/>
      <c r="S255" s="172"/>
      <c r="T255" s="172"/>
      <c r="U255" s="172"/>
      <c r="V255" s="172"/>
      <c r="X255" s="169"/>
      <c r="Y255" s="169"/>
      <c r="Z255" s="169"/>
      <c r="AA255" s="170"/>
      <c r="AW255" s="11" t="s">
        <v>694</v>
      </c>
    </row>
    <row r="256" spans="1:49" s="11" customFormat="1">
      <c r="A256" s="184"/>
      <c r="B256" s="169"/>
      <c r="C256" s="169"/>
      <c r="D256" s="169"/>
      <c r="E256" s="169"/>
      <c r="F256" s="169"/>
      <c r="H256" s="172"/>
      <c r="I256" s="172"/>
      <c r="J256" s="172"/>
      <c r="K256" s="172"/>
      <c r="L256" s="172"/>
      <c r="M256" s="172"/>
      <c r="N256" s="172"/>
      <c r="O256" s="172"/>
      <c r="P256" s="172"/>
      <c r="Q256" s="172"/>
      <c r="R256" s="172"/>
      <c r="S256" s="172"/>
      <c r="T256" s="172"/>
      <c r="U256" s="172"/>
      <c r="V256" s="172"/>
      <c r="X256" s="169"/>
      <c r="Y256" s="169"/>
      <c r="Z256" s="169"/>
      <c r="AA256" s="170"/>
      <c r="AW256" s="11" t="s">
        <v>694</v>
      </c>
    </row>
    <row r="257" spans="1:49" s="11" customFormat="1">
      <c r="A257" s="184"/>
      <c r="B257" s="169"/>
      <c r="C257" s="169"/>
      <c r="D257" s="169"/>
      <c r="E257" s="169"/>
      <c r="F257" s="169"/>
      <c r="H257" s="172"/>
      <c r="I257" s="172"/>
      <c r="J257" s="172"/>
      <c r="K257" s="172"/>
      <c r="L257" s="172"/>
      <c r="M257" s="172"/>
      <c r="N257" s="172"/>
      <c r="O257" s="172"/>
      <c r="P257" s="172"/>
      <c r="Q257" s="172"/>
      <c r="R257" s="172"/>
      <c r="S257" s="172"/>
      <c r="T257" s="172"/>
      <c r="U257" s="172"/>
      <c r="V257" s="172"/>
      <c r="X257" s="169"/>
      <c r="Y257" s="169"/>
      <c r="Z257" s="169"/>
      <c r="AA257" s="170"/>
      <c r="AW257" s="11" t="s">
        <v>694</v>
      </c>
    </row>
    <row r="258" spans="1:49" s="11" customFormat="1">
      <c r="A258" s="184"/>
      <c r="B258" s="169"/>
      <c r="C258" s="169"/>
      <c r="D258" s="169"/>
      <c r="E258" s="169"/>
      <c r="F258" s="169"/>
      <c r="H258" s="172"/>
      <c r="I258" s="172"/>
      <c r="J258" s="172"/>
      <c r="K258" s="172"/>
      <c r="L258" s="172"/>
      <c r="M258" s="172"/>
      <c r="N258" s="172"/>
      <c r="O258" s="172"/>
      <c r="P258" s="172"/>
      <c r="Q258" s="172"/>
      <c r="R258" s="172"/>
      <c r="S258" s="172"/>
      <c r="T258" s="172"/>
      <c r="U258" s="172"/>
      <c r="V258" s="172"/>
      <c r="X258" s="169"/>
      <c r="Y258" s="169"/>
      <c r="Z258" s="169"/>
      <c r="AA258" s="170"/>
      <c r="AW258" s="11" t="s">
        <v>694</v>
      </c>
    </row>
    <row r="259" spans="1:49" s="11" customFormat="1">
      <c r="A259" s="184"/>
      <c r="B259" s="169"/>
      <c r="C259" s="169"/>
      <c r="D259" s="169"/>
      <c r="E259" s="169"/>
      <c r="F259" s="169"/>
      <c r="H259" s="172"/>
      <c r="I259" s="172"/>
      <c r="J259" s="172"/>
      <c r="K259" s="172"/>
      <c r="L259" s="172"/>
      <c r="M259" s="172"/>
      <c r="N259" s="172"/>
      <c r="O259" s="172"/>
      <c r="P259" s="172"/>
      <c r="Q259" s="172"/>
      <c r="R259" s="172"/>
      <c r="S259" s="172"/>
      <c r="T259" s="172"/>
      <c r="U259" s="172"/>
      <c r="V259" s="172"/>
      <c r="X259" s="169"/>
      <c r="Y259" s="169"/>
      <c r="Z259" s="169"/>
      <c r="AA259" s="170"/>
      <c r="AW259" s="11" t="s">
        <v>694</v>
      </c>
    </row>
    <row r="260" spans="1:49" s="11" customFormat="1">
      <c r="A260" s="184"/>
      <c r="B260" s="169"/>
      <c r="C260" s="169"/>
      <c r="D260" s="169"/>
      <c r="E260" s="169"/>
      <c r="F260" s="169"/>
      <c r="H260" s="172"/>
      <c r="I260" s="172"/>
      <c r="J260" s="172"/>
      <c r="K260" s="172"/>
      <c r="L260" s="172"/>
      <c r="M260" s="172"/>
      <c r="N260" s="172"/>
      <c r="O260" s="172"/>
      <c r="P260" s="172"/>
      <c r="Q260" s="172"/>
      <c r="R260" s="172"/>
      <c r="S260" s="172"/>
      <c r="T260" s="172"/>
      <c r="U260" s="172"/>
      <c r="V260" s="172"/>
      <c r="X260" s="169"/>
      <c r="Y260" s="169"/>
      <c r="Z260" s="169"/>
      <c r="AA260" s="170"/>
      <c r="AW260" s="11" t="s">
        <v>694</v>
      </c>
    </row>
    <row r="261" spans="1:49" s="11" customFormat="1">
      <c r="A261" s="184"/>
      <c r="B261" s="169"/>
      <c r="C261" s="169"/>
      <c r="D261" s="169"/>
      <c r="E261" s="169"/>
      <c r="F261" s="169"/>
      <c r="H261" s="172"/>
      <c r="I261" s="172"/>
      <c r="J261" s="172"/>
      <c r="K261" s="172"/>
      <c r="L261" s="172"/>
      <c r="M261" s="172"/>
      <c r="N261" s="172"/>
      <c r="O261" s="172"/>
      <c r="P261" s="172"/>
      <c r="Q261" s="172"/>
      <c r="R261" s="172"/>
      <c r="S261" s="172"/>
      <c r="T261" s="172"/>
      <c r="U261" s="172"/>
      <c r="V261" s="172"/>
      <c r="X261" s="169"/>
      <c r="Y261" s="169"/>
      <c r="Z261" s="169"/>
      <c r="AA261" s="170"/>
      <c r="AW261" s="11" t="s">
        <v>694</v>
      </c>
    </row>
    <row r="262" spans="1:49" s="11" customFormat="1">
      <c r="A262" s="184"/>
      <c r="B262" s="169"/>
      <c r="C262" s="169"/>
      <c r="D262" s="169"/>
      <c r="E262" s="169"/>
      <c r="F262" s="169"/>
      <c r="H262" s="172"/>
      <c r="I262" s="172"/>
      <c r="J262" s="172"/>
      <c r="K262" s="172"/>
      <c r="L262" s="172"/>
      <c r="M262" s="172"/>
      <c r="N262" s="172"/>
      <c r="O262" s="172"/>
      <c r="P262" s="172"/>
      <c r="Q262" s="172"/>
      <c r="R262" s="172"/>
      <c r="S262" s="172"/>
      <c r="T262" s="172"/>
      <c r="U262" s="172"/>
      <c r="V262" s="172"/>
      <c r="X262" s="169"/>
      <c r="Y262" s="169"/>
      <c r="Z262" s="169"/>
      <c r="AA262" s="170"/>
      <c r="AW262" s="11" t="s">
        <v>694</v>
      </c>
    </row>
    <row r="263" spans="1:49" s="11" customFormat="1">
      <c r="A263" s="184"/>
      <c r="B263" s="169"/>
      <c r="C263" s="169"/>
      <c r="D263" s="169"/>
      <c r="E263" s="169"/>
      <c r="F263" s="169"/>
      <c r="H263" s="172"/>
      <c r="I263" s="172"/>
      <c r="J263" s="172"/>
      <c r="K263" s="172"/>
      <c r="L263" s="172"/>
      <c r="M263" s="172"/>
      <c r="N263" s="172"/>
      <c r="O263" s="172"/>
      <c r="P263" s="172"/>
      <c r="Q263" s="172"/>
      <c r="R263" s="172"/>
      <c r="S263" s="172"/>
      <c r="T263" s="172"/>
      <c r="U263" s="172"/>
      <c r="V263" s="172"/>
      <c r="X263" s="169"/>
      <c r="Y263" s="169"/>
      <c r="Z263" s="169"/>
      <c r="AA263" s="170"/>
      <c r="AW263" s="11" t="s">
        <v>694</v>
      </c>
    </row>
    <row r="264" spans="1:49" s="11" customFormat="1">
      <c r="A264" s="184"/>
      <c r="B264" s="169"/>
      <c r="C264" s="169"/>
      <c r="D264" s="169"/>
      <c r="E264" s="169"/>
      <c r="F264" s="169"/>
      <c r="H264" s="172"/>
      <c r="I264" s="172"/>
      <c r="J264" s="172"/>
      <c r="K264" s="172"/>
      <c r="L264" s="172"/>
      <c r="M264" s="172"/>
      <c r="N264" s="172"/>
      <c r="O264" s="172"/>
      <c r="P264" s="172"/>
      <c r="Q264" s="172"/>
      <c r="R264" s="172"/>
      <c r="S264" s="172"/>
      <c r="T264" s="172"/>
      <c r="U264" s="172"/>
      <c r="V264" s="172"/>
      <c r="X264" s="169"/>
      <c r="Y264" s="169"/>
      <c r="Z264" s="169"/>
      <c r="AA264" s="170"/>
      <c r="AW264" s="11" t="s">
        <v>694</v>
      </c>
    </row>
    <row r="265" spans="1:49" s="11" customFormat="1">
      <c r="A265" s="184"/>
      <c r="B265" s="169"/>
      <c r="C265" s="169"/>
      <c r="D265" s="169"/>
      <c r="E265" s="169"/>
      <c r="F265" s="169"/>
      <c r="H265" s="172"/>
      <c r="I265" s="172"/>
      <c r="J265" s="172"/>
      <c r="K265" s="172"/>
      <c r="L265" s="172"/>
      <c r="M265" s="172"/>
      <c r="N265" s="172"/>
      <c r="O265" s="172"/>
      <c r="P265" s="172"/>
      <c r="Q265" s="172"/>
      <c r="R265" s="172"/>
      <c r="S265" s="172"/>
      <c r="T265" s="172"/>
      <c r="U265" s="172"/>
      <c r="V265" s="172"/>
      <c r="X265" s="169"/>
      <c r="Y265" s="169"/>
      <c r="Z265" s="169"/>
      <c r="AA265" s="170"/>
      <c r="AW265" s="11" t="s">
        <v>694</v>
      </c>
    </row>
    <row r="266" spans="1:49" s="11" customFormat="1">
      <c r="A266" s="184"/>
      <c r="B266" s="169"/>
      <c r="C266" s="169"/>
      <c r="D266" s="169"/>
      <c r="E266" s="169"/>
      <c r="F266" s="169"/>
      <c r="H266" s="172"/>
      <c r="I266" s="172"/>
      <c r="J266" s="172"/>
      <c r="K266" s="172"/>
      <c r="L266" s="172"/>
      <c r="M266" s="172"/>
      <c r="N266" s="172"/>
      <c r="O266" s="172"/>
      <c r="P266" s="172"/>
      <c r="Q266" s="172"/>
      <c r="R266" s="172"/>
      <c r="S266" s="172"/>
      <c r="T266" s="172"/>
      <c r="U266" s="172"/>
      <c r="V266" s="172"/>
      <c r="X266" s="169"/>
      <c r="Y266" s="169"/>
      <c r="Z266" s="169"/>
      <c r="AA266" s="170"/>
      <c r="AW266" s="11" t="s">
        <v>694</v>
      </c>
    </row>
    <row r="267" spans="1:49" s="11" customFormat="1">
      <c r="A267" s="184"/>
      <c r="B267" s="169"/>
      <c r="C267" s="169"/>
      <c r="D267" s="169"/>
      <c r="E267" s="169"/>
      <c r="F267" s="169"/>
      <c r="H267" s="172"/>
      <c r="I267" s="172"/>
      <c r="J267" s="172"/>
      <c r="K267" s="172"/>
      <c r="L267" s="172"/>
      <c r="M267" s="172"/>
      <c r="N267" s="172"/>
      <c r="O267" s="172"/>
      <c r="P267" s="172"/>
      <c r="Q267" s="172"/>
      <c r="R267" s="172"/>
      <c r="S267" s="172"/>
      <c r="T267" s="172"/>
      <c r="U267" s="172"/>
      <c r="V267" s="172"/>
      <c r="X267" s="169"/>
      <c r="Y267" s="169"/>
      <c r="Z267" s="169"/>
      <c r="AA267" s="170"/>
      <c r="AW267" s="11" t="s">
        <v>694</v>
      </c>
    </row>
    <row r="268" spans="1:49" s="11" customFormat="1">
      <c r="A268" s="184"/>
      <c r="B268" s="169"/>
      <c r="C268" s="169"/>
      <c r="D268" s="169"/>
      <c r="E268" s="169"/>
      <c r="F268" s="169"/>
      <c r="H268" s="172"/>
      <c r="I268" s="172"/>
      <c r="J268" s="172"/>
      <c r="K268" s="172"/>
      <c r="L268" s="172"/>
      <c r="M268" s="172"/>
      <c r="N268" s="172"/>
      <c r="O268" s="172"/>
      <c r="P268" s="172"/>
      <c r="Q268" s="172"/>
      <c r="R268" s="172"/>
      <c r="S268" s="172"/>
      <c r="T268" s="172"/>
      <c r="U268" s="172"/>
      <c r="V268" s="172"/>
      <c r="X268" s="169"/>
      <c r="Y268" s="169"/>
      <c r="Z268" s="169"/>
      <c r="AA268" s="170"/>
      <c r="AW268" s="11" t="s">
        <v>694</v>
      </c>
    </row>
    <row r="269" spans="1:49" s="11" customFormat="1">
      <c r="A269" s="184"/>
      <c r="B269" s="169"/>
      <c r="C269" s="169"/>
      <c r="D269" s="169"/>
      <c r="E269" s="169"/>
      <c r="F269" s="169"/>
      <c r="H269" s="172"/>
      <c r="I269" s="172"/>
      <c r="J269" s="172"/>
      <c r="K269" s="172"/>
      <c r="L269" s="172"/>
      <c r="M269" s="172"/>
      <c r="N269" s="172"/>
      <c r="O269" s="172"/>
      <c r="P269" s="172"/>
      <c r="Q269" s="172"/>
      <c r="R269" s="172"/>
      <c r="S269" s="172"/>
      <c r="T269" s="172"/>
      <c r="U269" s="172"/>
      <c r="V269" s="172"/>
      <c r="X269" s="169"/>
      <c r="Y269" s="169"/>
      <c r="Z269" s="169"/>
      <c r="AA269" s="170"/>
      <c r="AW269" s="11" t="s">
        <v>694</v>
      </c>
    </row>
    <row r="270" spans="1:49" s="11" customFormat="1">
      <c r="A270" s="184"/>
      <c r="B270" s="169"/>
      <c r="C270" s="169"/>
      <c r="D270" s="169"/>
      <c r="E270" s="169"/>
      <c r="F270" s="169"/>
      <c r="H270" s="172"/>
      <c r="I270" s="172"/>
      <c r="J270" s="172"/>
      <c r="K270" s="172"/>
      <c r="L270" s="172"/>
      <c r="M270" s="172"/>
      <c r="N270" s="172"/>
      <c r="O270" s="172"/>
      <c r="P270" s="172"/>
      <c r="Q270" s="172"/>
      <c r="R270" s="172"/>
      <c r="S270" s="172"/>
      <c r="T270" s="172"/>
      <c r="U270" s="172"/>
      <c r="V270" s="172"/>
      <c r="X270" s="169"/>
      <c r="Y270" s="169"/>
      <c r="Z270" s="169"/>
      <c r="AA270" s="170"/>
      <c r="AW270" s="11" t="s">
        <v>694</v>
      </c>
    </row>
    <row r="271" spans="1:49" s="11" customFormat="1">
      <c r="A271" s="184"/>
      <c r="B271" s="169"/>
      <c r="C271" s="169"/>
      <c r="D271" s="169"/>
      <c r="E271" s="169"/>
      <c r="F271" s="169"/>
      <c r="H271" s="172"/>
      <c r="I271" s="172"/>
      <c r="J271" s="172"/>
      <c r="K271" s="172"/>
      <c r="L271" s="172"/>
      <c r="M271" s="172"/>
      <c r="N271" s="172"/>
      <c r="O271" s="172"/>
      <c r="P271" s="172"/>
      <c r="Q271" s="172"/>
      <c r="R271" s="172"/>
      <c r="S271" s="172"/>
      <c r="T271" s="172"/>
      <c r="U271" s="172"/>
      <c r="V271" s="172"/>
      <c r="X271" s="169"/>
      <c r="Y271" s="169"/>
      <c r="Z271" s="169"/>
      <c r="AA271" s="170"/>
      <c r="AW271" s="11" t="s">
        <v>694</v>
      </c>
    </row>
    <row r="272" spans="1:49" s="11" customFormat="1">
      <c r="A272" s="184"/>
      <c r="B272" s="169"/>
      <c r="C272" s="169"/>
      <c r="D272" s="169"/>
      <c r="E272" s="169"/>
      <c r="F272" s="169"/>
      <c r="H272" s="172"/>
      <c r="I272" s="172"/>
      <c r="J272" s="172"/>
      <c r="K272" s="172"/>
      <c r="L272" s="172"/>
      <c r="M272" s="172"/>
      <c r="N272" s="172"/>
      <c r="O272" s="172"/>
      <c r="P272" s="172"/>
      <c r="Q272" s="172"/>
      <c r="R272" s="172"/>
      <c r="S272" s="172"/>
      <c r="T272" s="172"/>
      <c r="U272" s="172"/>
      <c r="V272" s="172"/>
      <c r="X272" s="169"/>
      <c r="Y272" s="169"/>
      <c r="Z272" s="169"/>
      <c r="AA272" s="170"/>
      <c r="AW272" s="11" t="s">
        <v>694</v>
      </c>
    </row>
    <row r="273" spans="1:49" s="11" customFormat="1">
      <c r="A273" s="184"/>
      <c r="B273" s="169"/>
      <c r="C273" s="169"/>
      <c r="D273" s="169"/>
      <c r="E273" s="169"/>
      <c r="F273" s="169"/>
      <c r="H273" s="172"/>
      <c r="I273" s="172"/>
      <c r="J273" s="172"/>
      <c r="K273" s="172"/>
      <c r="L273" s="172"/>
      <c r="M273" s="172"/>
      <c r="N273" s="172"/>
      <c r="O273" s="172"/>
      <c r="P273" s="172"/>
      <c r="Q273" s="172"/>
      <c r="R273" s="172"/>
      <c r="S273" s="172"/>
      <c r="T273" s="172"/>
      <c r="U273" s="172"/>
      <c r="V273" s="172"/>
      <c r="X273" s="169"/>
      <c r="Y273" s="169"/>
      <c r="Z273" s="169"/>
      <c r="AA273" s="170"/>
      <c r="AW273" s="11" t="s">
        <v>694</v>
      </c>
    </row>
    <row r="274" spans="1:49" s="11" customFormat="1">
      <c r="A274" s="184"/>
      <c r="B274" s="169"/>
      <c r="C274" s="169"/>
      <c r="D274" s="169"/>
      <c r="E274" s="169"/>
      <c r="F274" s="169"/>
      <c r="H274" s="172"/>
      <c r="I274" s="172"/>
      <c r="J274" s="172"/>
      <c r="K274" s="172"/>
      <c r="L274" s="172"/>
      <c r="M274" s="172"/>
      <c r="N274" s="172"/>
      <c r="O274" s="172"/>
      <c r="P274" s="172"/>
      <c r="Q274" s="172"/>
      <c r="R274" s="172"/>
      <c r="S274" s="172"/>
      <c r="T274" s="172"/>
      <c r="U274" s="172"/>
      <c r="V274" s="172"/>
      <c r="X274" s="169"/>
      <c r="Y274" s="169"/>
      <c r="Z274" s="169"/>
      <c r="AA274" s="170"/>
      <c r="AW274" s="11" t="s">
        <v>694</v>
      </c>
    </row>
    <row r="275" spans="1:49" s="11" customFormat="1">
      <c r="A275" s="184"/>
      <c r="B275" s="169"/>
      <c r="C275" s="169"/>
      <c r="D275" s="169"/>
      <c r="E275" s="169"/>
      <c r="F275" s="169"/>
      <c r="H275" s="172"/>
      <c r="I275" s="172"/>
      <c r="J275" s="172"/>
      <c r="K275" s="172"/>
      <c r="L275" s="172"/>
      <c r="M275" s="172"/>
      <c r="N275" s="172"/>
      <c r="O275" s="172"/>
      <c r="P275" s="172"/>
      <c r="Q275" s="172"/>
      <c r="R275" s="172"/>
      <c r="S275" s="172"/>
      <c r="T275" s="172"/>
      <c r="U275" s="172"/>
      <c r="V275" s="172"/>
      <c r="X275" s="169"/>
      <c r="Y275" s="169"/>
      <c r="Z275" s="169"/>
      <c r="AA275" s="170"/>
      <c r="AW275" s="11" t="s">
        <v>694</v>
      </c>
    </row>
    <row r="276" spans="1:49" s="11" customFormat="1">
      <c r="A276" s="184"/>
      <c r="B276" s="169"/>
      <c r="C276" s="169"/>
      <c r="D276" s="169"/>
      <c r="E276" s="169"/>
      <c r="F276" s="169"/>
      <c r="H276" s="172"/>
      <c r="I276" s="172"/>
      <c r="J276" s="172"/>
      <c r="K276" s="172"/>
      <c r="L276" s="172"/>
      <c r="M276" s="172"/>
      <c r="N276" s="172"/>
      <c r="O276" s="172"/>
      <c r="P276" s="172"/>
      <c r="Q276" s="172"/>
      <c r="R276" s="172"/>
      <c r="S276" s="172"/>
      <c r="T276" s="172"/>
      <c r="U276" s="172"/>
      <c r="V276" s="172"/>
      <c r="X276" s="169"/>
      <c r="Y276" s="169"/>
      <c r="Z276" s="169"/>
      <c r="AA276" s="170"/>
      <c r="AW276" s="11" t="s">
        <v>694</v>
      </c>
    </row>
    <row r="277" spans="1:49" s="11" customFormat="1">
      <c r="A277" s="184"/>
      <c r="B277" s="169"/>
      <c r="C277" s="169"/>
      <c r="D277" s="169"/>
      <c r="E277" s="169"/>
      <c r="F277" s="169"/>
      <c r="H277" s="172"/>
      <c r="I277" s="172"/>
      <c r="J277" s="172"/>
      <c r="K277" s="172"/>
      <c r="L277" s="172"/>
      <c r="M277" s="172"/>
      <c r="N277" s="172"/>
      <c r="O277" s="172"/>
      <c r="P277" s="172"/>
      <c r="Q277" s="172"/>
      <c r="R277" s="172"/>
      <c r="S277" s="172"/>
      <c r="T277" s="172"/>
      <c r="U277" s="172"/>
      <c r="V277" s="172"/>
      <c r="X277" s="169"/>
      <c r="Y277" s="169"/>
      <c r="Z277" s="169"/>
      <c r="AA277" s="170"/>
      <c r="AW277" s="11" t="s">
        <v>694</v>
      </c>
    </row>
    <row r="278" spans="1:49" s="11" customFormat="1">
      <c r="A278" s="184"/>
      <c r="B278" s="169"/>
      <c r="C278" s="169"/>
      <c r="D278" s="169"/>
      <c r="E278" s="169"/>
      <c r="F278" s="169"/>
      <c r="H278" s="172"/>
      <c r="I278" s="172"/>
      <c r="J278" s="172"/>
      <c r="K278" s="172"/>
      <c r="L278" s="172"/>
      <c r="M278" s="172"/>
      <c r="N278" s="172"/>
      <c r="O278" s="172"/>
      <c r="P278" s="172"/>
      <c r="Q278" s="172"/>
      <c r="R278" s="172"/>
      <c r="S278" s="172"/>
      <c r="T278" s="172"/>
      <c r="U278" s="172"/>
      <c r="V278" s="172"/>
      <c r="X278" s="169"/>
      <c r="Y278" s="169"/>
      <c r="Z278" s="169"/>
      <c r="AA278" s="170"/>
      <c r="AW278" s="11" t="s">
        <v>694</v>
      </c>
    </row>
    <row r="279" spans="1:49" s="11" customFormat="1">
      <c r="A279" s="184"/>
      <c r="B279" s="169"/>
      <c r="C279" s="169"/>
      <c r="D279" s="169"/>
      <c r="E279" s="169"/>
      <c r="F279" s="169"/>
      <c r="H279" s="172"/>
      <c r="I279" s="172"/>
      <c r="J279" s="172"/>
      <c r="K279" s="172"/>
      <c r="L279" s="172"/>
      <c r="M279" s="172"/>
      <c r="N279" s="172"/>
      <c r="O279" s="172"/>
      <c r="P279" s="172"/>
      <c r="Q279" s="172"/>
      <c r="R279" s="172"/>
      <c r="S279" s="172"/>
      <c r="T279" s="172"/>
      <c r="U279" s="172"/>
      <c r="V279" s="172"/>
      <c r="X279" s="169"/>
      <c r="Y279" s="169"/>
      <c r="Z279" s="169"/>
      <c r="AA279" s="170"/>
      <c r="AW279" s="11" t="s">
        <v>694</v>
      </c>
    </row>
    <row r="280" spans="1:49" s="11" customFormat="1">
      <c r="A280" s="184"/>
      <c r="B280" s="169"/>
      <c r="C280" s="169"/>
      <c r="D280" s="169"/>
      <c r="E280" s="169"/>
      <c r="F280" s="169"/>
      <c r="H280" s="172"/>
      <c r="I280" s="172"/>
      <c r="J280" s="172"/>
      <c r="K280" s="172"/>
      <c r="L280" s="172"/>
      <c r="M280" s="172"/>
      <c r="N280" s="172"/>
      <c r="O280" s="172"/>
      <c r="P280" s="172"/>
      <c r="Q280" s="172"/>
      <c r="R280" s="172"/>
      <c r="S280" s="172"/>
      <c r="T280" s="172"/>
      <c r="U280" s="172"/>
      <c r="V280" s="172"/>
      <c r="X280" s="169"/>
      <c r="Y280" s="169"/>
      <c r="Z280" s="169"/>
      <c r="AA280" s="170"/>
      <c r="AW280" s="11" t="s">
        <v>694</v>
      </c>
    </row>
    <row r="281" spans="1:49" s="11" customFormat="1">
      <c r="A281" s="184"/>
      <c r="B281" s="169"/>
      <c r="C281" s="169"/>
      <c r="D281" s="169"/>
      <c r="E281" s="169"/>
      <c r="F281" s="169"/>
      <c r="H281" s="172"/>
      <c r="I281" s="172"/>
      <c r="J281" s="172"/>
      <c r="K281" s="172"/>
      <c r="L281" s="172"/>
      <c r="M281" s="172"/>
      <c r="N281" s="172"/>
      <c r="O281" s="172"/>
      <c r="P281" s="172"/>
      <c r="Q281" s="172"/>
      <c r="R281" s="172"/>
      <c r="S281" s="172"/>
      <c r="T281" s="172"/>
      <c r="U281" s="172"/>
      <c r="V281" s="172"/>
      <c r="X281" s="169"/>
      <c r="Y281" s="169"/>
      <c r="Z281" s="169"/>
      <c r="AA281" s="170"/>
      <c r="AW281" s="11" t="s">
        <v>694</v>
      </c>
    </row>
    <row r="282" spans="1:49" s="11" customFormat="1">
      <c r="A282" s="184"/>
      <c r="B282" s="169"/>
      <c r="C282" s="169"/>
      <c r="D282" s="169"/>
      <c r="E282" s="169"/>
      <c r="F282" s="169"/>
      <c r="H282" s="172"/>
      <c r="I282" s="172"/>
      <c r="J282" s="172"/>
      <c r="K282" s="172"/>
      <c r="L282" s="172"/>
      <c r="M282" s="172"/>
      <c r="N282" s="172"/>
      <c r="O282" s="172"/>
      <c r="P282" s="172"/>
      <c r="Q282" s="172"/>
      <c r="R282" s="172"/>
      <c r="S282" s="172"/>
      <c r="T282" s="172"/>
      <c r="U282" s="172"/>
      <c r="V282" s="172"/>
      <c r="X282" s="169"/>
      <c r="Y282" s="169"/>
      <c r="Z282" s="169"/>
      <c r="AA282" s="170"/>
      <c r="AW282" s="11" t="s">
        <v>694</v>
      </c>
    </row>
    <row r="283" spans="1:49" s="11" customFormat="1">
      <c r="A283" s="184"/>
      <c r="B283" s="169"/>
      <c r="C283" s="169"/>
      <c r="D283" s="169"/>
      <c r="E283" s="169"/>
      <c r="F283" s="169"/>
      <c r="H283" s="172"/>
      <c r="I283" s="172"/>
      <c r="J283" s="172"/>
      <c r="K283" s="172"/>
      <c r="L283" s="172"/>
      <c r="M283" s="172"/>
      <c r="N283" s="172"/>
      <c r="O283" s="172"/>
      <c r="P283" s="172"/>
      <c r="Q283" s="172"/>
      <c r="R283" s="172"/>
      <c r="S283" s="172"/>
      <c r="T283" s="172"/>
      <c r="U283" s="172"/>
      <c r="V283" s="172"/>
      <c r="X283" s="169"/>
      <c r="Y283" s="169"/>
      <c r="Z283" s="169"/>
      <c r="AA283" s="170"/>
      <c r="AW283" s="11" t="s">
        <v>694</v>
      </c>
    </row>
    <row r="284" spans="1:49" s="11" customFormat="1">
      <c r="A284" s="184"/>
      <c r="B284" s="169"/>
      <c r="C284" s="169"/>
      <c r="D284" s="169"/>
      <c r="E284" s="169"/>
      <c r="F284" s="169"/>
      <c r="H284" s="172"/>
      <c r="I284" s="172"/>
      <c r="J284" s="172"/>
      <c r="K284" s="172"/>
      <c r="L284" s="172"/>
      <c r="M284" s="172"/>
      <c r="N284" s="172"/>
      <c r="O284" s="172"/>
      <c r="P284" s="172"/>
      <c r="Q284" s="172"/>
      <c r="R284" s="172"/>
      <c r="S284" s="172"/>
      <c r="T284" s="172"/>
      <c r="U284" s="172"/>
      <c r="V284" s="172"/>
      <c r="X284" s="169"/>
      <c r="Y284" s="169"/>
      <c r="Z284" s="169"/>
      <c r="AA284" s="170"/>
      <c r="AW284" s="11" t="s">
        <v>694</v>
      </c>
    </row>
    <row r="285" spans="1:49" s="11" customFormat="1">
      <c r="A285" s="184"/>
      <c r="B285" s="169"/>
      <c r="C285" s="169"/>
      <c r="D285" s="169"/>
      <c r="E285" s="169"/>
      <c r="F285" s="169"/>
      <c r="H285" s="172"/>
      <c r="I285" s="172"/>
      <c r="J285" s="172"/>
      <c r="K285" s="172"/>
      <c r="L285" s="172"/>
      <c r="M285" s="172"/>
      <c r="N285" s="172"/>
      <c r="O285" s="172"/>
      <c r="P285" s="172"/>
      <c r="Q285" s="172"/>
      <c r="R285" s="172"/>
      <c r="S285" s="172"/>
      <c r="T285" s="172"/>
      <c r="U285" s="172"/>
      <c r="V285" s="172"/>
      <c r="X285" s="169"/>
      <c r="Y285" s="169"/>
      <c r="Z285" s="169"/>
      <c r="AA285" s="170"/>
      <c r="AW285" s="11" t="s">
        <v>694</v>
      </c>
    </row>
    <row r="286" spans="1:49" s="11" customFormat="1">
      <c r="A286" s="184"/>
      <c r="B286" s="169"/>
      <c r="C286" s="169"/>
      <c r="D286" s="169"/>
      <c r="E286" s="169"/>
      <c r="F286" s="169"/>
      <c r="H286" s="172"/>
      <c r="I286" s="172"/>
      <c r="J286" s="172"/>
      <c r="K286" s="172"/>
      <c r="L286" s="172"/>
      <c r="M286" s="172"/>
      <c r="N286" s="172"/>
      <c r="O286" s="172"/>
      <c r="P286" s="172"/>
      <c r="Q286" s="172"/>
      <c r="R286" s="172"/>
      <c r="S286" s="172"/>
      <c r="T286" s="172"/>
      <c r="U286" s="172"/>
      <c r="V286" s="172"/>
      <c r="X286" s="169"/>
      <c r="Y286" s="169"/>
      <c r="Z286" s="169"/>
      <c r="AA286" s="170"/>
      <c r="AW286" s="11" t="s">
        <v>694</v>
      </c>
    </row>
    <row r="287" spans="1:49" s="11" customFormat="1">
      <c r="A287" s="184"/>
      <c r="B287" s="169"/>
      <c r="C287" s="169"/>
      <c r="D287" s="169"/>
      <c r="E287" s="169"/>
      <c r="F287" s="169"/>
      <c r="H287" s="172"/>
      <c r="I287" s="172"/>
      <c r="J287" s="172"/>
      <c r="K287" s="172"/>
      <c r="L287" s="172"/>
      <c r="M287" s="172"/>
      <c r="N287" s="172"/>
      <c r="O287" s="172"/>
      <c r="P287" s="172"/>
      <c r="Q287" s="172"/>
      <c r="R287" s="172"/>
      <c r="S287" s="172"/>
      <c r="T287" s="172"/>
      <c r="U287" s="172"/>
      <c r="V287" s="172"/>
      <c r="X287" s="169"/>
      <c r="Y287" s="169"/>
      <c r="Z287" s="169"/>
      <c r="AA287" s="170"/>
      <c r="AW287" s="11" t="s">
        <v>694</v>
      </c>
    </row>
    <row r="288" spans="1:49" s="11" customFormat="1">
      <c r="A288" s="184"/>
      <c r="B288" s="169"/>
      <c r="C288" s="169"/>
      <c r="D288" s="169"/>
      <c r="E288" s="169"/>
      <c r="F288" s="169"/>
      <c r="H288" s="172"/>
      <c r="I288" s="172"/>
      <c r="J288" s="172"/>
      <c r="K288" s="172"/>
      <c r="L288" s="172"/>
      <c r="M288" s="172"/>
      <c r="N288" s="172"/>
      <c r="O288" s="172"/>
      <c r="P288" s="172"/>
      <c r="Q288" s="172"/>
      <c r="R288" s="172"/>
      <c r="S288" s="172"/>
      <c r="T288" s="172"/>
      <c r="U288" s="172"/>
      <c r="V288" s="172"/>
      <c r="X288" s="169"/>
      <c r="Y288" s="169"/>
      <c r="Z288" s="169"/>
      <c r="AA288" s="170"/>
      <c r="AW288" s="11" t="s">
        <v>694</v>
      </c>
    </row>
    <row r="289" spans="1:49" s="11" customFormat="1">
      <c r="A289" s="184"/>
      <c r="B289" s="169"/>
      <c r="C289" s="169"/>
      <c r="D289" s="169"/>
      <c r="E289" s="169"/>
      <c r="F289" s="169"/>
      <c r="H289" s="172"/>
      <c r="I289" s="172"/>
      <c r="J289" s="172"/>
      <c r="K289" s="172"/>
      <c r="L289" s="172"/>
      <c r="M289" s="172"/>
      <c r="N289" s="172"/>
      <c r="O289" s="172"/>
      <c r="P289" s="172"/>
      <c r="Q289" s="172"/>
      <c r="R289" s="172"/>
      <c r="S289" s="172"/>
      <c r="T289" s="172"/>
      <c r="U289" s="172"/>
      <c r="V289" s="172"/>
      <c r="X289" s="169"/>
      <c r="Y289" s="169"/>
      <c r="Z289" s="169"/>
      <c r="AA289" s="170"/>
      <c r="AW289" s="11" t="s">
        <v>694</v>
      </c>
    </row>
    <row r="290" spans="1:49" s="11" customFormat="1">
      <c r="A290" s="184"/>
      <c r="B290" s="169"/>
      <c r="C290" s="169"/>
      <c r="D290" s="169"/>
      <c r="E290" s="169"/>
      <c r="F290" s="169"/>
      <c r="H290" s="172"/>
      <c r="I290" s="172"/>
      <c r="J290" s="172"/>
      <c r="K290" s="172"/>
      <c r="L290" s="172"/>
      <c r="M290" s="172"/>
      <c r="N290" s="172"/>
      <c r="O290" s="172"/>
      <c r="P290" s="172"/>
      <c r="Q290" s="172"/>
      <c r="R290" s="172"/>
      <c r="S290" s="172"/>
      <c r="T290" s="172"/>
      <c r="U290" s="172"/>
      <c r="V290" s="172"/>
      <c r="X290" s="169"/>
      <c r="Y290" s="169"/>
      <c r="Z290" s="169"/>
      <c r="AA290" s="170"/>
      <c r="AW290" s="11" t="s">
        <v>694</v>
      </c>
    </row>
    <row r="291" spans="1:49" s="11" customFormat="1">
      <c r="A291" s="184"/>
      <c r="B291" s="169"/>
      <c r="C291" s="169"/>
      <c r="D291" s="169"/>
      <c r="E291" s="169"/>
      <c r="F291" s="169"/>
      <c r="H291" s="172"/>
      <c r="I291" s="172"/>
      <c r="J291" s="172"/>
      <c r="K291" s="172"/>
      <c r="L291" s="172"/>
      <c r="M291" s="172"/>
      <c r="N291" s="172"/>
      <c r="O291" s="172"/>
      <c r="P291" s="172"/>
      <c r="Q291" s="172"/>
      <c r="R291" s="172"/>
      <c r="S291" s="172"/>
      <c r="T291" s="172"/>
      <c r="U291" s="172"/>
      <c r="V291" s="172"/>
      <c r="X291" s="169"/>
      <c r="Y291" s="169"/>
      <c r="Z291" s="169"/>
      <c r="AA291" s="170"/>
      <c r="AW291" s="11" t="s">
        <v>694</v>
      </c>
    </row>
    <row r="292" spans="1:49" s="11" customFormat="1">
      <c r="A292" s="184"/>
      <c r="B292" s="169"/>
      <c r="C292" s="169"/>
      <c r="D292" s="169"/>
      <c r="E292" s="169"/>
      <c r="F292" s="169"/>
      <c r="H292" s="172"/>
      <c r="I292" s="172"/>
      <c r="J292" s="172"/>
      <c r="K292" s="172"/>
      <c r="L292" s="172"/>
      <c r="M292" s="172"/>
      <c r="N292" s="172"/>
      <c r="O292" s="172"/>
      <c r="P292" s="172"/>
      <c r="Q292" s="172"/>
      <c r="R292" s="172"/>
      <c r="S292" s="172"/>
      <c r="T292" s="172"/>
      <c r="U292" s="172"/>
      <c r="V292" s="172"/>
      <c r="X292" s="169"/>
      <c r="Y292" s="169"/>
      <c r="Z292" s="169"/>
      <c r="AA292" s="170"/>
      <c r="AW292" s="11" t="s">
        <v>694</v>
      </c>
    </row>
    <row r="293" spans="1:49" s="11" customFormat="1">
      <c r="A293" s="184"/>
      <c r="B293" s="169"/>
      <c r="C293" s="169"/>
      <c r="D293" s="169"/>
      <c r="E293" s="169"/>
      <c r="F293" s="169"/>
      <c r="H293" s="172"/>
      <c r="I293" s="172"/>
      <c r="J293" s="172"/>
      <c r="K293" s="172"/>
      <c r="L293" s="172"/>
      <c r="M293" s="172"/>
      <c r="N293" s="172"/>
      <c r="O293" s="172"/>
      <c r="P293" s="172"/>
      <c r="Q293" s="172"/>
      <c r="R293" s="172"/>
      <c r="S293" s="172"/>
      <c r="T293" s="172"/>
      <c r="U293" s="172"/>
      <c r="V293" s="172"/>
      <c r="X293" s="169"/>
      <c r="Y293" s="169"/>
      <c r="Z293" s="169"/>
      <c r="AA293" s="170"/>
      <c r="AW293" s="11" t="s">
        <v>694</v>
      </c>
    </row>
    <row r="294" spans="1:49" s="11" customFormat="1">
      <c r="A294" s="184"/>
      <c r="B294" s="169"/>
      <c r="C294" s="169"/>
      <c r="D294" s="169"/>
      <c r="E294" s="169"/>
      <c r="F294" s="169"/>
      <c r="H294" s="172"/>
      <c r="I294" s="172"/>
      <c r="J294" s="172"/>
      <c r="K294" s="172"/>
      <c r="L294" s="172"/>
      <c r="M294" s="172"/>
      <c r="N294" s="172"/>
      <c r="O294" s="172"/>
      <c r="P294" s="172"/>
      <c r="Q294" s="172"/>
      <c r="R294" s="172"/>
      <c r="S294" s="172"/>
      <c r="T294" s="172"/>
      <c r="U294" s="172"/>
      <c r="V294" s="172"/>
      <c r="X294" s="169"/>
      <c r="Y294" s="169"/>
      <c r="Z294" s="169"/>
      <c r="AA294" s="170"/>
      <c r="AW294" s="11" t="s">
        <v>694</v>
      </c>
    </row>
    <row r="295" spans="1:49" s="11" customFormat="1">
      <c r="A295" s="184"/>
      <c r="B295" s="169"/>
      <c r="C295" s="169"/>
      <c r="D295" s="169"/>
      <c r="E295" s="169"/>
      <c r="F295" s="169"/>
      <c r="H295" s="172"/>
      <c r="I295" s="172"/>
      <c r="J295" s="172"/>
      <c r="K295" s="172"/>
      <c r="L295" s="172"/>
      <c r="M295" s="172"/>
      <c r="N295" s="172"/>
      <c r="O295" s="172"/>
      <c r="P295" s="172"/>
      <c r="Q295" s="172"/>
      <c r="R295" s="172"/>
      <c r="S295" s="172"/>
      <c r="T295" s="172"/>
      <c r="U295" s="172"/>
      <c r="V295" s="172"/>
      <c r="X295" s="169"/>
      <c r="Y295" s="169"/>
      <c r="Z295" s="169"/>
      <c r="AA295" s="170"/>
      <c r="AW295" s="11" t="s">
        <v>694</v>
      </c>
    </row>
    <row r="296" spans="1:49" s="11" customFormat="1">
      <c r="A296" s="184"/>
      <c r="B296" s="169"/>
      <c r="C296" s="169"/>
      <c r="D296" s="169"/>
      <c r="E296" s="169"/>
      <c r="F296" s="169"/>
      <c r="H296" s="172"/>
      <c r="I296" s="172"/>
      <c r="J296" s="172"/>
      <c r="K296" s="172"/>
      <c r="L296" s="172"/>
      <c r="M296" s="172"/>
      <c r="N296" s="172"/>
      <c r="O296" s="172"/>
      <c r="P296" s="172"/>
      <c r="Q296" s="172"/>
      <c r="R296" s="172"/>
      <c r="S296" s="172"/>
      <c r="T296" s="172"/>
      <c r="U296" s="172"/>
      <c r="V296" s="172"/>
      <c r="X296" s="169"/>
      <c r="Y296" s="169"/>
      <c r="Z296" s="169"/>
      <c r="AA296" s="170"/>
      <c r="AW296" s="11" t="s">
        <v>694</v>
      </c>
    </row>
    <row r="297" spans="1:49" s="11" customFormat="1">
      <c r="A297" s="184"/>
      <c r="B297" s="169"/>
      <c r="C297" s="169"/>
      <c r="D297" s="169"/>
      <c r="E297" s="169"/>
      <c r="F297" s="169"/>
      <c r="H297" s="172"/>
      <c r="I297" s="172"/>
      <c r="J297" s="172"/>
      <c r="K297" s="172"/>
      <c r="L297" s="172"/>
      <c r="M297" s="172"/>
      <c r="N297" s="172"/>
      <c r="O297" s="172"/>
      <c r="P297" s="172"/>
      <c r="Q297" s="172"/>
      <c r="R297" s="172"/>
      <c r="S297" s="172"/>
      <c r="T297" s="172"/>
      <c r="U297" s="172"/>
      <c r="V297" s="172"/>
      <c r="X297" s="169"/>
      <c r="Y297" s="169"/>
      <c r="Z297" s="169"/>
      <c r="AA297" s="170"/>
      <c r="AW297" s="11" t="s">
        <v>694</v>
      </c>
    </row>
    <row r="298" spans="1:49" s="11" customFormat="1">
      <c r="A298" s="184"/>
      <c r="B298" s="169"/>
      <c r="C298" s="169"/>
      <c r="D298" s="169"/>
      <c r="E298" s="169"/>
      <c r="F298" s="169"/>
      <c r="H298" s="172"/>
      <c r="I298" s="172"/>
      <c r="J298" s="172"/>
      <c r="K298" s="172"/>
      <c r="L298" s="172"/>
      <c r="M298" s="172"/>
      <c r="N298" s="172"/>
      <c r="O298" s="172"/>
      <c r="P298" s="172"/>
      <c r="Q298" s="172"/>
      <c r="R298" s="172"/>
      <c r="S298" s="172"/>
      <c r="T298" s="172"/>
      <c r="U298" s="172"/>
      <c r="V298" s="172"/>
      <c r="X298" s="169"/>
      <c r="Y298" s="169"/>
      <c r="Z298" s="169"/>
      <c r="AA298" s="170"/>
      <c r="AW298" s="11" t="s">
        <v>694</v>
      </c>
    </row>
    <row r="299" spans="1:49" s="11" customFormat="1">
      <c r="A299" s="184"/>
      <c r="B299" s="169"/>
      <c r="C299" s="169"/>
      <c r="D299" s="169"/>
      <c r="E299" s="169"/>
      <c r="F299" s="169"/>
      <c r="H299" s="172"/>
      <c r="I299" s="172"/>
      <c r="J299" s="172"/>
      <c r="K299" s="172"/>
      <c r="L299" s="172"/>
      <c r="M299" s="172"/>
      <c r="N299" s="172"/>
      <c r="O299" s="172"/>
      <c r="P299" s="172"/>
      <c r="Q299" s="172"/>
      <c r="R299" s="172"/>
      <c r="S299" s="172"/>
      <c r="T299" s="172"/>
      <c r="U299" s="172"/>
      <c r="V299" s="172"/>
      <c r="X299" s="169"/>
      <c r="Y299" s="169"/>
      <c r="Z299" s="169"/>
      <c r="AA299" s="170"/>
      <c r="AW299" s="11" t="s">
        <v>694</v>
      </c>
    </row>
    <row r="300" spans="1:49" s="11" customFormat="1">
      <c r="A300" s="184"/>
      <c r="B300" s="169"/>
      <c r="C300" s="169"/>
      <c r="D300" s="169"/>
      <c r="E300" s="169"/>
      <c r="F300" s="169"/>
      <c r="H300" s="172"/>
      <c r="I300" s="172"/>
      <c r="J300" s="172"/>
      <c r="K300" s="172"/>
      <c r="L300" s="172"/>
      <c r="M300" s="172"/>
      <c r="N300" s="172"/>
      <c r="O300" s="172"/>
      <c r="P300" s="172"/>
      <c r="Q300" s="172"/>
      <c r="R300" s="172"/>
      <c r="S300" s="172"/>
      <c r="T300" s="172"/>
      <c r="U300" s="172"/>
      <c r="V300" s="172"/>
      <c r="X300" s="169"/>
      <c r="Y300" s="169"/>
      <c r="Z300" s="169"/>
      <c r="AA300" s="170"/>
      <c r="AW300" s="11" t="s">
        <v>694</v>
      </c>
    </row>
    <row r="301" spans="1:49" s="11" customFormat="1">
      <c r="A301" s="184"/>
      <c r="B301" s="169"/>
      <c r="C301" s="169"/>
      <c r="D301" s="169"/>
      <c r="E301" s="169"/>
      <c r="F301" s="169"/>
      <c r="H301" s="172"/>
      <c r="I301" s="172"/>
      <c r="J301" s="172"/>
      <c r="K301" s="172"/>
      <c r="L301" s="172"/>
      <c r="M301" s="172"/>
      <c r="N301" s="172"/>
      <c r="O301" s="172"/>
      <c r="P301" s="172"/>
      <c r="Q301" s="172"/>
      <c r="R301" s="172"/>
      <c r="S301" s="172"/>
      <c r="T301" s="172"/>
      <c r="U301" s="172"/>
      <c r="V301" s="172"/>
      <c r="X301" s="169"/>
      <c r="Y301" s="169"/>
      <c r="Z301" s="169"/>
      <c r="AA301" s="170"/>
      <c r="AW301" s="11" t="s">
        <v>694</v>
      </c>
    </row>
    <row r="302" spans="1:49" s="11" customFormat="1">
      <c r="A302" s="184"/>
      <c r="B302" s="169"/>
      <c r="C302" s="169"/>
      <c r="D302" s="169"/>
      <c r="E302" s="169"/>
      <c r="F302" s="169"/>
      <c r="H302" s="172"/>
      <c r="I302" s="172"/>
      <c r="J302" s="172"/>
      <c r="K302" s="172"/>
      <c r="L302" s="172"/>
      <c r="M302" s="172"/>
      <c r="N302" s="172"/>
      <c r="O302" s="172"/>
      <c r="P302" s="172"/>
      <c r="Q302" s="172"/>
      <c r="R302" s="172"/>
      <c r="S302" s="172"/>
      <c r="T302" s="172"/>
      <c r="U302" s="172"/>
      <c r="V302" s="172"/>
      <c r="X302" s="169"/>
      <c r="Y302" s="169"/>
      <c r="Z302" s="169"/>
      <c r="AA302" s="170"/>
      <c r="AW302" s="11" t="s">
        <v>694</v>
      </c>
    </row>
    <row r="303" spans="1:49" s="11" customFormat="1">
      <c r="A303" s="184"/>
      <c r="B303" s="169"/>
      <c r="C303" s="169"/>
      <c r="D303" s="169"/>
      <c r="E303" s="169"/>
      <c r="F303" s="169"/>
      <c r="H303" s="172"/>
      <c r="I303" s="172"/>
      <c r="J303" s="172"/>
      <c r="K303" s="172"/>
      <c r="L303" s="172"/>
      <c r="M303" s="172"/>
      <c r="N303" s="172"/>
      <c r="O303" s="172"/>
      <c r="P303" s="172"/>
      <c r="Q303" s="172"/>
      <c r="R303" s="172"/>
      <c r="S303" s="172"/>
      <c r="T303" s="172"/>
      <c r="U303" s="172"/>
      <c r="V303" s="172"/>
      <c r="X303" s="169"/>
      <c r="Y303" s="169"/>
      <c r="Z303" s="169"/>
      <c r="AA303" s="170"/>
      <c r="AW303" s="11" t="s">
        <v>694</v>
      </c>
    </row>
    <row r="304" spans="1:49" s="11" customFormat="1">
      <c r="A304" s="184"/>
      <c r="B304" s="169"/>
      <c r="C304" s="169"/>
      <c r="D304" s="169"/>
      <c r="E304" s="169"/>
      <c r="F304" s="169"/>
      <c r="H304" s="172"/>
      <c r="I304" s="172"/>
      <c r="J304" s="172"/>
      <c r="K304" s="172"/>
      <c r="L304" s="172"/>
      <c r="M304" s="172"/>
      <c r="N304" s="172"/>
      <c r="O304" s="172"/>
      <c r="P304" s="172"/>
      <c r="Q304" s="172"/>
      <c r="R304" s="172"/>
      <c r="S304" s="172"/>
      <c r="T304" s="172"/>
      <c r="U304" s="172"/>
      <c r="V304" s="172"/>
      <c r="X304" s="169"/>
      <c r="Y304" s="169"/>
      <c r="Z304" s="169"/>
      <c r="AA304" s="170"/>
      <c r="AW304" s="11" t="s">
        <v>694</v>
      </c>
    </row>
    <row r="305" spans="1:49" s="11" customFormat="1">
      <c r="A305" s="184"/>
      <c r="B305" s="169"/>
      <c r="C305" s="169"/>
      <c r="D305" s="169"/>
      <c r="E305" s="169"/>
      <c r="F305" s="169"/>
      <c r="H305" s="172"/>
      <c r="I305" s="172"/>
      <c r="J305" s="172"/>
      <c r="K305" s="172"/>
      <c r="L305" s="172"/>
      <c r="M305" s="172"/>
      <c r="N305" s="172"/>
      <c r="O305" s="172"/>
      <c r="P305" s="172"/>
      <c r="Q305" s="172"/>
      <c r="R305" s="172"/>
      <c r="S305" s="172"/>
      <c r="T305" s="172"/>
      <c r="U305" s="172"/>
      <c r="V305" s="172"/>
      <c r="X305" s="169"/>
      <c r="Y305" s="169"/>
      <c r="Z305" s="169"/>
      <c r="AA305" s="170"/>
      <c r="AW305" s="11" t="s">
        <v>694</v>
      </c>
    </row>
    <row r="306" spans="1:49" s="11" customFormat="1">
      <c r="A306" s="184"/>
      <c r="B306" s="169"/>
      <c r="C306" s="169"/>
      <c r="D306" s="169"/>
      <c r="E306" s="169"/>
      <c r="F306" s="169"/>
      <c r="H306" s="172"/>
      <c r="I306" s="172"/>
      <c r="J306" s="172"/>
      <c r="K306" s="172"/>
      <c r="L306" s="172"/>
      <c r="M306" s="172"/>
      <c r="N306" s="172"/>
      <c r="O306" s="172"/>
      <c r="P306" s="172"/>
      <c r="Q306" s="172"/>
      <c r="R306" s="172"/>
      <c r="S306" s="172"/>
      <c r="T306" s="172"/>
      <c r="U306" s="172"/>
      <c r="V306" s="172"/>
      <c r="X306" s="169"/>
      <c r="Y306" s="169"/>
      <c r="Z306" s="169"/>
      <c r="AA306" s="170"/>
      <c r="AW306" s="11" t="s">
        <v>694</v>
      </c>
    </row>
    <row r="307" spans="1:49" s="11" customFormat="1">
      <c r="A307" s="184"/>
      <c r="B307" s="169"/>
      <c r="C307" s="169"/>
      <c r="D307" s="169"/>
      <c r="E307" s="169"/>
      <c r="F307" s="169"/>
      <c r="H307" s="172"/>
      <c r="I307" s="172"/>
      <c r="J307" s="172"/>
      <c r="K307" s="172"/>
      <c r="L307" s="172"/>
      <c r="M307" s="172"/>
      <c r="N307" s="172"/>
      <c r="O307" s="172"/>
      <c r="P307" s="172"/>
      <c r="Q307" s="172"/>
      <c r="R307" s="172"/>
      <c r="S307" s="172"/>
      <c r="T307" s="172"/>
      <c r="U307" s="172"/>
      <c r="V307" s="172"/>
      <c r="X307" s="169"/>
      <c r="Y307" s="169"/>
      <c r="Z307" s="169"/>
      <c r="AA307" s="170"/>
      <c r="AW307" s="11" t="s">
        <v>694</v>
      </c>
    </row>
    <row r="308" spans="1:49" s="11" customFormat="1">
      <c r="A308" s="184"/>
      <c r="B308" s="169"/>
      <c r="C308" s="169"/>
      <c r="D308" s="169"/>
      <c r="E308" s="169"/>
      <c r="F308" s="169"/>
      <c r="H308" s="172"/>
      <c r="I308" s="172"/>
      <c r="J308" s="172"/>
      <c r="K308" s="172"/>
      <c r="L308" s="172"/>
      <c r="M308" s="172"/>
      <c r="N308" s="172"/>
      <c r="O308" s="172"/>
      <c r="P308" s="172"/>
      <c r="Q308" s="172"/>
      <c r="R308" s="172"/>
      <c r="S308" s="172"/>
      <c r="T308" s="172"/>
      <c r="U308" s="172"/>
      <c r="V308" s="172"/>
      <c r="X308" s="169"/>
      <c r="Y308" s="169"/>
      <c r="Z308" s="169"/>
      <c r="AA308" s="170"/>
      <c r="AW308" s="11" t="s">
        <v>694</v>
      </c>
    </row>
    <row r="309" spans="1:49" s="11" customFormat="1">
      <c r="A309" s="184"/>
      <c r="B309" s="169"/>
      <c r="C309" s="169"/>
      <c r="D309" s="169"/>
      <c r="E309" s="169"/>
      <c r="F309" s="169"/>
      <c r="H309" s="172"/>
      <c r="I309" s="172"/>
      <c r="J309" s="172"/>
      <c r="K309" s="172"/>
      <c r="L309" s="172"/>
      <c r="M309" s="172"/>
      <c r="N309" s="172"/>
      <c r="O309" s="172"/>
      <c r="P309" s="172"/>
      <c r="Q309" s="172"/>
      <c r="R309" s="172"/>
      <c r="S309" s="172"/>
      <c r="T309" s="172"/>
      <c r="U309" s="172"/>
      <c r="V309" s="172"/>
      <c r="X309" s="169"/>
      <c r="Y309" s="169"/>
      <c r="Z309" s="169"/>
      <c r="AA309" s="170"/>
      <c r="AW309" s="11" t="s">
        <v>694</v>
      </c>
    </row>
    <row r="310" spans="1:49" s="11" customFormat="1">
      <c r="A310" s="184"/>
      <c r="B310" s="169"/>
      <c r="C310" s="169"/>
      <c r="D310" s="169"/>
      <c r="E310" s="169"/>
      <c r="F310" s="169"/>
      <c r="H310" s="172"/>
      <c r="I310" s="172"/>
      <c r="J310" s="172"/>
      <c r="K310" s="172"/>
      <c r="L310" s="172"/>
      <c r="M310" s="172"/>
      <c r="N310" s="172"/>
      <c r="O310" s="172"/>
      <c r="P310" s="172"/>
      <c r="Q310" s="172"/>
      <c r="R310" s="172"/>
      <c r="S310" s="172"/>
      <c r="T310" s="172"/>
      <c r="U310" s="172"/>
      <c r="V310" s="172"/>
      <c r="X310" s="169"/>
      <c r="Y310" s="169"/>
      <c r="Z310" s="169"/>
      <c r="AA310" s="170"/>
      <c r="AW310" s="11" t="s">
        <v>694</v>
      </c>
    </row>
    <row r="311" spans="1:49" s="11" customFormat="1">
      <c r="A311" s="184"/>
      <c r="B311" s="169"/>
      <c r="C311" s="169"/>
      <c r="D311" s="169"/>
      <c r="E311" s="169"/>
      <c r="F311" s="169"/>
      <c r="H311" s="172"/>
      <c r="I311" s="172"/>
      <c r="J311" s="172"/>
      <c r="K311" s="172"/>
      <c r="L311" s="172"/>
      <c r="M311" s="172"/>
      <c r="N311" s="172"/>
      <c r="O311" s="172"/>
      <c r="P311" s="172"/>
      <c r="Q311" s="172"/>
      <c r="R311" s="172"/>
      <c r="S311" s="172"/>
      <c r="T311" s="172"/>
      <c r="U311" s="172"/>
      <c r="V311" s="172"/>
      <c r="X311" s="169"/>
      <c r="Y311" s="169"/>
      <c r="Z311" s="169"/>
      <c r="AA311" s="170"/>
      <c r="AW311" s="11" t="s">
        <v>694</v>
      </c>
    </row>
    <row r="312" spans="1:49" s="11" customFormat="1">
      <c r="A312" s="184"/>
      <c r="B312" s="169"/>
      <c r="C312" s="169"/>
      <c r="D312" s="169"/>
      <c r="E312" s="169"/>
      <c r="F312" s="169"/>
      <c r="H312" s="172"/>
      <c r="I312" s="172"/>
      <c r="J312" s="172"/>
      <c r="K312" s="172"/>
      <c r="L312" s="172"/>
      <c r="M312" s="172"/>
      <c r="N312" s="172"/>
      <c r="O312" s="172"/>
      <c r="P312" s="172"/>
      <c r="Q312" s="172"/>
      <c r="R312" s="172"/>
      <c r="S312" s="172"/>
      <c r="T312" s="172"/>
      <c r="U312" s="172"/>
      <c r="V312" s="172"/>
      <c r="X312" s="169"/>
      <c r="Y312" s="169"/>
      <c r="Z312" s="169"/>
      <c r="AA312" s="170"/>
      <c r="AW312" s="11" t="s">
        <v>694</v>
      </c>
    </row>
    <row r="313" spans="1:49" s="11" customFormat="1">
      <c r="A313" s="184"/>
      <c r="B313" s="169"/>
      <c r="C313" s="169"/>
      <c r="D313" s="169"/>
      <c r="E313" s="169"/>
      <c r="F313" s="169"/>
      <c r="H313" s="172"/>
      <c r="I313" s="172"/>
      <c r="J313" s="172"/>
      <c r="K313" s="172"/>
      <c r="L313" s="172"/>
      <c r="M313" s="172"/>
      <c r="N313" s="172"/>
      <c r="O313" s="172"/>
      <c r="P313" s="172"/>
      <c r="Q313" s="172"/>
      <c r="R313" s="172"/>
      <c r="S313" s="172"/>
      <c r="T313" s="172"/>
      <c r="U313" s="172"/>
      <c r="V313" s="172"/>
      <c r="X313" s="169"/>
      <c r="Y313" s="169"/>
      <c r="Z313" s="169"/>
      <c r="AA313" s="170"/>
      <c r="AW313" s="11" t="s">
        <v>694</v>
      </c>
    </row>
    <row r="314" spans="1:49" s="11" customFormat="1">
      <c r="A314" s="184"/>
      <c r="B314" s="169"/>
      <c r="C314" s="169"/>
      <c r="D314" s="169"/>
      <c r="E314" s="169"/>
      <c r="F314" s="169"/>
      <c r="H314" s="172"/>
      <c r="I314" s="172"/>
      <c r="J314" s="172"/>
      <c r="K314" s="172"/>
      <c r="L314" s="172"/>
      <c r="M314" s="172"/>
      <c r="N314" s="172"/>
      <c r="O314" s="172"/>
      <c r="P314" s="172"/>
      <c r="Q314" s="172"/>
      <c r="R314" s="172"/>
      <c r="S314" s="172"/>
      <c r="T314" s="172"/>
      <c r="U314" s="172"/>
      <c r="V314" s="172"/>
      <c r="X314" s="169"/>
      <c r="Y314" s="169"/>
      <c r="Z314" s="169"/>
      <c r="AA314" s="170"/>
      <c r="AW314" s="11" t="s">
        <v>694</v>
      </c>
    </row>
    <row r="315" spans="1:49" s="11" customFormat="1">
      <c r="A315" s="184"/>
      <c r="B315" s="169"/>
      <c r="C315" s="169"/>
      <c r="D315" s="169"/>
      <c r="E315" s="169"/>
      <c r="F315" s="169"/>
      <c r="H315" s="172"/>
      <c r="I315" s="172"/>
      <c r="J315" s="172"/>
      <c r="K315" s="172"/>
      <c r="L315" s="172"/>
      <c r="M315" s="172"/>
      <c r="N315" s="172"/>
      <c r="O315" s="172"/>
      <c r="P315" s="172"/>
      <c r="Q315" s="172"/>
      <c r="R315" s="172"/>
      <c r="S315" s="172"/>
      <c r="T315" s="172"/>
      <c r="U315" s="172"/>
      <c r="V315" s="172"/>
      <c r="X315" s="169"/>
      <c r="Y315" s="169"/>
      <c r="Z315" s="169"/>
      <c r="AA315" s="170"/>
      <c r="AW315" s="11" t="s">
        <v>694</v>
      </c>
    </row>
    <row r="316" spans="1:49" s="11" customFormat="1">
      <c r="A316" s="184"/>
      <c r="B316" s="169"/>
      <c r="C316" s="169"/>
      <c r="D316" s="169"/>
      <c r="E316" s="169"/>
      <c r="F316" s="169"/>
      <c r="H316" s="172"/>
      <c r="I316" s="172"/>
      <c r="J316" s="172"/>
      <c r="K316" s="172"/>
      <c r="L316" s="172"/>
      <c r="M316" s="172"/>
      <c r="N316" s="172"/>
      <c r="O316" s="172"/>
      <c r="P316" s="172"/>
      <c r="Q316" s="172"/>
      <c r="R316" s="172"/>
      <c r="S316" s="172"/>
      <c r="T316" s="172"/>
      <c r="U316" s="172"/>
      <c r="V316" s="172"/>
      <c r="X316" s="169"/>
      <c r="Y316" s="169"/>
      <c r="Z316" s="169"/>
      <c r="AA316" s="170"/>
      <c r="AW316" s="11" t="s">
        <v>694</v>
      </c>
    </row>
    <row r="317" spans="1:49" s="11" customFormat="1">
      <c r="A317" s="184"/>
      <c r="B317" s="169"/>
      <c r="C317" s="169"/>
      <c r="D317" s="169"/>
      <c r="E317" s="169"/>
      <c r="F317" s="169"/>
      <c r="H317" s="172"/>
      <c r="I317" s="172"/>
      <c r="J317" s="172"/>
      <c r="K317" s="172"/>
      <c r="L317" s="172"/>
      <c r="M317" s="172"/>
      <c r="N317" s="172"/>
      <c r="O317" s="172"/>
      <c r="P317" s="172"/>
      <c r="Q317" s="172"/>
      <c r="R317" s="172"/>
      <c r="S317" s="172"/>
      <c r="T317" s="172"/>
      <c r="U317" s="172"/>
      <c r="V317" s="172"/>
      <c r="X317" s="169"/>
      <c r="Y317" s="169"/>
      <c r="Z317" s="169"/>
      <c r="AA317" s="170"/>
      <c r="AW317" s="11" t="s">
        <v>694</v>
      </c>
    </row>
    <row r="318" spans="1:49" s="11" customFormat="1">
      <c r="A318" s="184"/>
      <c r="B318" s="169"/>
      <c r="C318" s="169"/>
      <c r="D318" s="169"/>
      <c r="E318" s="169"/>
      <c r="F318" s="169"/>
      <c r="H318" s="172"/>
      <c r="I318" s="172"/>
      <c r="J318" s="172"/>
      <c r="K318" s="172"/>
      <c r="L318" s="172"/>
      <c r="M318" s="172"/>
      <c r="N318" s="172"/>
      <c r="O318" s="172"/>
      <c r="P318" s="172"/>
      <c r="Q318" s="172"/>
      <c r="R318" s="172"/>
      <c r="S318" s="172"/>
      <c r="T318" s="172"/>
      <c r="U318" s="172"/>
      <c r="V318" s="172"/>
      <c r="X318" s="169"/>
      <c r="Y318" s="169"/>
      <c r="Z318" s="169"/>
      <c r="AA318" s="170"/>
      <c r="AW318" s="11" t="s">
        <v>694</v>
      </c>
    </row>
    <row r="319" spans="1:49" s="11" customFormat="1">
      <c r="A319" s="184"/>
      <c r="B319" s="169"/>
      <c r="C319" s="169"/>
      <c r="D319" s="169"/>
      <c r="E319" s="169"/>
      <c r="F319" s="169"/>
      <c r="H319" s="172"/>
      <c r="I319" s="172"/>
      <c r="J319" s="172"/>
      <c r="K319" s="172"/>
      <c r="L319" s="172"/>
      <c r="M319" s="172"/>
      <c r="N319" s="172"/>
      <c r="O319" s="172"/>
      <c r="P319" s="172"/>
      <c r="Q319" s="172"/>
      <c r="R319" s="172"/>
      <c r="S319" s="172"/>
      <c r="T319" s="172"/>
      <c r="U319" s="172"/>
      <c r="V319" s="172"/>
      <c r="X319" s="169"/>
      <c r="Y319" s="169"/>
      <c r="Z319" s="169"/>
      <c r="AA319" s="170"/>
      <c r="AW319" s="11" t="s">
        <v>694</v>
      </c>
    </row>
    <row r="320" spans="1:49" s="11" customFormat="1">
      <c r="A320" s="184"/>
      <c r="B320" s="169"/>
      <c r="C320" s="169"/>
      <c r="D320" s="169"/>
      <c r="E320" s="169"/>
      <c r="F320" s="169"/>
      <c r="H320" s="172"/>
      <c r="I320" s="172"/>
      <c r="J320" s="172"/>
      <c r="K320" s="172"/>
      <c r="L320" s="172"/>
      <c r="M320" s="172"/>
      <c r="N320" s="172"/>
      <c r="O320" s="172"/>
      <c r="P320" s="172"/>
      <c r="Q320" s="172"/>
      <c r="R320" s="172"/>
      <c r="S320" s="172"/>
      <c r="T320" s="172"/>
      <c r="U320" s="172"/>
      <c r="V320" s="172"/>
      <c r="X320" s="169"/>
      <c r="Y320" s="169"/>
      <c r="Z320" s="169"/>
      <c r="AA320" s="170"/>
      <c r="AW320" s="11" t="s">
        <v>694</v>
      </c>
    </row>
    <row r="321" spans="1:49" s="11" customFormat="1">
      <c r="A321" s="184"/>
      <c r="B321" s="169"/>
      <c r="C321" s="169"/>
      <c r="D321" s="169"/>
      <c r="E321" s="169"/>
      <c r="F321" s="169"/>
      <c r="H321" s="172"/>
      <c r="I321" s="172"/>
      <c r="J321" s="172"/>
      <c r="K321" s="172"/>
      <c r="L321" s="172"/>
      <c r="M321" s="172"/>
      <c r="N321" s="172"/>
      <c r="O321" s="172"/>
      <c r="P321" s="172"/>
      <c r="Q321" s="172"/>
      <c r="R321" s="172"/>
      <c r="S321" s="172"/>
      <c r="T321" s="172"/>
      <c r="U321" s="172"/>
      <c r="V321" s="172"/>
      <c r="X321" s="169"/>
      <c r="Y321" s="169"/>
      <c r="Z321" s="169"/>
      <c r="AA321" s="170"/>
      <c r="AW321" s="11" t="s">
        <v>694</v>
      </c>
    </row>
    <row r="322" spans="1:49" s="11" customFormat="1">
      <c r="A322" s="184"/>
      <c r="B322" s="169"/>
      <c r="C322" s="169"/>
      <c r="D322" s="169"/>
      <c r="E322" s="169"/>
      <c r="F322" s="169"/>
      <c r="H322" s="172"/>
      <c r="I322" s="172"/>
      <c r="J322" s="172"/>
      <c r="K322" s="172"/>
      <c r="L322" s="172"/>
      <c r="M322" s="172"/>
      <c r="N322" s="172"/>
      <c r="O322" s="172"/>
      <c r="P322" s="172"/>
      <c r="Q322" s="172"/>
      <c r="R322" s="172"/>
      <c r="S322" s="172"/>
      <c r="T322" s="172"/>
      <c r="U322" s="172"/>
      <c r="V322" s="172"/>
      <c r="X322" s="169"/>
      <c r="Y322" s="169"/>
      <c r="Z322" s="169"/>
      <c r="AA322" s="170"/>
      <c r="AW322" s="11" t="s">
        <v>694</v>
      </c>
    </row>
    <row r="323" spans="1:49" s="11" customFormat="1">
      <c r="A323" s="184"/>
      <c r="B323" s="169"/>
      <c r="C323" s="169"/>
      <c r="D323" s="169"/>
      <c r="E323" s="169"/>
      <c r="F323" s="169"/>
      <c r="H323" s="172"/>
      <c r="I323" s="172"/>
      <c r="J323" s="172"/>
      <c r="K323" s="172"/>
      <c r="L323" s="172"/>
      <c r="M323" s="172"/>
      <c r="N323" s="172"/>
      <c r="O323" s="172"/>
      <c r="P323" s="172"/>
      <c r="Q323" s="172"/>
      <c r="R323" s="172"/>
      <c r="S323" s="172"/>
      <c r="T323" s="172"/>
      <c r="U323" s="172"/>
      <c r="V323" s="172"/>
      <c r="X323" s="169"/>
      <c r="Y323" s="169"/>
      <c r="Z323" s="169"/>
      <c r="AA323" s="170"/>
      <c r="AW323" s="11" t="s">
        <v>694</v>
      </c>
    </row>
    <row r="324" spans="1:49" s="11" customFormat="1">
      <c r="A324" s="184"/>
      <c r="B324" s="169"/>
      <c r="C324" s="169"/>
      <c r="D324" s="169"/>
      <c r="E324" s="169"/>
      <c r="F324" s="169"/>
      <c r="H324" s="172"/>
      <c r="I324" s="172"/>
      <c r="J324" s="172"/>
      <c r="K324" s="172"/>
      <c r="L324" s="172"/>
      <c r="M324" s="172"/>
      <c r="N324" s="172"/>
      <c r="O324" s="172"/>
      <c r="P324" s="172"/>
      <c r="Q324" s="172"/>
      <c r="R324" s="172"/>
      <c r="S324" s="172"/>
      <c r="T324" s="172"/>
      <c r="U324" s="172"/>
      <c r="V324" s="172"/>
      <c r="X324" s="169"/>
      <c r="Y324" s="169"/>
      <c r="Z324" s="169"/>
      <c r="AA324" s="170"/>
      <c r="AW324" s="11" t="s">
        <v>694</v>
      </c>
    </row>
    <row r="325" spans="1:49" s="11" customFormat="1">
      <c r="A325" s="184"/>
      <c r="B325" s="169"/>
      <c r="C325" s="169"/>
      <c r="D325" s="169"/>
      <c r="E325" s="169"/>
      <c r="F325" s="169"/>
      <c r="H325" s="172"/>
      <c r="I325" s="172"/>
      <c r="J325" s="172"/>
      <c r="K325" s="172"/>
      <c r="L325" s="172"/>
      <c r="M325" s="172"/>
      <c r="N325" s="172"/>
      <c r="O325" s="172"/>
      <c r="P325" s="172"/>
      <c r="Q325" s="172"/>
      <c r="R325" s="172"/>
      <c r="S325" s="172"/>
      <c r="T325" s="172"/>
      <c r="U325" s="172"/>
      <c r="V325" s="172"/>
      <c r="X325" s="169"/>
      <c r="Y325" s="169"/>
      <c r="Z325" s="169"/>
      <c r="AA325" s="170"/>
      <c r="AW325" s="11" t="s">
        <v>694</v>
      </c>
    </row>
    <row r="326" spans="1:49" s="11" customFormat="1">
      <c r="A326" s="184"/>
      <c r="B326" s="169"/>
      <c r="C326" s="169"/>
      <c r="D326" s="169"/>
      <c r="E326" s="169"/>
      <c r="F326" s="169"/>
      <c r="H326" s="172"/>
      <c r="I326" s="172"/>
      <c r="J326" s="172"/>
      <c r="K326" s="172"/>
      <c r="L326" s="172"/>
      <c r="M326" s="172"/>
      <c r="N326" s="172"/>
      <c r="O326" s="172"/>
      <c r="P326" s="172"/>
      <c r="Q326" s="172"/>
      <c r="R326" s="172"/>
      <c r="S326" s="172"/>
      <c r="T326" s="172"/>
      <c r="U326" s="172"/>
      <c r="V326" s="172"/>
      <c r="X326" s="169"/>
      <c r="Y326" s="169"/>
      <c r="Z326" s="169"/>
      <c r="AA326" s="170"/>
      <c r="AW326" s="11" t="s">
        <v>694</v>
      </c>
    </row>
    <row r="327" spans="1:49" s="11" customFormat="1">
      <c r="A327" s="184"/>
      <c r="B327" s="169"/>
      <c r="C327" s="169"/>
      <c r="D327" s="169"/>
      <c r="E327" s="169"/>
      <c r="F327" s="169"/>
      <c r="H327" s="172"/>
      <c r="I327" s="172"/>
      <c r="J327" s="172"/>
      <c r="K327" s="172"/>
      <c r="L327" s="172"/>
      <c r="M327" s="172"/>
      <c r="N327" s="172"/>
      <c r="O327" s="172"/>
      <c r="P327" s="172"/>
      <c r="Q327" s="172"/>
      <c r="R327" s="172"/>
      <c r="S327" s="172"/>
      <c r="T327" s="172"/>
      <c r="U327" s="172"/>
      <c r="V327" s="172"/>
      <c r="X327" s="169"/>
      <c r="Y327" s="169"/>
      <c r="Z327" s="169"/>
      <c r="AA327" s="170"/>
      <c r="AW327" s="11" t="s">
        <v>694</v>
      </c>
    </row>
    <row r="328" spans="1:49" s="11" customFormat="1">
      <c r="A328" s="184"/>
      <c r="B328" s="169"/>
      <c r="C328" s="169"/>
      <c r="D328" s="169"/>
      <c r="E328" s="169"/>
      <c r="F328" s="169"/>
      <c r="H328" s="172"/>
      <c r="I328" s="172"/>
      <c r="J328" s="172"/>
      <c r="K328" s="172"/>
      <c r="L328" s="172"/>
      <c r="M328" s="172"/>
      <c r="N328" s="172"/>
      <c r="O328" s="172"/>
      <c r="P328" s="172"/>
      <c r="Q328" s="172"/>
      <c r="R328" s="172"/>
      <c r="S328" s="172"/>
      <c r="T328" s="172"/>
      <c r="U328" s="172"/>
      <c r="V328" s="172"/>
      <c r="X328" s="169"/>
      <c r="Y328" s="169"/>
      <c r="Z328" s="169"/>
      <c r="AA328" s="170"/>
      <c r="AW328" s="11" t="s">
        <v>694</v>
      </c>
    </row>
    <row r="329" spans="1:49" s="11" customFormat="1">
      <c r="A329" s="184"/>
      <c r="B329" s="169"/>
      <c r="C329" s="169"/>
      <c r="D329" s="169"/>
      <c r="E329" s="169"/>
      <c r="F329" s="169"/>
      <c r="H329" s="172"/>
      <c r="I329" s="172"/>
      <c r="J329" s="172"/>
      <c r="K329" s="172"/>
      <c r="L329" s="172"/>
      <c r="M329" s="172"/>
      <c r="N329" s="172"/>
      <c r="O329" s="172"/>
      <c r="P329" s="172"/>
      <c r="Q329" s="172"/>
      <c r="R329" s="172"/>
      <c r="S329" s="172"/>
      <c r="T329" s="172"/>
      <c r="U329" s="172"/>
      <c r="V329" s="172"/>
      <c r="X329" s="169"/>
      <c r="Y329" s="169"/>
      <c r="Z329" s="169"/>
      <c r="AA329" s="170"/>
      <c r="AW329" s="11" t="s">
        <v>694</v>
      </c>
    </row>
    <row r="330" spans="1:49" s="11" customFormat="1">
      <c r="A330" s="184"/>
      <c r="B330" s="169"/>
      <c r="C330" s="169"/>
      <c r="D330" s="169"/>
      <c r="E330" s="169"/>
      <c r="F330" s="169"/>
      <c r="H330" s="172"/>
      <c r="I330" s="172"/>
      <c r="J330" s="172"/>
      <c r="K330" s="172"/>
      <c r="L330" s="172"/>
      <c r="M330" s="172"/>
      <c r="N330" s="172"/>
      <c r="O330" s="172"/>
      <c r="P330" s="172"/>
      <c r="Q330" s="172"/>
      <c r="R330" s="172"/>
      <c r="S330" s="172"/>
      <c r="T330" s="172"/>
      <c r="U330" s="172"/>
      <c r="V330" s="172"/>
      <c r="X330" s="169"/>
      <c r="Y330" s="169"/>
      <c r="Z330" s="169"/>
      <c r="AA330" s="170"/>
      <c r="AW330" s="11" t="s">
        <v>694</v>
      </c>
    </row>
    <row r="331" spans="1:49" s="11" customFormat="1">
      <c r="A331" s="184"/>
      <c r="B331" s="169"/>
      <c r="C331" s="169"/>
      <c r="D331" s="169"/>
      <c r="E331" s="169"/>
      <c r="F331" s="169"/>
      <c r="H331" s="172"/>
      <c r="I331" s="172"/>
      <c r="J331" s="172"/>
      <c r="K331" s="172"/>
      <c r="L331" s="172"/>
      <c r="M331" s="172"/>
      <c r="N331" s="172"/>
      <c r="O331" s="172"/>
      <c r="P331" s="172"/>
      <c r="Q331" s="172"/>
      <c r="R331" s="172"/>
      <c r="S331" s="172"/>
      <c r="T331" s="172"/>
      <c r="U331" s="172"/>
      <c r="V331" s="172"/>
      <c r="X331" s="169"/>
      <c r="Y331" s="169"/>
      <c r="Z331" s="169"/>
      <c r="AA331" s="170"/>
      <c r="AW331" s="11" t="s">
        <v>694</v>
      </c>
    </row>
    <row r="332" spans="1:49" s="11" customFormat="1">
      <c r="A332" s="184"/>
      <c r="B332" s="169"/>
      <c r="C332" s="169"/>
      <c r="D332" s="169"/>
      <c r="E332" s="169"/>
      <c r="F332" s="169"/>
      <c r="H332" s="172"/>
      <c r="I332" s="172"/>
      <c r="J332" s="172"/>
      <c r="K332" s="172"/>
      <c r="L332" s="172"/>
      <c r="M332" s="172"/>
      <c r="N332" s="172"/>
      <c r="O332" s="172"/>
      <c r="P332" s="172"/>
      <c r="Q332" s="172"/>
      <c r="R332" s="172"/>
      <c r="S332" s="172"/>
      <c r="T332" s="172"/>
      <c r="U332" s="172"/>
      <c r="V332" s="172"/>
      <c r="X332" s="169"/>
      <c r="Y332" s="169"/>
      <c r="Z332" s="169"/>
      <c r="AA332" s="170"/>
      <c r="AW332" s="11" t="s">
        <v>694</v>
      </c>
    </row>
    <row r="333" spans="1:49" s="11" customFormat="1">
      <c r="A333" s="184"/>
      <c r="B333" s="169"/>
      <c r="C333" s="169"/>
      <c r="D333" s="169"/>
      <c r="E333" s="169"/>
      <c r="F333" s="169"/>
      <c r="H333" s="172"/>
      <c r="I333" s="172"/>
      <c r="J333" s="172"/>
      <c r="K333" s="172"/>
      <c r="L333" s="172"/>
      <c r="M333" s="172"/>
      <c r="N333" s="172"/>
      <c r="O333" s="172"/>
      <c r="P333" s="172"/>
      <c r="Q333" s="172"/>
      <c r="R333" s="172"/>
      <c r="S333" s="172"/>
      <c r="T333" s="172"/>
      <c r="U333" s="172"/>
      <c r="V333" s="172"/>
      <c r="X333" s="169"/>
      <c r="Y333" s="169"/>
      <c r="Z333" s="169"/>
      <c r="AA333" s="170"/>
      <c r="AW333" s="11" t="s">
        <v>694</v>
      </c>
    </row>
    <row r="334" spans="1:49" s="11" customFormat="1">
      <c r="A334" s="184"/>
      <c r="B334" s="169"/>
      <c r="C334" s="169"/>
      <c r="D334" s="169"/>
      <c r="E334" s="169"/>
      <c r="F334" s="169"/>
      <c r="H334" s="172"/>
      <c r="I334" s="172"/>
      <c r="J334" s="172"/>
      <c r="K334" s="172"/>
      <c r="L334" s="172"/>
      <c r="M334" s="172"/>
      <c r="N334" s="172"/>
      <c r="O334" s="172"/>
      <c r="P334" s="172"/>
      <c r="Q334" s="172"/>
      <c r="R334" s="172"/>
      <c r="S334" s="172"/>
      <c r="T334" s="172"/>
      <c r="U334" s="172"/>
      <c r="V334" s="172"/>
      <c r="X334" s="169"/>
      <c r="Y334" s="169"/>
      <c r="Z334" s="169"/>
      <c r="AA334" s="170"/>
      <c r="AW334" s="11" t="s">
        <v>694</v>
      </c>
    </row>
    <row r="335" spans="1:49" s="11" customFormat="1">
      <c r="A335" s="184"/>
      <c r="B335" s="169"/>
      <c r="C335" s="169"/>
      <c r="D335" s="169"/>
      <c r="E335" s="169"/>
      <c r="F335" s="169"/>
      <c r="H335" s="172"/>
      <c r="I335" s="172"/>
      <c r="J335" s="172"/>
      <c r="K335" s="172"/>
      <c r="L335" s="172"/>
      <c r="M335" s="172"/>
      <c r="N335" s="172"/>
      <c r="O335" s="172"/>
      <c r="P335" s="172"/>
      <c r="Q335" s="172"/>
      <c r="R335" s="172"/>
      <c r="S335" s="172"/>
      <c r="T335" s="172"/>
      <c r="U335" s="172"/>
      <c r="V335" s="172"/>
      <c r="X335" s="169"/>
      <c r="Y335" s="169"/>
      <c r="Z335" s="169"/>
      <c r="AA335" s="170"/>
      <c r="AW335" s="11" t="s">
        <v>694</v>
      </c>
    </row>
    <row r="336" spans="1:49" s="11" customFormat="1">
      <c r="A336" s="184"/>
      <c r="B336" s="169"/>
      <c r="C336" s="169"/>
      <c r="D336" s="169"/>
      <c r="E336" s="169"/>
      <c r="F336" s="169"/>
      <c r="H336" s="172"/>
      <c r="I336" s="172"/>
      <c r="J336" s="172"/>
      <c r="K336" s="172"/>
      <c r="L336" s="172"/>
      <c r="M336" s="172"/>
      <c r="N336" s="172"/>
      <c r="O336" s="172"/>
      <c r="P336" s="172"/>
      <c r="Q336" s="172"/>
      <c r="R336" s="172"/>
      <c r="S336" s="172"/>
      <c r="T336" s="172"/>
      <c r="U336" s="172"/>
      <c r="V336" s="172"/>
      <c r="X336" s="169"/>
      <c r="Y336" s="169"/>
      <c r="Z336" s="169"/>
      <c r="AA336" s="170"/>
      <c r="AW336" s="11" t="s">
        <v>694</v>
      </c>
    </row>
    <row r="337" spans="1:49" s="11" customFormat="1">
      <c r="A337" s="184"/>
      <c r="B337" s="169"/>
      <c r="C337" s="169"/>
      <c r="D337" s="169"/>
      <c r="E337" s="169"/>
      <c r="F337" s="169"/>
      <c r="H337" s="172"/>
      <c r="I337" s="172"/>
      <c r="J337" s="172"/>
      <c r="K337" s="172"/>
      <c r="L337" s="172"/>
      <c r="M337" s="172"/>
      <c r="N337" s="172"/>
      <c r="O337" s="172"/>
      <c r="P337" s="172"/>
      <c r="Q337" s="172"/>
      <c r="R337" s="172"/>
      <c r="S337" s="172"/>
      <c r="T337" s="172"/>
      <c r="U337" s="172"/>
      <c r="V337" s="172"/>
      <c r="X337" s="169"/>
      <c r="Y337" s="169"/>
      <c r="Z337" s="169"/>
      <c r="AA337" s="170"/>
      <c r="AW337" s="11" t="s">
        <v>694</v>
      </c>
    </row>
    <row r="338" spans="1:49" s="11" customFormat="1">
      <c r="A338" s="184"/>
      <c r="B338" s="169"/>
      <c r="C338" s="169"/>
      <c r="D338" s="169"/>
      <c r="E338" s="169"/>
      <c r="F338" s="169"/>
      <c r="H338" s="172"/>
      <c r="I338" s="172"/>
      <c r="J338" s="172"/>
      <c r="K338" s="172"/>
      <c r="L338" s="172"/>
      <c r="M338" s="172"/>
      <c r="N338" s="172"/>
      <c r="O338" s="172"/>
      <c r="P338" s="172"/>
      <c r="Q338" s="172"/>
      <c r="R338" s="172"/>
      <c r="S338" s="172"/>
      <c r="T338" s="172"/>
      <c r="U338" s="172"/>
      <c r="V338" s="172"/>
      <c r="X338" s="169"/>
      <c r="Y338" s="169"/>
      <c r="Z338" s="169"/>
      <c r="AA338" s="170"/>
      <c r="AW338" s="11" t="s">
        <v>694</v>
      </c>
    </row>
    <row r="339" spans="1:49" s="11" customFormat="1">
      <c r="A339" s="184"/>
      <c r="B339" s="169"/>
      <c r="C339" s="169"/>
      <c r="D339" s="169"/>
      <c r="E339" s="169"/>
      <c r="F339" s="169"/>
      <c r="H339" s="172"/>
      <c r="I339" s="172"/>
      <c r="J339" s="172"/>
      <c r="K339" s="172"/>
      <c r="L339" s="172"/>
      <c r="M339" s="172"/>
      <c r="N339" s="172"/>
      <c r="O339" s="172"/>
      <c r="P339" s="172"/>
      <c r="Q339" s="172"/>
      <c r="R339" s="172"/>
      <c r="S339" s="172"/>
      <c r="T339" s="172"/>
      <c r="U339" s="172"/>
      <c r="V339" s="172"/>
      <c r="X339" s="169"/>
      <c r="Y339" s="169"/>
      <c r="Z339" s="169"/>
      <c r="AA339" s="170"/>
      <c r="AW339" s="11" t="s">
        <v>694</v>
      </c>
    </row>
    <row r="340" spans="1:49" s="11" customFormat="1">
      <c r="A340" s="184"/>
      <c r="B340" s="169"/>
      <c r="C340" s="169"/>
      <c r="D340" s="169"/>
      <c r="E340" s="169"/>
      <c r="F340" s="169"/>
      <c r="H340" s="172"/>
      <c r="I340" s="172"/>
      <c r="J340" s="172"/>
      <c r="K340" s="172"/>
      <c r="L340" s="172"/>
      <c r="M340" s="172"/>
      <c r="N340" s="172"/>
      <c r="O340" s="172"/>
      <c r="P340" s="172"/>
      <c r="Q340" s="172"/>
      <c r="R340" s="172"/>
      <c r="S340" s="172"/>
      <c r="T340" s="172"/>
      <c r="U340" s="172"/>
      <c r="V340" s="172"/>
      <c r="X340" s="169"/>
      <c r="Y340" s="169"/>
      <c r="Z340" s="169"/>
      <c r="AA340" s="170"/>
      <c r="AW340" s="11" t="s">
        <v>694</v>
      </c>
    </row>
    <row r="341" spans="1:49" s="11" customFormat="1">
      <c r="A341" s="184"/>
      <c r="B341" s="169"/>
      <c r="C341" s="169"/>
      <c r="D341" s="169"/>
      <c r="E341" s="169"/>
      <c r="F341" s="169"/>
      <c r="H341" s="172"/>
      <c r="I341" s="172"/>
      <c r="J341" s="172"/>
      <c r="K341" s="172"/>
      <c r="L341" s="172"/>
      <c r="M341" s="172"/>
      <c r="N341" s="172"/>
      <c r="O341" s="172"/>
      <c r="P341" s="172"/>
      <c r="Q341" s="172"/>
      <c r="R341" s="172"/>
      <c r="S341" s="172"/>
      <c r="T341" s="172"/>
      <c r="U341" s="172"/>
      <c r="V341" s="172"/>
      <c r="X341" s="169"/>
      <c r="Y341" s="169"/>
      <c r="Z341" s="169"/>
      <c r="AA341" s="170"/>
      <c r="AW341" s="11" t="s">
        <v>694</v>
      </c>
    </row>
    <row r="342" spans="1:49" s="11" customFormat="1">
      <c r="A342" s="184"/>
      <c r="B342" s="169"/>
      <c r="C342" s="169"/>
      <c r="D342" s="169"/>
      <c r="E342" s="169"/>
      <c r="F342" s="169"/>
      <c r="H342" s="172"/>
      <c r="I342" s="172"/>
      <c r="J342" s="172"/>
      <c r="K342" s="172"/>
      <c r="L342" s="172"/>
      <c r="M342" s="172"/>
      <c r="N342" s="172"/>
      <c r="O342" s="172"/>
      <c r="P342" s="172"/>
      <c r="Q342" s="172"/>
      <c r="R342" s="172"/>
      <c r="S342" s="172"/>
      <c r="T342" s="172"/>
      <c r="U342" s="172"/>
      <c r="V342" s="172"/>
      <c r="X342" s="169"/>
      <c r="Y342" s="169"/>
      <c r="Z342" s="169"/>
      <c r="AA342" s="170"/>
      <c r="AW342" s="11" t="s">
        <v>694</v>
      </c>
    </row>
    <row r="343" spans="1:49" s="11" customFormat="1">
      <c r="A343" s="184"/>
      <c r="B343" s="169"/>
      <c r="C343" s="169"/>
      <c r="D343" s="169"/>
      <c r="E343" s="169"/>
      <c r="F343" s="169"/>
      <c r="H343" s="172"/>
      <c r="I343" s="172"/>
      <c r="J343" s="172"/>
      <c r="K343" s="172"/>
      <c r="L343" s="172"/>
      <c r="M343" s="172"/>
      <c r="N343" s="172"/>
      <c r="O343" s="172"/>
      <c r="P343" s="172"/>
      <c r="Q343" s="172"/>
      <c r="R343" s="172"/>
      <c r="S343" s="172"/>
      <c r="T343" s="172"/>
      <c r="U343" s="172"/>
      <c r="V343" s="172"/>
      <c r="X343" s="169"/>
      <c r="Y343" s="169"/>
      <c r="Z343" s="169"/>
      <c r="AA343" s="170"/>
      <c r="AW343" s="11" t="s">
        <v>694</v>
      </c>
    </row>
    <row r="344" spans="1:49" s="11" customFormat="1">
      <c r="A344" s="184"/>
      <c r="B344" s="169"/>
      <c r="C344" s="169"/>
      <c r="D344" s="169"/>
      <c r="E344" s="169"/>
      <c r="F344" s="169"/>
      <c r="H344" s="172"/>
      <c r="I344" s="172"/>
      <c r="J344" s="172"/>
      <c r="K344" s="172"/>
      <c r="L344" s="172"/>
      <c r="M344" s="172"/>
      <c r="N344" s="172"/>
      <c r="O344" s="172"/>
      <c r="P344" s="172"/>
      <c r="Q344" s="172"/>
      <c r="R344" s="172"/>
      <c r="S344" s="172"/>
      <c r="T344" s="172"/>
      <c r="U344" s="172"/>
      <c r="V344" s="172"/>
      <c r="X344" s="169"/>
      <c r="Y344" s="169"/>
      <c r="Z344" s="169"/>
      <c r="AA344" s="170"/>
      <c r="AW344" s="11" t="s">
        <v>694</v>
      </c>
    </row>
    <row r="345" spans="1:49" s="11" customFormat="1">
      <c r="A345" s="184"/>
      <c r="B345" s="169"/>
      <c r="C345" s="169"/>
      <c r="D345" s="169"/>
      <c r="E345" s="169"/>
      <c r="F345" s="169"/>
      <c r="H345" s="172"/>
      <c r="I345" s="172"/>
      <c r="J345" s="172"/>
      <c r="K345" s="172"/>
      <c r="L345" s="172"/>
      <c r="M345" s="172"/>
      <c r="N345" s="172"/>
      <c r="O345" s="172"/>
      <c r="P345" s="172"/>
      <c r="Q345" s="172"/>
      <c r="R345" s="172"/>
      <c r="S345" s="172"/>
      <c r="T345" s="172"/>
      <c r="U345" s="172"/>
      <c r="V345" s="172"/>
      <c r="X345" s="169"/>
      <c r="Y345" s="169"/>
      <c r="Z345" s="169"/>
      <c r="AA345" s="170"/>
      <c r="AW345" s="11" t="s">
        <v>694</v>
      </c>
    </row>
    <row r="346" spans="1:49" s="11" customFormat="1">
      <c r="A346" s="184"/>
      <c r="B346" s="169"/>
      <c r="C346" s="169"/>
      <c r="D346" s="169"/>
      <c r="E346" s="169"/>
      <c r="F346" s="169"/>
      <c r="H346" s="172"/>
      <c r="I346" s="172"/>
      <c r="J346" s="172"/>
      <c r="K346" s="172"/>
      <c r="L346" s="172"/>
      <c r="M346" s="172"/>
      <c r="N346" s="172"/>
      <c r="O346" s="172"/>
      <c r="P346" s="172"/>
      <c r="Q346" s="172"/>
      <c r="R346" s="172"/>
      <c r="S346" s="172"/>
      <c r="T346" s="172"/>
      <c r="U346" s="172"/>
      <c r="V346" s="172"/>
      <c r="X346" s="169"/>
      <c r="Y346" s="169"/>
      <c r="Z346" s="169"/>
      <c r="AA346" s="170"/>
      <c r="AW346" s="11" t="s">
        <v>694</v>
      </c>
    </row>
    <row r="347" spans="1:49" s="11" customFormat="1">
      <c r="A347" s="184"/>
      <c r="B347" s="169"/>
      <c r="C347" s="169"/>
      <c r="D347" s="169"/>
      <c r="E347" s="169"/>
      <c r="F347" s="169"/>
      <c r="H347" s="172"/>
      <c r="I347" s="172"/>
      <c r="J347" s="172"/>
      <c r="K347" s="172"/>
      <c r="L347" s="172"/>
      <c r="M347" s="172"/>
      <c r="N347" s="172"/>
      <c r="O347" s="172"/>
      <c r="P347" s="172"/>
      <c r="Q347" s="172"/>
      <c r="R347" s="172"/>
      <c r="S347" s="172"/>
      <c r="T347" s="172"/>
      <c r="U347" s="172"/>
      <c r="V347" s="172"/>
      <c r="X347" s="169"/>
      <c r="Y347" s="169"/>
      <c r="Z347" s="169"/>
      <c r="AA347" s="170"/>
      <c r="AW347" s="11" t="s">
        <v>694</v>
      </c>
    </row>
    <row r="348" spans="1:49" s="11" customFormat="1">
      <c r="A348" s="184"/>
      <c r="B348" s="169"/>
      <c r="C348" s="169"/>
      <c r="D348" s="169"/>
      <c r="E348" s="169"/>
      <c r="F348" s="169"/>
      <c r="H348" s="172"/>
      <c r="I348" s="172"/>
      <c r="J348" s="172"/>
      <c r="K348" s="172"/>
      <c r="L348" s="172"/>
      <c r="M348" s="172"/>
      <c r="N348" s="172"/>
      <c r="O348" s="172"/>
      <c r="P348" s="172"/>
      <c r="Q348" s="172"/>
      <c r="R348" s="172"/>
      <c r="S348" s="172"/>
      <c r="T348" s="172"/>
      <c r="U348" s="172"/>
      <c r="V348" s="172"/>
      <c r="X348" s="169"/>
      <c r="Y348" s="169"/>
      <c r="Z348" s="169"/>
      <c r="AA348" s="170"/>
      <c r="AW348" s="11" t="s">
        <v>694</v>
      </c>
    </row>
    <row r="349" spans="1:49" s="11" customFormat="1">
      <c r="A349" s="184"/>
      <c r="B349" s="169"/>
      <c r="C349" s="169"/>
      <c r="D349" s="169"/>
      <c r="E349" s="169"/>
      <c r="F349" s="169"/>
      <c r="H349" s="172"/>
      <c r="I349" s="172"/>
      <c r="J349" s="172"/>
      <c r="K349" s="172"/>
      <c r="L349" s="172"/>
      <c r="M349" s="172"/>
      <c r="N349" s="172"/>
      <c r="O349" s="172"/>
      <c r="P349" s="172"/>
      <c r="Q349" s="172"/>
      <c r="R349" s="172"/>
      <c r="S349" s="172"/>
      <c r="T349" s="172"/>
      <c r="U349" s="172"/>
      <c r="V349" s="172"/>
      <c r="X349" s="169"/>
      <c r="Y349" s="169"/>
      <c r="Z349" s="169"/>
      <c r="AA349" s="170"/>
      <c r="AW349" s="11" t="s">
        <v>694</v>
      </c>
    </row>
    <row r="350" spans="1:49" s="11" customFormat="1">
      <c r="A350" s="184"/>
      <c r="B350" s="169"/>
      <c r="C350" s="169"/>
      <c r="D350" s="169"/>
      <c r="E350" s="169"/>
      <c r="F350" s="169"/>
      <c r="H350" s="172"/>
      <c r="I350" s="172"/>
      <c r="J350" s="172"/>
      <c r="K350" s="172"/>
      <c r="L350" s="172"/>
      <c r="M350" s="172"/>
      <c r="N350" s="172"/>
      <c r="O350" s="172"/>
      <c r="P350" s="172"/>
      <c r="Q350" s="172"/>
      <c r="R350" s="172"/>
      <c r="S350" s="172"/>
      <c r="T350" s="172"/>
      <c r="U350" s="172"/>
      <c r="V350" s="172"/>
      <c r="X350" s="169"/>
      <c r="Y350" s="169"/>
      <c r="Z350" s="169"/>
      <c r="AA350" s="170"/>
      <c r="AW350" s="11" t="s">
        <v>694</v>
      </c>
    </row>
    <row r="351" spans="1:49" s="11" customFormat="1">
      <c r="A351" s="184"/>
      <c r="B351" s="169"/>
      <c r="C351" s="169"/>
      <c r="D351" s="169"/>
      <c r="E351" s="169"/>
      <c r="F351" s="169"/>
      <c r="H351" s="172"/>
      <c r="I351" s="172"/>
      <c r="J351" s="172"/>
      <c r="K351" s="172"/>
      <c r="L351" s="172"/>
      <c r="M351" s="172"/>
      <c r="N351" s="172"/>
      <c r="O351" s="172"/>
      <c r="P351" s="172"/>
      <c r="Q351" s="172"/>
      <c r="R351" s="172"/>
      <c r="S351" s="172"/>
      <c r="T351" s="172"/>
      <c r="U351" s="172"/>
      <c r="V351" s="172"/>
      <c r="X351" s="169"/>
      <c r="Y351" s="169"/>
      <c r="Z351" s="169"/>
      <c r="AA351" s="170"/>
      <c r="AW351" s="11" t="s">
        <v>694</v>
      </c>
    </row>
    <row r="352" spans="1:49" s="11" customFormat="1">
      <c r="A352" s="184"/>
      <c r="B352" s="169"/>
      <c r="C352" s="169"/>
      <c r="D352" s="169"/>
      <c r="E352" s="169"/>
      <c r="F352" s="169"/>
      <c r="H352" s="172"/>
      <c r="I352" s="172"/>
      <c r="J352" s="172"/>
      <c r="K352" s="172"/>
      <c r="L352" s="172"/>
      <c r="M352" s="172"/>
      <c r="N352" s="172"/>
      <c r="O352" s="172"/>
      <c r="P352" s="172"/>
      <c r="Q352" s="172"/>
      <c r="R352" s="172"/>
      <c r="S352" s="172"/>
      <c r="T352" s="172"/>
      <c r="U352" s="172"/>
      <c r="V352" s="172"/>
      <c r="X352" s="169"/>
      <c r="Y352" s="169"/>
      <c r="Z352" s="169"/>
      <c r="AA352" s="170"/>
      <c r="AW352" s="11" t="s">
        <v>694</v>
      </c>
    </row>
    <row r="353" spans="1:49" s="11" customFormat="1">
      <c r="A353" s="184"/>
      <c r="B353" s="169"/>
      <c r="C353" s="169"/>
      <c r="D353" s="169"/>
      <c r="E353" s="169"/>
      <c r="F353" s="169"/>
      <c r="H353" s="172"/>
      <c r="I353" s="172"/>
      <c r="J353" s="172"/>
      <c r="K353" s="172"/>
      <c r="L353" s="172"/>
      <c r="M353" s="172"/>
      <c r="N353" s="172"/>
      <c r="O353" s="172"/>
      <c r="P353" s="172"/>
      <c r="Q353" s="172"/>
      <c r="R353" s="172"/>
      <c r="S353" s="172"/>
      <c r="T353" s="172"/>
      <c r="U353" s="172"/>
      <c r="V353" s="172"/>
      <c r="X353" s="169"/>
      <c r="Y353" s="169"/>
      <c r="Z353" s="169"/>
      <c r="AA353" s="170"/>
      <c r="AW353" s="11" t="s">
        <v>694</v>
      </c>
    </row>
    <row r="354" spans="1:49" s="11" customFormat="1">
      <c r="A354" s="184"/>
      <c r="B354" s="169"/>
      <c r="C354" s="169"/>
      <c r="D354" s="169"/>
      <c r="E354" s="169"/>
      <c r="F354" s="169"/>
      <c r="H354" s="172"/>
      <c r="I354" s="172"/>
      <c r="J354" s="172"/>
      <c r="K354" s="172"/>
      <c r="L354" s="172"/>
      <c r="M354" s="172"/>
      <c r="N354" s="172"/>
      <c r="O354" s="172"/>
      <c r="P354" s="172"/>
      <c r="Q354" s="172"/>
      <c r="R354" s="172"/>
      <c r="S354" s="172"/>
      <c r="T354" s="172"/>
      <c r="U354" s="172"/>
      <c r="V354" s="172"/>
      <c r="X354" s="169"/>
      <c r="Y354" s="169"/>
      <c r="Z354" s="169"/>
      <c r="AA354" s="170"/>
      <c r="AW354" s="11" t="s">
        <v>694</v>
      </c>
    </row>
    <row r="355" spans="1:49" s="11" customFormat="1">
      <c r="A355" s="184"/>
      <c r="B355" s="169"/>
      <c r="C355" s="169"/>
      <c r="D355" s="169"/>
      <c r="E355" s="169"/>
      <c r="F355" s="169"/>
      <c r="H355" s="172"/>
      <c r="I355" s="172"/>
      <c r="J355" s="172"/>
      <c r="K355" s="172"/>
      <c r="L355" s="172"/>
      <c r="M355" s="172"/>
      <c r="N355" s="172"/>
      <c r="O355" s="172"/>
      <c r="P355" s="172"/>
      <c r="Q355" s="172"/>
      <c r="R355" s="172"/>
      <c r="S355" s="172"/>
      <c r="T355" s="172"/>
      <c r="U355" s="172"/>
      <c r="V355" s="172"/>
      <c r="X355" s="169"/>
      <c r="Y355" s="169"/>
      <c r="Z355" s="169"/>
      <c r="AA355" s="170"/>
      <c r="AW355" s="11" t="s">
        <v>694</v>
      </c>
    </row>
    <row r="356" spans="1:49" s="11" customFormat="1">
      <c r="A356" s="184"/>
      <c r="B356" s="169"/>
      <c r="C356" s="169"/>
      <c r="D356" s="169"/>
      <c r="E356" s="169"/>
      <c r="F356" s="169"/>
      <c r="H356" s="172"/>
      <c r="I356" s="172"/>
      <c r="J356" s="172"/>
      <c r="K356" s="172"/>
      <c r="L356" s="172"/>
      <c r="M356" s="172"/>
      <c r="N356" s="172"/>
      <c r="O356" s="172"/>
      <c r="P356" s="172"/>
      <c r="Q356" s="172"/>
      <c r="R356" s="172"/>
      <c r="S356" s="172"/>
      <c r="T356" s="172"/>
      <c r="U356" s="172"/>
      <c r="V356" s="172"/>
      <c r="X356" s="169"/>
      <c r="Y356" s="169"/>
      <c r="Z356" s="169"/>
      <c r="AA356" s="170"/>
      <c r="AW356" s="11" t="s">
        <v>694</v>
      </c>
    </row>
    <row r="357" spans="1:49" s="11" customFormat="1">
      <c r="A357" s="184"/>
      <c r="B357" s="169"/>
      <c r="C357" s="169"/>
      <c r="D357" s="169"/>
      <c r="E357" s="169"/>
      <c r="F357" s="169"/>
      <c r="H357" s="172"/>
      <c r="I357" s="172"/>
      <c r="J357" s="172"/>
      <c r="K357" s="172"/>
      <c r="L357" s="172"/>
      <c r="M357" s="172"/>
      <c r="N357" s="172"/>
      <c r="O357" s="172"/>
      <c r="P357" s="172"/>
      <c r="Q357" s="172"/>
      <c r="R357" s="172"/>
      <c r="S357" s="172"/>
      <c r="T357" s="172"/>
      <c r="U357" s="172"/>
      <c r="V357" s="172"/>
      <c r="X357" s="169"/>
      <c r="Y357" s="169"/>
      <c r="Z357" s="169"/>
      <c r="AA357" s="170"/>
      <c r="AW357" s="11" t="s">
        <v>694</v>
      </c>
    </row>
    <row r="358" spans="1:49" s="11" customFormat="1">
      <c r="A358" s="184"/>
      <c r="B358" s="169"/>
      <c r="C358" s="169"/>
      <c r="D358" s="169"/>
      <c r="E358" s="169"/>
      <c r="F358" s="169"/>
      <c r="H358" s="172"/>
      <c r="I358" s="172"/>
      <c r="J358" s="172"/>
      <c r="K358" s="172"/>
      <c r="L358" s="172"/>
      <c r="M358" s="172"/>
      <c r="N358" s="172"/>
      <c r="O358" s="172"/>
      <c r="P358" s="172"/>
      <c r="Q358" s="172"/>
      <c r="R358" s="172"/>
      <c r="S358" s="172"/>
      <c r="T358" s="172"/>
      <c r="U358" s="172"/>
      <c r="V358" s="172"/>
      <c r="X358" s="169"/>
      <c r="Y358" s="169"/>
      <c r="Z358" s="169"/>
      <c r="AA358" s="170"/>
      <c r="AW358" s="11" t="s">
        <v>694</v>
      </c>
    </row>
    <row r="359" spans="1:49" s="11" customFormat="1">
      <c r="A359" s="184"/>
      <c r="B359" s="169"/>
      <c r="C359" s="169"/>
      <c r="D359" s="169"/>
      <c r="E359" s="169"/>
      <c r="F359" s="169"/>
      <c r="H359" s="172"/>
      <c r="I359" s="172"/>
      <c r="J359" s="172"/>
      <c r="K359" s="172"/>
      <c r="L359" s="172"/>
      <c r="M359" s="172"/>
      <c r="N359" s="172"/>
      <c r="O359" s="172"/>
      <c r="P359" s="172"/>
      <c r="Q359" s="172"/>
      <c r="R359" s="172"/>
      <c r="S359" s="172"/>
      <c r="T359" s="172"/>
      <c r="U359" s="172"/>
      <c r="V359" s="172"/>
      <c r="X359" s="169"/>
      <c r="Y359" s="169"/>
      <c r="Z359" s="169"/>
      <c r="AA359" s="170"/>
      <c r="AW359" s="11" t="s">
        <v>694</v>
      </c>
    </row>
    <row r="360" spans="1:49" s="11" customFormat="1">
      <c r="A360" s="184"/>
      <c r="B360" s="169"/>
      <c r="C360" s="169"/>
      <c r="D360" s="169"/>
      <c r="E360" s="169"/>
      <c r="F360" s="169"/>
      <c r="H360" s="172"/>
      <c r="I360" s="172"/>
      <c r="J360" s="172"/>
      <c r="K360" s="172"/>
      <c r="L360" s="172"/>
      <c r="M360" s="172"/>
      <c r="N360" s="172"/>
      <c r="O360" s="172"/>
      <c r="P360" s="172"/>
      <c r="Q360" s="172"/>
      <c r="R360" s="172"/>
      <c r="S360" s="172"/>
      <c r="T360" s="172"/>
      <c r="U360" s="172"/>
      <c r="V360" s="172"/>
      <c r="X360" s="169"/>
      <c r="Y360" s="169"/>
      <c r="Z360" s="169"/>
      <c r="AA360" s="170"/>
      <c r="AW360" s="11" t="s">
        <v>694</v>
      </c>
    </row>
    <row r="361" spans="1:49" s="11" customFormat="1">
      <c r="A361" s="184"/>
      <c r="B361" s="169"/>
      <c r="C361" s="169"/>
      <c r="D361" s="169"/>
      <c r="E361" s="169"/>
      <c r="F361" s="169"/>
      <c r="H361" s="172"/>
      <c r="I361" s="172"/>
      <c r="J361" s="172"/>
      <c r="K361" s="172"/>
      <c r="L361" s="172"/>
      <c r="M361" s="172"/>
      <c r="N361" s="172"/>
      <c r="O361" s="172"/>
      <c r="P361" s="172"/>
      <c r="Q361" s="172"/>
      <c r="R361" s="172"/>
      <c r="S361" s="172"/>
      <c r="T361" s="172"/>
      <c r="U361" s="172"/>
      <c r="V361" s="172"/>
      <c r="X361" s="169"/>
      <c r="Y361" s="169"/>
      <c r="Z361" s="169"/>
      <c r="AA361" s="170"/>
      <c r="AW361" s="11" t="s">
        <v>694</v>
      </c>
    </row>
    <row r="362" spans="1:49" s="11" customFormat="1">
      <c r="A362" s="184"/>
      <c r="B362" s="169"/>
      <c r="C362" s="169"/>
      <c r="D362" s="169"/>
      <c r="E362" s="169"/>
      <c r="F362" s="169"/>
      <c r="H362" s="172"/>
      <c r="I362" s="172"/>
      <c r="J362" s="172"/>
      <c r="K362" s="172"/>
      <c r="L362" s="172"/>
      <c r="M362" s="172"/>
      <c r="N362" s="172"/>
      <c r="O362" s="172"/>
      <c r="P362" s="172"/>
      <c r="Q362" s="172"/>
      <c r="R362" s="172"/>
      <c r="S362" s="172"/>
      <c r="T362" s="172"/>
      <c r="U362" s="172"/>
      <c r="V362" s="172"/>
      <c r="X362" s="169"/>
      <c r="Y362" s="169"/>
      <c r="Z362" s="169"/>
      <c r="AA362" s="170"/>
      <c r="AW362" s="11" t="s">
        <v>694</v>
      </c>
    </row>
    <row r="363" spans="1:49" s="11" customFormat="1">
      <c r="A363" s="184"/>
      <c r="B363" s="169"/>
      <c r="C363" s="169"/>
      <c r="D363" s="169"/>
      <c r="E363" s="169"/>
      <c r="F363" s="169"/>
      <c r="H363" s="172"/>
      <c r="I363" s="172"/>
      <c r="J363" s="172"/>
      <c r="K363" s="172"/>
      <c r="L363" s="172"/>
      <c r="M363" s="172"/>
      <c r="N363" s="172"/>
      <c r="O363" s="172"/>
      <c r="P363" s="172"/>
      <c r="Q363" s="172"/>
      <c r="R363" s="172"/>
      <c r="S363" s="172"/>
      <c r="T363" s="172"/>
      <c r="U363" s="172"/>
      <c r="V363" s="172"/>
      <c r="X363" s="169"/>
      <c r="Y363" s="169"/>
      <c r="Z363" s="169"/>
      <c r="AA363" s="170"/>
      <c r="AW363" s="11" t="s">
        <v>694</v>
      </c>
    </row>
    <row r="364" spans="1:49" s="11" customFormat="1">
      <c r="A364" s="184"/>
      <c r="B364" s="169"/>
      <c r="C364" s="169"/>
      <c r="D364" s="169"/>
      <c r="E364" s="169"/>
      <c r="F364" s="169"/>
      <c r="H364" s="172"/>
      <c r="I364" s="172"/>
      <c r="J364" s="172"/>
      <c r="K364" s="172"/>
      <c r="L364" s="172"/>
      <c r="M364" s="172"/>
      <c r="N364" s="172"/>
      <c r="O364" s="172"/>
      <c r="P364" s="172"/>
      <c r="Q364" s="172"/>
      <c r="R364" s="172"/>
      <c r="S364" s="172"/>
      <c r="T364" s="172"/>
      <c r="U364" s="172"/>
      <c r="V364" s="172"/>
      <c r="X364" s="169"/>
      <c r="Y364" s="169"/>
      <c r="Z364" s="169"/>
      <c r="AA364" s="170"/>
      <c r="AW364" s="11" t="s">
        <v>694</v>
      </c>
    </row>
    <row r="365" spans="1:49" s="11" customFormat="1">
      <c r="A365" s="184"/>
      <c r="B365" s="169"/>
      <c r="C365" s="169"/>
      <c r="D365" s="169"/>
      <c r="E365" s="169"/>
      <c r="F365" s="169"/>
      <c r="H365" s="172"/>
      <c r="I365" s="172"/>
      <c r="J365" s="172"/>
      <c r="K365" s="172"/>
      <c r="L365" s="172"/>
      <c r="M365" s="172"/>
      <c r="N365" s="172"/>
      <c r="O365" s="172"/>
      <c r="P365" s="172"/>
      <c r="Q365" s="172"/>
      <c r="R365" s="172"/>
      <c r="S365" s="172"/>
      <c r="T365" s="172"/>
      <c r="U365" s="172"/>
      <c r="V365" s="172"/>
      <c r="X365" s="169"/>
      <c r="Y365" s="169"/>
      <c r="Z365" s="169"/>
      <c r="AA365" s="170"/>
      <c r="AW365" s="11" t="s">
        <v>694</v>
      </c>
    </row>
    <row r="366" spans="1:49" s="11" customFormat="1">
      <c r="A366" s="184"/>
      <c r="B366" s="169"/>
      <c r="C366" s="169"/>
      <c r="D366" s="169"/>
      <c r="E366" s="169"/>
      <c r="F366" s="169"/>
      <c r="H366" s="172"/>
      <c r="I366" s="172"/>
      <c r="J366" s="172"/>
      <c r="K366" s="172"/>
      <c r="L366" s="172"/>
      <c r="M366" s="172"/>
      <c r="N366" s="172"/>
      <c r="O366" s="172"/>
      <c r="P366" s="172"/>
      <c r="Q366" s="172"/>
      <c r="R366" s="172"/>
      <c r="S366" s="172"/>
      <c r="T366" s="172"/>
      <c r="U366" s="172"/>
      <c r="V366" s="172"/>
      <c r="X366" s="169"/>
      <c r="Y366" s="169"/>
      <c r="Z366" s="169"/>
      <c r="AA366" s="170"/>
      <c r="AW366" s="11" t="s">
        <v>694</v>
      </c>
    </row>
    <row r="367" spans="1:49" s="11" customFormat="1">
      <c r="A367" s="184"/>
      <c r="B367" s="169"/>
      <c r="C367" s="169"/>
      <c r="D367" s="169"/>
      <c r="E367" s="169"/>
      <c r="F367" s="169"/>
      <c r="H367" s="172"/>
      <c r="I367" s="172"/>
      <c r="J367" s="172"/>
      <c r="K367" s="172"/>
      <c r="L367" s="172"/>
      <c r="M367" s="172"/>
      <c r="N367" s="172"/>
      <c r="O367" s="172"/>
      <c r="P367" s="172"/>
      <c r="Q367" s="172"/>
      <c r="R367" s="172"/>
      <c r="S367" s="172"/>
      <c r="T367" s="172"/>
      <c r="U367" s="172"/>
      <c r="V367" s="172"/>
      <c r="X367" s="169"/>
      <c r="Y367" s="169"/>
      <c r="Z367" s="169"/>
      <c r="AA367" s="170"/>
      <c r="AW367" s="11" t="s">
        <v>694</v>
      </c>
    </row>
    <row r="368" spans="1:49" s="11" customFormat="1">
      <c r="A368" s="184"/>
      <c r="B368" s="169"/>
      <c r="C368" s="169"/>
      <c r="D368" s="169"/>
      <c r="E368" s="169"/>
      <c r="F368" s="169"/>
      <c r="H368" s="172"/>
      <c r="I368" s="172"/>
      <c r="J368" s="172"/>
      <c r="K368" s="172"/>
      <c r="L368" s="172"/>
      <c r="M368" s="172"/>
      <c r="N368" s="172"/>
      <c r="O368" s="172"/>
      <c r="P368" s="172"/>
      <c r="Q368" s="172"/>
      <c r="R368" s="172"/>
      <c r="S368" s="172"/>
      <c r="T368" s="172"/>
      <c r="U368" s="172"/>
      <c r="V368" s="172"/>
      <c r="X368" s="169"/>
      <c r="Y368" s="169"/>
      <c r="Z368" s="169"/>
      <c r="AA368" s="170"/>
      <c r="AW368" s="11" t="s">
        <v>694</v>
      </c>
    </row>
    <row r="369" spans="1:49" s="11" customFormat="1">
      <c r="A369" s="184"/>
      <c r="B369" s="169"/>
      <c r="C369" s="169"/>
      <c r="D369" s="169"/>
      <c r="E369" s="169"/>
      <c r="F369" s="169"/>
      <c r="H369" s="172"/>
      <c r="I369" s="172"/>
      <c r="J369" s="172"/>
      <c r="K369" s="172"/>
      <c r="L369" s="172"/>
      <c r="M369" s="172"/>
      <c r="N369" s="172"/>
      <c r="O369" s="172"/>
      <c r="P369" s="172"/>
      <c r="Q369" s="172"/>
      <c r="R369" s="172"/>
      <c r="S369" s="172"/>
      <c r="T369" s="172"/>
      <c r="U369" s="172"/>
      <c r="V369" s="172"/>
      <c r="X369" s="169"/>
      <c r="Y369" s="169"/>
      <c r="Z369" s="169"/>
      <c r="AA369" s="170"/>
      <c r="AW369" s="11" t="s">
        <v>694</v>
      </c>
    </row>
    <row r="370" spans="1:49" s="11" customFormat="1">
      <c r="A370" s="184"/>
      <c r="B370" s="169"/>
      <c r="C370" s="169"/>
      <c r="D370" s="169"/>
      <c r="E370" s="169"/>
      <c r="F370" s="169"/>
      <c r="H370" s="172"/>
      <c r="I370" s="172"/>
      <c r="J370" s="172"/>
      <c r="K370" s="172"/>
      <c r="L370" s="172"/>
      <c r="M370" s="172"/>
      <c r="N370" s="172"/>
      <c r="O370" s="172"/>
      <c r="P370" s="172"/>
      <c r="Q370" s="172"/>
      <c r="R370" s="172"/>
      <c r="S370" s="172"/>
      <c r="T370" s="172"/>
      <c r="U370" s="172"/>
      <c r="V370" s="172"/>
      <c r="X370" s="169"/>
      <c r="Y370" s="169"/>
      <c r="Z370" s="169"/>
      <c r="AA370" s="170"/>
      <c r="AW370" s="11" t="s">
        <v>694</v>
      </c>
    </row>
    <row r="371" spans="1:49" s="11" customFormat="1">
      <c r="A371" s="184"/>
      <c r="B371" s="169"/>
      <c r="C371" s="169"/>
      <c r="D371" s="169"/>
      <c r="E371" s="169"/>
      <c r="F371" s="169"/>
      <c r="H371" s="172"/>
      <c r="I371" s="172"/>
      <c r="J371" s="172"/>
      <c r="K371" s="172"/>
      <c r="L371" s="172"/>
      <c r="M371" s="172"/>
      <c r="N371" s="172"/>
      <c r="O371" s="172"/>
      <c r="P371" s="172"/>
      <c r="Q371" s="172"/>
      <c r="R371" s="172"/>
      <c r="S371" s="172"/>
      <c r="T371" s="172"/>
      <c r="U371" s="172"/>
      <c r="V371" s="172"/>
      <c r="X371" s="169"/>
      <c r="Y371" s="169"/>
      <c r="Z371" s="169"/>
      <c r="AA371" s="170"/>
      <c r="AW371" s="11" t="s">
        <v>694</v>
      </c>
    </row>
    <row r="372" spans="1:49" s="11" customFormat="1">
      <c r="A372" s="184"/>
      <c r="B372" s="169"/>
      <c r="C372" s="169"/>
      <c r="D372" s="169"/>
      <c r="E372" s="169"/>
      <c r="F372" s="169"/>
      <c r="H372" s="172"/>
      <c r="I372" s="172"/>
      <c r="J372" s="172"/>
      <c r="K372" s="172"/>
      <c r="L372" s="172"/>
      <c r="M372" s="172"/>
      <c r="N372" s="172"/>
      <c r="O372" s="172"/>
      <c r="P372" s="172"/>
      <c r="Q372" s="172"/>
      <c r="R372" s="172"/>
      <c r="S372" s="172"/>
      <c r="T372" s="172"/>
      <c r="U372" s="172"/>
      <c r="V372" s="172"/>
      <c r="X372" s="169"/>
      <c r="Y372" s="169"/>
      <c r="Z372" s="169"/>
      <c r="AA372" s="170"/>
      <c r="AW372" s="11" t="s">
        <v>694</v>
      </c>
    </row>
    <row r="373" spans="1:49" s="11" customFormat="1">
      <c r="A373" s="184"/>
      <c r="B373" s="169"/>
      <c r="C373" s="169"/>
      <c r="D373" s="169"/>
      <c r="E373" s="169"/>
      <c r="F373" s="169"/>
      <c r="H373" s="172"/>
      <c r="I373" s="172"/>
      <c r="J373" s="172"/>
      <c r="K373" s="172"/>
      <c r="L373" s="172"/>
      <c r="M373" s="172"/>
      <c r="N373" s="172"/>
      <c r="O373" s="172"/>
      <c r="P373" s="172"/>
      <c r="Q373" s="172"/>
      <c r="R373" s="172"/>
      <c r="S373" s="172"/>
      <c r="T373" s="172"/>
      <c r="U373" s="172"/>
      <c r="V373" s="172"/>
      <c r="X373" s="169"/>
      <c r="Y373" s="169"/>
      <c r="Z373" s="169"/>
      <c r="AA373" s="170"/>
      <c r="AW373" s="11" t="s">
        <v>694</v>
      </c>
    </row>
    <row r="374" spans="1:49" s="11" customFormat="1">
      <c r="A374" s="184"/>
      <c r="B374" s="169"/>
      <c r="C374" s="169"/>
      <c r="D374" s="169"/>
      <c r="E374" s="169"/>
      <c r="F374" s="169"/>
      <c r="H374" s="172"/>
      <c r="I374" s="172"/>
      <c r="J374" s="172"/>
      <c r="K374" s="172"/>
      <c r="L374" s="172"/>
      <c r="M374" s="172"/>
      <c r="N374" s="172"/>
      <c r="O374" s="172"/>
      <c r="P374" s="172"/>
      <c r="Q374" s="172"/>
      <c r="R374" s="172"/>
      <c r="S374" s="172"/>
      <c r="T374" s="172"/>
      <c r="U374" s="172"/>
      <c r="V374" s="172"/>
      <c r="X374" s="169"/>
      <c r="Y374" s="169"/>
      <c r="Z374" s="169"/>
      <c r="AA374" s="170"/>
      <c r="AW374" s="11" t="s">
        <v>694</v>
      </c>
    </row>
    <row r="375" spans="1:49" s="11" customFormat="1">
      <c r="A375" s="184"/>
      <c r="B375" s="169"/>
      <c r="C375" s="169"/>
      <c r="D375" s="169"/>
      <c r="E375" s="169"/>
      <c r="F375" s="169"/>
      <c r="H375" s="172"/>
      <c r="I375" s="172"/>
      <c r="J375" s="172"/>
      <c r="K375" s="172"/>
      <c r="L375" s="172"/>
      <c r="M375" s="172"/>
      <c r="N375" s="172"/>
      <c r="O375" s="172"/>
      <c r="P375" s="172"/>
      <c r="Q375" s="172"/>
      <c r="R375" s="172"/>
      <c r="S375" s="172"/>
      <c r="T375" s="172"/>
      <c r="U375" s="172"/>
      <c r="V375" s="172"/>
      <c r="X375" s="169"/>
      <c r="Y375" s="169"/>
      <c r="Z375" s="169"/>
      <c r="AA375" s="170"/>
      <c r="AW375" s="11" t="s">
        <v>694</v>
      </c>
    </row>
    <row r="376" spans="1:49" s="11" customFormat="1">
      <c r="A376" s="184"/>
      <c r="B376" s="169"/>
      <c r="C376" s="169"/>
      <c r="D376" s="169"/>
      <c r="E376" s="169"/>
      <c r="F376" s="169"/>
      <c r="H376" s="172"/>
      <c r="I376" s="172"/>
      <c r="J376" s="172"/>
      <c r="K376" s="172"/>
      <c r="L376" s="172"/>
      <c r="M376" s="172"/>
      <c r="N376" s="172"/>
      <c r="O376" s="172"/>
      <c r="P376" s="172"/>
      <c r="Q376" s="172"/>
      <c r="R376" s="172"/>
      <c r="S376" s="172"/>
      <c r="T376" s="172"/>
      <c r="U376" s="172"/>
      <c r="V376" s="172"/>
      <c r="X376" s="169"/>
      <c r="Y376" s="169"/>
      <c r="Z376" s="169"/>
      <c r="AA376" s="170"/>
      <c r="AW376" s="11" t="s">
        <v>694</v>
      </c>
    </row>
    <row r="377" spans="1:49" s="11" customFormat="1">
      <c r="A377" s="184"/>
      <c r="B377" s="169"/>
      <c r="C377" s="169"/>
      <c r="D377" s="169"/>
      <c r="E377" s="169"/>
      <c r="F377" s="169"/>
      <c r="H377" s="172"/>
      <c r="I377" s="172"/>
      <c r="J377" s="172"/>
      <c r="K377" s="172"/>
      <c r="L377" s="172"/>
      <c r="M377" s="172"/>
      <c r="N377" s="172"/>
      <c r="O377" s="172"/>
      <c r="P377" s="172"/>
      <c r="Q377" s="172"/>
      <c r="R377" s="172"/>
      <c r="S377" s="172"/>
      <c r="T377" s="172"/>
      <c r="U377" s="172"/>
      <c r="V377" s="172"/>
      <c r="X377" s="169"/>
      <c r="Y377" s="169"/>
      <c r="Z377" s="169"/>
      <c r="AA377" s="170"/>
      <c r="AW377" s="11" t="s">
        <v>694</v>
      </c>
    </row>
    <row r="378" spans="1:49" s="11" customFormat="1">
      <c r="A378" s="184"/>
      <c r="B378" s="169"/>
      <c r="C378" s="169"/>
      <c r="D378" s="169"/>
      <c r="E378" s="169"/>
      <c r="F378" s="169"/>
      <c r="H378" s="172"/>
      <c r="I378" s="172"/>
      <c r="J378" s="172"/>
      <c r="K378" s="172"/>
      <c r="L378" s="172"/>
      <c r="M378" s="172"/>
      <c r="N378" s="172"/>
      <c r="O378" s="172"/>
      <c r="P378" s="172"/>
      <c r="Q378" s="172"/>
      <c r="R378" s="172"/>
      <c r="S378" s="172"/>
      <c r="T378" s="172"/>
      <c r="U378" s="172"/>
      <c r="V378" s="172"/>
      <c r="X378" s="169"/>
      <c r="Y378" s="169"/>
      <c r="Z378" s="169"/>
      <c r="AA378" s="170"/>
      <c r="AW378" s="11" t="s">
        <v>694</v>
      </c>
    </row>
    <row r="379" spans="1:49" s="11" customFormat="1">
      <c r="A379" s="184"/>
      <c r="B379" s="169"/>
      <c r="C379" s="169"/>
      <c r="D379" s="169"/>
      <c r="E379" s="169"/>
      <c r="F379" s="169"/>
      <c r="H379" s="172"/>
      <c r="I379" s="172"/>
      <c r="J379" s="172"/>
      <c r="K379" s="172"/>
      <c r="L379" s="172"/>
      <c r="M379" s="172"/>
      <c r="N379" s="172"/>
      <c r="O379" s="172"/>
      <c r="P379" s="172"/>
      <c r="Q379" s="172"/>
      <c r="R379" s="172"/>
      <c r="S379" s="172"/>
      <c r="T379" s="172"/>
      <c r="U379" s="172"/>
      <c r="V379" s="172"/>
      <c r="X379" s="169"/>
      <c r="Y379" s="169"/>
      <c r="Z379" s="169"/>
      <c r="AA379" s="170"/>
      <c r="AW379" s="11" t="s">
        <v>694</v>
      </c>
    </row>
    <row r="380" spans="1:49" s="11" customFormat="1">
      <c r="A380" s="184"/>
      <c r="B380" s="169"/>
      <c r="C380" s="169"/>
      <c r="D380" s="169"/>
      <c r="E380" s="169"/>
      <c r="F380" s="169"/>
      <c r="H380" s="172"/>
      <c r="I380" s="172"/>
      <c r="J380" s="172"/>
      <c r="K380" s="172"/>
      <c r="L380" s="172"/>
      <c r="M380" s="172"/>
      <c r="N380" s="172"/>
      <c r="O380" s="172"/>
      <c r="P380" s="172"/>
      <c r="Q380" s="172"/>
      <c r="R380" s="172"/>
      <c r="S380" s="172"/>
      <c r="T380" s="172"/>
      <c r="U380" s="172"/>
      <c r="V380" s="172"/>
      <c r="X380" s="169"/>
      <c r="Y380" s="169"/>
      <c r="Z380" s="169"/>
      <c r="AA380" s="170"/>
      <c r="AW380" s="11" t="s">
        <v>694</v>
      </c>
    </row>
    <row r="381" spans="1:49" s="11" customFormat="1">
      <c r="A381" s="184"/>
      <c r="B381" s="169"/>
      <c r="C381" s="169"/>
      <c r="D381" s="169"/>
      <c r="E381" s="169"/>
      <c r="F381" s="169"/>
      <c r="H381" s="172"/>
      <c r="I381" s="172"/>
      <c r="J381" s="172"/>
      <c r="K381" s="172"/>
      <c r="L381" s="172"/>
      <c r="M381" s="172"/>
      <c r="N381" s="172"/>
      <c r="O381" s="172"/>
      <c r="P381" s="172"/>
      <c r="Q381" s="172"/>
      <c r="R381" s="172"/>
      <c r="S381" s="172"/>
      <c r="T381" s="172"/>
      <c r="U381" s="172"/>
      <c r="V381" s="172"/>
      <c r="X381" s="169"/>
      <c r="Y381" s="169"/>
      <c r="Z381" s="169"/>
      <c r="AA381" s="170"/>
      <c r="AW381" s="11" t="s">
        <v>694</v>
      </c>
    </row>
    <row r="382" spans="1:49">
      <c r="A382" s="184"/>
      <c r="G382" s="2"/>
      <c r="W382" s="2"/>
      <c r="AA382" s="186"/>
      <c r="AW382" t="s">
        <v>694</v>
      </c>
    </row>
    <row r="383" spans="1:49">
      <c r="A383" s="184"/>
      <c r="B383" s="187"/>
      <c r="C383" s="187"/>
      <c r="D383" s="187"/>
      <c r="E383" s="187"/>
      <c r="F383" s="187"/>
      <c r="X383" s="187"/>
      <c r="Y383" s="187"/>
      <c r="Z383" s="187"/>
      <c r="AA383" s="187"/>
      <c r="AW383" t="s">
        <v>694</v>
      </c>
    </row>
    <row r="384" spans="1:49">
      <c r="A384" s="184"/>
      <c r="AW384" t="s">
        <v>694</v>
      </c>
    </row>
    <row r="385" spans="1:49">
      <c r="A385" s="184"/>
      <c r="B385" s="162"/>
      <c r="C385" s="162"/>
      <c r="D385" s="162"/>
      <c r="E385" s="162"/>
      <c r="F385" s="162"/>
      <c r="H385" s="162"/>
      <c r="I385" s="162"/>
      <c r="J385" s="162"/>
      <c r="K385" s="162"/>
      <c r="L385" s="162"/>
      <c r="M385" s="162"/>
      <c r="N385" s="162"/>
      <c r="O385" s="162"/>
      <c r="P385" s="162"/>
      <c r="Q385" s="162"/>
      <c r="R385" s="162"/>
      <c r="S385" s="162"/>
      <c r="T385" s="162"/>
      <c r="U385" s="162"/>
      <c r="V385" s="162"/>
      <c r="X385" s="162"/>
      <c r="Y385" s="162"/>
      <c r="Z385" s="162"/>
      <c r="AW385" t="s">
        <v>694</v>
      </c>
    </row>
    <row r="386" spans="1:49">
      <c r="A386" s="184"/>
      <c r="AW386" t="s">
        <v>694</v>
      </c>
    </row>
    <row r="387" spans="1:49">
      <c r="A387" s="184"/>
      <c r="AW387" t="s">
        <v>694</v>
      </c>
    </row>
    <row r="388" spans="1:49">
      <c r="A388" s="184"/>
      <c r="AW388" t="s">
        <v>694</v>
      </c>
    </row>
    <row r="389" spans="1:49">
      <c r="A389" s="184"/>
      <c r="AW389" t="s">
        <v>694</v>
      </c>
    </row>
    <row r="390" spans="1:49">
      <c r="A390" s="184"/>
      <c r="AW390" t="s">
        <v>694</v>
      </c>
    </row>
    <row r="391" spans="1:49">
      <c r="A391" s="184"/>
      <c r="AW391" t="s">
        <v>694</v>
      </c>
    </row>
    <row r="392" spans="1:49">
      <c r="A392" s="184"/>
      <c r="AW392" t="s">
        <v>694</v>
      </c>
    </row>
    <row r="393" spans="1:49">
      <c r="A393" s="184"/>
      <c r="AW393" t="s">
        <v>694</v>
      </c>
    </row>
    <row r="394" spans="1:49">
      <c r="A394" s="184"/>
      <c r="AW394" t="s">
        <v>694</v>
      </c>
    </row>
    <row r="395" spans="1:49">
      <c r="A395" s="184"/>
      <c r="AW395" t="s">
        <v>694</v>
      </c>
    </row>
    <row r="396" spans="1:49">
      <c r="A396" s="184"/>
      <c r="AW396" t="s">
        <v>694</v>
      </c>
    </row>
    <row r="397" spans="1:49">
      <c r="A397" s="184"/>
      <c r="AW397" t="s">
        <v>694</v>
      </c>
    </row>
    <row r="398" spans="1:49">
      <c r="A398" s="184"/>
      <c r="AW398" t="s">
        <v>694</v>
      </c>
    </row>
    <row r="399" spans="1:49">
      <c r="A399" s="184"/>
      <c r="AW399" t="s">
        <v>694</v>
      </c>
    </row>
    <row r="400" spans="1:49">
      <c r="A400" s="184"/>
      <c r="AW400" t="s">
        <v>694</v>
      </c>
    </row>
    <row r="401" spans="1:49">
      <c r="A401" s="184"/>
      <c r="AW401" t="s">
        <v>694</v>
      </c>
    </row>
    <row r="402" spans="1:49">
      <c r="A402" s="184"/>
      <c r="AW402" t="s">
        <v>694</v>
      </c>
    </row>
    <row r="403" spans="1:49">
      <c r="A403" s="184"/>
      <c r="AW403" t="s">
        <v>694</v>
      </c>
    </row>
    <row r="404" spans="1:49">
      <c r="A404" s="184"/>
      <c r="AW404" t="s">
        <v>694</v>
      </c>
    </row>
    <row r="405" spans="1:49">
      <c r="A405" s="184"/>
      <c r="AW405" t="s">
        <v>694</v>
      </c>
    </row>
    <row r="406" spans="1:49">
      <c r="A406" s="184"/>
      <c r="AW406" t="s">
        <v>694</v>
      </c>
    </row>
    <row r="407" spans="1:49">
      <c r="A407" s="184"/>
      <c r="AW407" t="s">
        <v>694</v>
      </c>
    </row>
    <row r="408" spans="1:49">
      <c r="A408" s="184"/>
      <c r="AW408" t="s">
        <v>694</v>
      </c>
    </row>
    <row r="409" spans="1:49">
      <c r="A409" s="184"/>
      <c r="AW409" t="s">
        <v>694</v>
      </c>
    </row>
    <row r="410" spans="1:49">
      <c r="A410" s="184"/>
      <c r="AW410" t="s">
        <v>694</v>
      </c>
    </row>
    <row r="411" spans="1:49">
      <c r="A411" s="184"/>
      <c r="AW411" t="s">
        <v>694</v>
      </c>
    </row>
    <row r="412" spans="1:49">
      <c r="A412" s="184"/>
      <c r="AW412" t="s">
        <v>694</v>
      </c>
    </row>
    <row r="413" spans="1:49">
      <c r="A413" s="184"/>
      <c r="AW413" t="s">
        <v>694</v>
      </c>
    </row>
    <row r="414" spans="1:49">
      <c r="A414" s="184"/>
      <c r="AW414" t="s">
        <v>694</v>
      </c>
    </row>
    <row r="415" spans="1:49">
      <c r="A415" s="184"/>
      <c r="AW415" t="s">
        <v>694</v>
      </c>
    </row>
    <row r="416" spans="1:49">
      <c r="A416" s="184"/>
      <c r="AW416" t="s">
        <v>694</v>
      </c>
    </row>
    <row r="417" spans="1:49">
      <c r="A417" s="184"/>
      <c r="AW417" t="s">
        <v>694</v>
      </c>
    </row>
    <row r="418" spans="1:49">
      <c r="A418" s="184"/>
      <c r="AW418" t="s">
        <v>694</v>
      </c>
    </row>
    <row r="419" spans="1:49">
      <c r="A419" s="184"/>
      <c r="AW419" t="s">
        <v>694</v>
      </c>
    </row>
    <row r="420" spans="1:49">
      <c r="A420" s="184"/>
      <c r="AW420" t="s">
        <v>694</v>
      </c>
    </row>
    <row r="421" spans="1:49">
      <c r="A421" s="184"/>
      <c r="AW421" t="s">
        <v>694</v>
      </c>
    </row>
    <row r="422" spans="1:49">
      <c r="A422" s="184"/>
      <c r="AW422" t="s">
        <v>694</v>
      </c>
    </row>
    <row r="423" spans="1:49">
      <c r="A423" s="184"/>
      <c r="AW423" t="s">
        <v>694</v>
      </c>
    </row>
    <row r="424" spans="1:49">
      <c r="A424" s="184"/>
      <c r="AW424" t="s">
        <v>694</v>
      </c>
    </row>
    <row r="425" spans="1:49">
      <c r="A425" s="184"/>
      <c r="AW425" t="s">
        <v>694</v>
      </c>
    </row>
    <row r="426" spans="1:49">
      <c r="A426" s="184"/>
      <c r="AW426" t="s">
        <v>694</v>
      </c>
    </row>
    <row r="427" spans="1:49">
      <c r="A427" s="184"/>
      <c r="AW427" t="s">
        <v>694</v>
      </c>
    </row>
    <row r="428" spans="1:49">
      <c r="A428" s="184"/>
      <c r="AW428" t="s">
        <v>694</v>
      </c>
    </row>
    <row r="429" spans="1:49">
      <c r="A429" s="184"/>
      <c r="AW429" t="s">
        <v>694</v>
      </c>
    </row>
    <row r="430" spans="1:49">
      <c r="A430" s="184"/>
      <c r="AW430" t="s">
        <v>694</v>
      </c>
    </row>
    <row r="431" spans="1:49">
      <c r="A431" s="184"/>
      <c r="AW431" t="s">
        <v>694</v>
      </c>
    </row>
    <row r="432" spans="1:49">
      <c r="A432" s="184"/>
      <c r="AW432" t="s">
        <v>694</v>
      </c>
    </row>
    <row r="433" spans="1:49">
      <c r="A433" s="184"/>
      <c r="AW433" t="s">
        <v>694</v>
      </c>
    </row>
    <row r="434" spans="1:49">
      <c r="A434" s="184"/>
      <c r="AW434" t="s">
        <v>694</v>
      </c>
    </row>
    <row r="435" spans="1:49">
      <c r="A435" s="184"/>
      <c r="AW435" t="s">
        <v>694</v>
      </c>
    </row>
    <row r="436" spans="1:49">
      <c r="A436" s="184"/>
      <c r="AW436" t="s">
        <v>694</v>
      </c>
    </row>
    <row r="437" spans="1:49">
      <c r="A437" s="184"/>
      <c r="AW437" t="s">
        <v>694</v>
      </c>
    </row>
    <row r="438" spans="1:49">
      <c r="A438" s="184"/>
      <c r="AW438" t="s">
        <v>694</v>
      </c>
    </row>
    <row r="439" spans="1:49">
      <c r="A439" s="184"/>
      <c r="AW439" t="s">
        <v>694</v>
      </c>
    </row>
    <row r="440" spans="1:49">
      <c r="A440" s="184"/>
      <c r="AW440" t="s">
        <v>694</v>
      </c>
    </row>
    <row r="441" spans="1:49">
      <c r="A441" s="184"/>
      <c r="AW441" t="s">
        <v>694</v>
      </c>
    </row>
    <row r="442" spans="1:49">
      <c r="A442" s="184"/>
      <c r="AW442" t="s">
        <v>694</v>
      </c>
    </row>
    <row r="443" spans="1:49">
      <c r="A443" s="184"/>
      <c r="AW443" t="s">
        <v>694</v>
      </c>
    </row>
    <row r="444" spans="1:49">
      <c r="A444" s="184"/>
      <c r="AW444" t="s">
        <v>694</v>
      </c>
    </row>
    <row r="445" spans="1:49">
      <c r="A445" s="184"/>
      <c r="AW445" t="s">
        <v>694</v>
      </c>
    </row>
    <row r="446" spans="1:49">
      <c r="A446" s="184"/>
      <c r="AW446" t="s">
        <v>694</v>
      </c>
    </row>
    <row r="447" spans="1:49">
      <c r="A447" s="184"/>
      <c r="AW447" t="s">
        <v>694</v>
      </c>
    </row>
    <row r="448" spans="1:49">
      <c r="A448" s="184"/>
      <c r="AW448" t="s">
        <v>694</v>
      </c>
    </row>
    <row r="449" spans="1:49">
      <c r="A449" s="184"/>
      <c r="AW449" t="s">
        <v>694</v>
      </c>
    </row>
    <row r="450" spans="1:49">
      <c r="A450" s="184"/>
      <c r="AW450" t="s">
        <v>694</v>
      </c>
    </row>
    <row r="451" spans="1:49">
      <c r="A451" s="184"/>
      <c r="AW451" t="s">
        <v>694</v>
      </c>
    </row>
    <row r="452" spans="1:49">
      <c r="A452" s="184"/>
      <c r="AW452" t="s">
        <v>694</v>
      </c>
    </row>
    <row r="453" spans="1:49">
      <c r="A453" s="184"/>
      <c r="AW453" t="s">
        <v>694</v>
      </c>
    </row>
    <row r="454" spans="1:49">
      <c r="A454" s="184"/>
      <c r="AW454" t="s">
        <v>694</v>
      </c>
    </row>
    <row r="455" spans="1:49">
      <c r="A455" s="184"/>
      <c r="AW455" t="s">
        <v>694</v>
      </c>
    </row>
    <row r="456" spans="1:49">
      <c r="A456" s="184"/>
      <c r="AW456" t="s">
        <v>694</v>
      </c>
    </row>
    <row r="457" spans="1:49">
      <c r="A457" s="184"/>
      <c r="AW457" t="s">
        <v>694</v>
      </c>
    </row>
    <row r="458" spans="1:49">
      <c r="A458" s="184"/>
      <c r="AW458" t="s">
        <v>694</v>
      </c>
    </row>
    <row r="459" spans="1:49">
      <c r="A459" s="184"/>
      <c r="AW459" t="s">
        <v>694</v>
      </c>
    </row>
    <row r="460" spans="1:49">
      <c r="A460" s="184"/>
    </row>
    <row r="461" spans="1:49">
      <c r="A461" s="184"/>
    </row>
    <row r="462" spans="1:49">
      <c r="A462" s="184"/>
    </row>
    <row r="463" spans="1:49">
      <c r="A463" s="184"/>
    </row>
    <row r="464" spans="1:49">
      <c r="A464" s="184"/>
    </row>
    <row r="465" spans="1:1">
      <c r="A465" s="184"/>
    </row>
    <row r="466" spans="1:1">
      <c r="A466" s="184"/>
    </row>
    <row r="467" spans="1:1">
      <c r="A467" s="184"/>
    </row>
    <row r="468" spans="1:1">
      <c r="A468" s="184"/>
    </row>
    <row r="469" spans="1:1">
      <c r="A469" s="184"/>
    </row>
    <row r="470" spans="1:1">
      <c r="A470" s="184"/>
    </row>
    <row r="471" spans="1:1">
      <c r="A471" s="184"/>
    </row>
    <row r="472" spans="1:1">
      <c r="A472" s="184"/>
    </row>
    <row r="473" spans="1:1">
      <c r="A473" s="184"/>
    </row>
    <row r="474" spans="1:1">
      <c r="A474" s="184"/>
    </row>
    <row r="475" spans="1:1">
      <c r="A475" s="184"/>
    </row>
    <row r="476" spans="1:1">
      <c r="A476" s="184"/>
    </row>
    <row r="477" spans="1:1">
      <c r="A477" s="184"/>
    </row>
    <row r="478" spans="1:1">
      <c r="A478" s="184"/>
    </row>
    <row r="479" spans="1:1">
      <c r="A479" s="184"/>
    </row>
    <row r="480" spans="1:1">
      <c r="A480" s="184"/>
    </row>
    <row r="481" spans="1:1">
      <c r="A481" s="184"/>
    </row>
    <row r="482" spans="1:1">
      <c r="A482" s="184"/>
    </row>
    <row r="483" spans="1:1">
      <c r="A483" s="184"/>
    </row>
    <row r="484" spans="1:1">
      <c r="A484" s="184"/>
    </row>
    <row r="485" spans="1:1">
      <c r="A485" s="184"/>
    </row>
    <row r="486" spans="1:1">
      <c r="A486" s="184"/>
    </row>
    <row r="487" spans="1:1">
      <c r="A487" s="184"/>
    </row>
    <row r="488" spans="1:1">
      <c r="A488" s="184"/>
    </row>
    <row r="489" spans="1:1">
      <c r="A489" s="184"/>
    </row>
    <row r="490" spans="1:1">
      <c r="A490" s="184"/>
    </row>
    <row r="491" spans="1:1">
      <c r="A491" s="184"/>
    </row>
    <row r="492" spans="1:1">
      <c r="A492" s="184"/>
    </row>
    <row r="493" spans="1:1">
      <c r="A493" s="184"/>
    </row>
    <row r="494" spans="1:1">
      <c r="A494" s="184"/>
    </row>
    <row r="495" spans="1:1">
      <c r="A495" s="184"/>
    </row>
    <row r="496" spans="1:1">
      <c r="A496" s="184"/>
    </row>
    <row r="497" spans="1:1">
      <c r="A497" s="184"/>
    </row>
    <row r="498" spans="1:1">
      <c r="A498" s="184"/>
    </row>
    <row r="499" spans="1:1">
      <c r="A499" s="184"/>
    </row>
    <row r="500" spans="1:1">
      <c r="A500" s="184"/>
    </row>
    <row r="501" spans="1:1">
      <c r="A501" s="184"/>
    </row>
    <row r="502" spans="1:1">
      <c r="A502" s="184"/>
    </row>
    <row r="503" spans="1:1">
      <c r="A503" s="184"/>
    </row>
    <row r="504" spans="1:1">
      <c r="A504" s="184"/>
    </row>
    <row r="505" spans="1:1">
      <c r="A505" s="184"/>
    </row>
    <row r="506" spans="1:1">
      <c r="A506" s="184"/>
    </row>
    <row r="507" spans="1:1">
      <c r="A507" s="184"/>
    </row>
    <row r="508" spans="1:1">
      <c r="A508" s="184"/>
    </row>
    <row r="509" spans="1:1">
      <c r="A509" s="184"/>
    </row>
    <row r="510" spans="1:1">
      <c r="A510" s="184"/>
    </row>
    <row r="511" spans="1:1">
      <c r="A511" s="184"/>
    </row>
    <row r="512" spans="1:1">
      <c r="A512" s="184"/>
    </row>
    <row r="513" spans="1:1">
      <c r="A513" s="184"/>
    </row>
    <row r="514" spans="1:1">
      <c r="A514" s="184"/>
    </row>
    <row r="515" spans="1:1">
      <c r="A515" s="184"/>
    </row>
    <row r="516" spans="1:1">
      <c r="A516" s="184"/>
    </row>
    <row r="517" spans="1:1">
      <c r="A517" s="184"/>
    </row>
    <row r="518" spans="1:1">
      <c r="A518" s="184"/>
    </row>
    <row r="519" spans="1:1">
      <c r="A519" s="184"/>
    </row>
    <row r="520" spans="1:1">
      <c r="A520" s="184"/>
    </row>
    <row r="521" spans="1:1">
      <c r="A521" s="184"/>
    </row>
    <row r="522" spans="1:1">
      <c r="A522" s="184"/>
    </row>
    <row r="523" spans="1:1">
      <c r="A523" s="184"/>
    </row>
    <row r="524" spans="1:1">
      <c r="A524" s="184"/>
    </row>
    <row r="525" spans="1:1">
      <c r="A525" s="184"/>
    </row>
    <row r="526" spans="1:1">
      <c r="A526" s="184"/>
    </row>
    <row r="527" spans="1:1">
      <c r="A527" s="184"/>
    </row>
    <row r="528" spans="1:1">
      <c r="A528" s="184"/>
    </row>
    <row r="529" spans="1:1">
      <c r="A529" s="184"/>
    </row>
    <row r="530" spans="1:1">
      <c r="A530" s="184"/>
    </row>
    <row r="531" spans="1:1">
      <c r="A531" s="184"/>
    </row>
    <row r="532" spans="1:1">
      <c r="A532" s="184"/>
    </row>
    <row r="533" spans="1:1">
      <c r="A533" s="184"/>
    </row>
    <row r="534" spans="1:1">
      <c r="A534" s="184"/>
    </row>
    <row r="535" spans="1:1">
      <c r="A535" s="184"/>
    </row>
    <row r="536" spans="1:1">
      <c r="A536" s="184"/>
    </row>
    <row r="537" spans="1:1">
      <c r="A537" s="184"/>
    </row>
    <row r="538" spans="1:1">
      <c r="A538" s="184"/>
    </row>
    <row r="539" spans="1:1">
      <c r="A539" s="184"/>
    </row>
    <row r="540" spans="1:1">
      <c r="A540" s="184"/>
    </row>
    <row r="541" spans="1:1">
      <c r="A541" s="184"/>
    </row>
    <row r="542" spans="1:1">
      <c r="A542" s="184"/>
    </row>
    <row r="543" spans="1:1">
      <c r="A543" s="184"/>
    </row>
    <row r="544" spans="1:1">
      <c r="A544" s="184"/>
    </row>
    <row r="545" spans="1:1">
      <c r="A545" s="184"/>
    </row>
    <row r="546" spans="1:1">
      <c r="A546" s="184"/>
    </row>
    <row r="547" spans="1:1">
      <c r="A547" s="184"/>
    </row>
    <row r="548" spans="1:1">
      <c r="A548" s="184"/>
    </row>
    <row r="549" spans="1:1">
      <c r="A549" s="169"/>
    </row>
    <row r="550" spans="1:1">
      <c r="A550" s="169"/>
    </row>
    <row r="551" spans="1:1">
      <c r="A551" s="169"/>
    </row>
    <row r="552" spans="1:1">
      <c r="A552" s="169"/>
    </row>
    <row r="553" spans="1:1">
      <c r="A553" s="169"/>
    </row>
    <row r="554" spans="1:1">
      <c r="A554" s="169"/>
    </row>
    <row r="555" spans="1:1">
      <c r="A555" s="169"/>
    </row>
    <row r="556" spans="1:1">
      <c r="A556" s="169"/>
    </row>
    <row r="557" spans="1:1">
      <c r="A557" s="169"/>
    </row>
    <row r="558" spans="1:1">
      <c r="A558" s="169"/>
    </row>
    <row r="559" spans="1:1">
      <c r="A559" s="169"/>
    </row>
    <row r="560" spans="1:1">
      <c r="A560" s="169"/>
    </row>
    <row r="561" spans="1:1">
      <c r="A561" s="169"/>
    </row>
    <row r="562" spans="1:1">
      <c r="A562" s="169"/>
    </row>
    <row r="563" spans="1:1">
      <c r="A563" s="169"/>
    </row>
    <row r="564" spans="1:1">
      <c r="A564" s="169"/>
    </row>
    <row r="565" spans="1:1">
      <c r="A565" s="169"/>
    </row>
    <row r="566" spans="1:1">
      <c r="A566" s="169"/>
    </row>
    <row r="567" spans="1:1">
      <c r="A567" s="169"/>
    </row>
    <row r="568" spans="1:1">
      <c r="A568" s="169"/>
    </row>
    <row r="569" spans="1:1">
      <c r="A569" s="169"/>
    </row>
    <row r="570" spans="1:1">
      <c r="A570" s="169"/>
    </row>
    <row r="571" spans="1:1">
      <c r="A571" s="169"/>
    </row>
    <row r="572" spans="1:1">
      <c r="A572" s="169"/>
    </row>
    <row r="573" spans="1:1">
      <c r="A573" s="169"/>
    </row>
    <row r="574" spans="1:1">
      <c r="A574" s="169"/>
    </row>
    <row r="575" spans="1:1">
      <c r="A575" s="169"/>
    </row>
    <row r="576" spans="1:1">
      <c r="A576" s="169"/>
    </row>
    <row r="577" spans="1:1">
      <c r="A577" s="169"/>
    </row>
    <row r="578" spans="1:1">
      <c r="A578" s="169"/>
    </row>
    <row r="579" spans="1:1">
      <c r="A579" s="169"/>
    </row>
    <row r="580" spans="1:1">
      <c r="A580" s="169"/>
    </row>
    <row r="581" spans="1:1">
      <c r="A581" s="169"/>
    </row>
    <row r="582" spans="1:1">
      <c r="A582" s="169"/>
    </row>
    <row r="583" spans="1:1">
      <c r="A583" s="169"/>
    </row>
    <row r="584" spans="1:1">
      <c r="A584" s="169"/>
    </row>
    <row r="585" spans="1:1">
      <c r="A585" s="169"/>
    </row>
    <row r="586" spans="1:1">
      <c r="A586" s="169"/>
    </row>
    <row r="587" spans="1:1">
      <c r="A587" s="169"/>
    </row>
    <row r="588" spans="1:1">
      <c r="A588" s="169"/>
    </row>
    <row r="589" spans="1:1">
      <c r="A589" s="169"/>
    </row>
    <row r="590" spans="1:1">
      <c r="A590" s="169"/>
    </row>
    <row r="591" spans="1:1">
      <c r="A591" s="169"/>
    </row>
    <row r="592" spans="1:1">
      <c r="A592" s="169"/>
    </row>
    <row r="593" spans="1:1">
      <c r="A593" s="169"/>
    </row>
    <row r="594" spans="1:1">
      <c r="A594" s="169"/>
    </row>
    <row r="595" spans="1:1">
      <c r="A595" s="169"/>
    </row>
    <row r="596" spans="1:1">
      <c r="A596" s="169"/>
    </row>
    <row r="597" spans="1:1">
      <c r="A597" s="169"/>
    </row>
    <row r="598" spans="1:1">
      <c r="A598" s="169"/>
    </row>
    <row r="599" spans="1:1">
      <c r="A599" s="169"/>
    </row>
    <row r="600" spans="1:1">
      <c r="A600" s="169"/>
    </row>
    <row r="601" spans="1:1">
      <c r="A601" s="169"/>
    </row>
    <row r="602" spans="1:1">
      <c r="A602" s="169"/>
    </row>
    <row r="603" spans="1:1">
      <c r="A603" s="169"/>
    </row>
    <row r="604" spans="1:1">
      <c r="A604" s="169"/>
    </row>
    <row r="605" spans="1:1">
      <c r="A605" s="169"/>
    </row>
    <row r="606" spans="1:1">
      <c r="A606" s="169"/>
    </row>
    <row r="607" spans="1:1">
      <c r="A607" s="169"/>
    </row>
    <row r="608" spans="1:1">
      <c r="A608" s="169"/>
    </row>
    <row r="609" spans="1:1">
      <c r="A609" s="169"/>
    </row>
    <row r="610" spans="1:1">
      <c r="A610" s="169"/>
    </row>
    <row r="611" spans="1:1">
      <c r="A611" s="169"/>
    </row>
    <row r="612" spans="1:1">
      <c r="A612" s="169"/>
    </row>
    <row r="613" spans="1:1">
      <c r="A613" s="169"/>
    </row>
    <row r="614" spans="1:1">
      <c r="A614" s="169"/>
    </row>
    <row r="615" spans="1:1">
      <c r="A615" s="169"/>
    </row>
    <row r="616" spans="1:1">
      <c r="A616" s="169"/>
    </row>
    <row r="617" spans="1:1">
      <c r="A617" s="169"/>
    </row>
    <row r="618" spans="1:1">
      <c r="A618" s="169"/>
    </row>
    <row r="619" spans="1:1">
      <c r="A619" s="169"/>
    </row>
    <row r="620" spans="1:1">
      <c r="A620" s="169"/>
    </row>
    <row r="621" spans="1:1">
      <c r="A621" s="169"/>
    </row>
    <row r="622" spans="1:1">
      <c r="A622" s="169"/>
    </row>
    <row r="623" spans="1:1">
      <c r="A623" s="169"/>
    </row>
    <row r="624" spans="1:1">
      <c r="A624" s="169"/>
    </row>
    <row r="625" spans="1:1">
      <c r="A625" s="169"/>
    </row>
    <row r="626" spans="1:1">
      <c r="A626" s="169"/>
    </row>
    <row r="627" spans="1:1">
      <c r="A627" s="169"/>
    </row>
    <row r="628" spans="1:1">
      <c r="A628" s="169"/>
    </row>
    <row r="629" spans="1:1">
      <c r="A629" s="169"/>
    </row>
    <row r="630" spans="1:1">
      <c r="A630" s="169"/>
    </row>
    <row r="631" spans="1:1">
      <c r="A631" s="169"/>
    </row>
    <row r="632" spans="1:1">
      <c r="A632" s="169"/>
    </row>
    <row r="633" spans="1:1">
      <c r="A633" s="169"/>
    </row>
    <row r="634" spans="1:1">
      <c r="A634" s="169"/>
    </row>
    <row r="635" spans="1:1">
      <c r="A635" s="169"/>
    </row>
    <row r="636" spans="1:1">
      <c r="A636" s="169"/>
    </row>
    <row r="637" spans="1:1">
      <c r="A637" s="169"/>
    </row>
    <row r="638" spans="1:1">
      <c r="A638" s="169"/>
    </row>
    <row r="639" spans="1:1">
      <c r="A639" s="169"/>
    </row>
    <row r="640" spans="1:1">
      <c r="A640" s="169"/>
    </row>
    <row r="641" spans="1:1">
      <c r="A641" s="169"/>
    </row>
    <row r="642" spans="1:1">
      <c r="A642" s="169"/>
    </row>
    <row r="643" spans="1:1">
      <c r="A643" s="169"/>
    </row>
    <row r="644" spans="1:1">
      <c r="A644" s="169"/>
    </row>
    <row r="645" spans="1:1">
      <c r="A645" s="169"/>
    </row>
    <row r="646" spans="1:1">
      <c r="A646" s="169"/>
    </row>
    <row r="647" spans="1:1">
      <c r="A647" s="169"/>
    </row>
    <row r="648" spans="1:1">
      <c r="A648" s="169"/>
    </row>
    <row r="649" spans="1:1">
      <c r="A649" s="169"/>
    </row>
    <row r="650" spans="1:1">
      <c r="A650" s="169"/>
    </row>
    <row r="651" spans="1:1">
      <c r="A651" s="169"/>
    </row>
    <row r="652" spans="1:1">
      <c r="A652" s="169"/>
    </row>
    <row r="653" spans="1:1">
      <c r="A653" s="169"/>
    </row>
    <row r="654" spans="1:1">
      <c r="A654" s="169"/>
    </row>
    <row r="655" spans="1:1">
      <c r="A655" s="169"/>
    </row>
    <row r="656" spans="1:1">
      <c r="A656" s="169"/>
    </row>
    <row r="657" spans="1:1">
      <c r="A657" s="169"/>
    </row>
    <row r="658" spans="1:1">
      <c r="A658" s="169"/>
    </row>
    <row r="659" spans="1:1">
      <c r="A659" s="169"/>
    </row>
    <row r="660" spans="1:1">
      <c r="A660" s="169"/>
    </row>
    <row r="661" spans="1:1">
      <c r="A661" s="169"/>
    </row>
    <row r="662" spans="1:1">
      <c r="A662" s="169"/>
    </row>
    <row r="663" spans="1:1">
      <c r="A663" s="169"/>
    </row>
    <row r="664" spans="1:1">
      <c r="A664" s="169"/>
    </row>
    <row r="665" spans="1:1">
      <c r="A665" s="169"/>
    </row>
    <row r="666" spans="1:1">
      <c r="A666" s="169"/>
    </row>
    <row r="667" spans="1:1">
      <c r="A667" s="169"/>
    </row>
    <row r="668" spans="1:1">
      <c r="A668" s="169"/>
    </row>
    <row r="669" spans="1:1">
      <c r="A669" s="169"/>
    </row>
    <row r="670" spans="1:1">
      <c r="A670" s="169"/>
    </row>
    <row r="671" spans="1:1">
      <c r="A671" s="169"/>
    </row>
    <row r="672" spans="1:1">
      <c r="A672" s="169"/>
    </row>
    <row r="673" spans="1:1">
      <c r="A673" s="169"/>
    </row>
    <row r="674" spans="1:1">
      <c r="A674" s="169"/>
    </row>
    <row r="675" spans="1:1">
      <c r="A675" s="169"/>
    </row>
    <row r="676" spans="1:1">
      <c r="A676" s="169"/>
    </row>
    <row r="677" spans="1:1">
      <c r="A677" s="169"/>
    </row>
    <row r="678" spans="1:1">
      <c r="A678" s="169"/>
    </row>
    <row r="679" spans="1:1">
      <c r="A679" s="169"/>
    </row>
    <row r="680" spans="1:1">
      <c r="A680" s="169"/>
    </row>
    <row r="681" spans="1:1">
      <c r="A681" s="169"/>
    </row>
    <row r="682" spans="1:1">
      <c r="A682" s="169"/>
    </row>
    <row r="683" spans="1:1">
      <c r="A683" s="169"/>
    </row>
    <row r="684" spans="1:1">
      <c r="A684" s="169"/>
    </row>
    <row r="685" spans="1:1">
      <c r="A685" s="169"/>
    </row>
    <row r="686" spans="1:1">
      <c r="A686" s="169"/>
    </row>
    <row r="687" spans="1:1">
      <c r="A687" s="169"/>
    </row>
    <row r="688" spans="1:1">
      <c r="A688" s="169"/>
    </row>
    <row r="689" spans="1:1">
      <c r="A689" s="169"/>
    </row>
    <row r="690" spans="1:1">
      <c r="A690" s="169"/>
    </row>
    <row r="691" spans="1:1">
      <c r="A691" s="169"/>
    </row>
    <row r="692" spans="1:1">
      <c r="A692" s="169"/>
    </row>
    <row r="693" spans="1:1">
      <c r="A693" s="169"/>
    </row>
    <row r="694" spans="1:1">
      <c r="A694" s="169"/>
    </row>
    <row r="695" spans="1:1">
      <c r="A695" s="169"/>
    </row>
    <row r="696" spans="1:1">
      <c r="A696" s="169"/>
    </row>
    <row r="697" spans="1:1">
      <c r="A697" s="169"/>
    </row>
    <row r="698" spans="1:1">
      <c r="A698" s="169"/>
    </row>
    <row r="699" spans="1:1">
      <c r="A699" s="169"/>
    </row>
    <row r="700" spans="1:1">
      <c r="A700" s="169"/>
    </row>
    <row r="701" spans="1:1">
      <c r="A701" s="169"/>
    </row>
    <row r="702" spans="1:1">
      <c r="A702" s="169"/>
    </row>
    <row r="703" spans="1:1">
      <c r="A703" s="169"/>
    </row>
    <row r="704" spans="1:1">
      <c r="A704" s="169"/>
    </row>
    <row r="705" spans="1:1">
      <c r="A705" s="169"/>
    </row>
    <row r="706" spans="1:1">
      <c r="A706" s="169"/>
    </row>
    <row r="707" spans="1:1">
      <c r="A707" s="169"/>
    </row>
    <row r="708" spans="1:1">
      <c r="A708" s="169"/>
    </row>
    <row r="709" spans="1:1">
      <c r="A709" s="169"/>
    </row>
    <row r="710" spans="1:1">
      <c r="A710" s="169"/>
    </row>
    <row r="711" spans="1:1">
      <c r="A711" s="169"/>
    </row>
    <row r="712" spans="1:1">
      <c r="A712" s="169"/>
    </row>
    <row r="713" spans="1:1">
      <c r="A713" s="169"/>
    </row>
    <row r="714" spans="1:1">
      <c r="A714" s="169"/>
    </row>
    <row r="715" spans="1:1">
      <c r="A715" s="169"/>
    </row>
    <row r="716" spans="1:1">
      <c r="A716" s="169"/>
    </row>
    <row r="717" spans="1:1">
      <c r="A717" s="169"/>
    </row>
    <row r="718" spans="1:1">
      <c r="A718" s="169"/>
    </row>
    <row r="719" spans="1:1">
      <c r="A719" s="169"/>
    </row>
    <row r="720" spans="1:1">
      <c r="A720" s="169"/>
    </row>
    <row r="721" spans="1:1">
      <c r="A721" s="169"/>
    </row>
    <row r="722" spans="1:1">
      <c r="A722" s="169"/>
    </row>
    <row r="723" spans="1:1">
      <c r="A723" s="169"/>
    </row>
    <row r="724" spans="1:1">
      <c r="A724" s="169"/>
    </row>
    <row r="725" spans="1:1">
      <c r="A725" s="169"/>
    </row>
    <row r="726" spans="1:1">
      <c r="A726" s="169"/>
    </row>
    <row r="727" spans="1:1">
      <c r="A727" s="169"/>
    </row>
    <row r="728" spans="1:1">
      <c r="A728" s="169"/>
    </row>
    <row r="729" spans="1:1">
      <c r="A729" s="169"/>
    </row>
    <row r="730" spans="1:1">
      <c r="A730" s="169"/>
    </row>
    <row r="731" spans="1:1">
      <c r="A731" s="169"/>
    </row>
    <row r="732" spans="1:1">
      <c r="A732" s="169"/>
    </row>
    <row r="733" spans="1:1">
      <c r="A733" s="169"/>
    </row>
    <row r="734" spans="1:1">
      <c r="A734" s="169"/>
    </row>
    <row r="735" spans="1:1">
      <c r="A735" s="169"/>
    </row>
    <row r="736" spans="1:1">
      <c r="A736" s="169"/>
    </row>
    <row r="737" spans="1:1">
      <c r="A737" s="169"/>
    </row>
    <row r="738" spans="1:1">
      <c r="A738" s="169"/>
    </row>
    <row r="739" spans="1:1">
      <c r="A739" s="169"/>
    </row>
    <row r="740" spans="1:1">
      <c r="A740" s="169"/>
    </row>
    <row r="741" spans="1:1">
      <c r="A741" s="169"/>
    </row>
    <row r="742" spans="1:1">
      <c r="A742" s="169"/>
    </row>
    <row r="743" spans="1:1">
      <c r="A743" s="169"/>
    </row>
    <row r="744" spans="1:1">
      <c r="A744" s="169"/>
    </row>
    <row r="745" spans="1:1">
      <c r="A745" s="169"/>
    </row>
    <row r="746" spans="1:1">
      <c r="A746" s="169"/>
    </row>
    <row r="747" spans="1:1">
      <c r="A747" s="169"/>
    </row>
    <row r="748" spans="1:1">
      <c r="A748" s="169"/>
    </row>
    <row r="749" spans="1:1">
      <c r="A749" s="169"/>
    </row>
    <row r="750" spans="1:1">
      <c r="A750" s="169"/>
    </row>
    <row r="751" spans="1:1">
      <c r="A751" s="169"/>
    </row>
    <row r="752" spans="1:1">
      <c r="A752" s="169"/>
    </row>
    <row r="753" spans="1:1">
      <c r="A753" s="169"/>
    </row>
    <row r="754" spans="1:1">
      <c r="A754" s="169"/>
    </row>
    <row r="755" spans="1:1">
      <c r="A755" s="169"/>
    </row>
    <row r="756" spans="1:1">
      <c r="A756" s="169"/>
    </row>
    <row r="757" spans="1:1">
      <c r="A757" s="169"/>
    </row>
    <row r="758" spans="1:1">
      <c r="A758" s="169"/>
    </row>
    <row r="759" spans="1:1">
      <c r="A759" s="169"/>
    </row>
    <row r="760" spans="1:1">
      <c r="A760" s="169"/>
    </row>
    <row r="761" spans="1:1">
      <c r="A761" s="169"/>
    </row>
    <row r="762" spans="1:1">
      <c r="A762" s="169"/>
    </row>
    <row r="763" spans="1:1">
      <c r="A763" s="169"/>
    </row>
    <row r="764" spans="1:1">
      <c r="A764" s="169"/>
    </row>
    <row r="765" spans="1:1">
      <c r="A765" s="169"/>
    </row>
    <row r="766" spans="1:1">
      <c r="A766" s="169"/>
    </row>
    <row r="767" spans="1:1">
      <c r="A767" s="169"/>
    </row>
    <row r="768" spans="1:1">
      <c r="A768" s="169"/>
    </row>
    <row r="769" spans="1:1">
      <c r="A769" s="169"/>
    </row>
    <row r="770" spans="1:1">
      <c r="A770" s="169"/>
    </row>
    <row r="771" spans="1:1">
      <c r="A771" s="169"/>
    </row>
    <row r="772" spans="1:1">
      <c r="A772" s="169"/>
    </row>
    <row r="773" spans="1:1">
      <c r="A773" s="169"/>
    </row>
    <row r="774" spans="1:1">
      <c r="A774" s="169"/>
    </row>
    <row r="775" spans="1:1">
      <c r="A775" s="169"/>
    </row>
    <row r="776" spans="1:1">
      <c r="A776" s="169"/>
    </row>
    <row r="777" spans="1:1">
      <c r="A777" s="169"/>
    </row>
    <row r="778" spans="1:1">
      <c r="A778" s="169"/>
    </row>
    <row r="779" spans="1:1">
      <c r="A779" s="169"/>
    </row>
    <row r="780" spans="1:1">
      <c r="A780" s="169"/>
    </row>
    <row r="781" spans="1:1">
      <c r="A781" s="169"/>
    </row>
    <row r="782" spans="1:1">
      <c r="A782" s="169"/>
    </row>
    <row r="783" spans="1:1">
      <c r="A783" s="169"/>
    </row>
    <row r="784" spans="1:1">
      <c r="A784" s="169"/>
    </row>
    <row r="785" spans="1:1">
      <c r="A785" s="169"/>
    </row>
    <row r="786" spans="1:1">
      <c r="A786" s="169"/>
    </row>
    <row r="787" spans="1:1">
      <c r="A787" s="169"/>
    </row>
    <row r="788" spans="1:1">
      <c r="A788" s="169"/>
    </row>
    <row r="789" spans="1:1">
      <c r="A789" s="169"/>
    </row>
    <row r="790" spans="1:1">
      <c r="A790" s="169"/>
    </row>
    <row r="791" spans="1:1">
      <c r="A791" s="169"/>
    </row>
    <row r="792" spans="1:1">
      <c r="A792" s="169"/>
    </row>
    <row r="793" spans="1:1">
      <c r="A793" s="169"/>
    </row>
    <row r="794" spans="1:1">
      <c r="A794" s="169"/>
    </row>
    <row r="795" spans="1:1">
      <c r="A795" s="169"/>
    </row>
    <row r="796" spans="1:1">
      <c r="A796" s="169"/>
    </row>
    <row r="797" spans="1:1">
      <c r="A797" s="169"/>
    </row>
    <row r="798" spans="1:1">
      <c r="A798" s="169"/>
    </row>
    <row r="799" spans="1:1">
      <c r="A799" s="169"/>
    </row>
    <row r="800" spans="1:1">
      <c r="A800" s="169"/>
    </row>
    <row r="801" spans="1:1">
      <c r="A801" s="169"/>
    </row>
    <row r="802" spans="1:1">
      <c r="A802" s="169"/>
    </row>
    <row r="803" spans="1:1">
      <c r="A803" s="169"/>
    </row>
    <row r="804" spans="1:1">
      <c r="A804" s="169"/>
    </row>
    <row r="805" spans="1:1">
      <c r="A805" s="169"/>
    </row>
    <row r="806" spans="1:1">
      <c r="A806" s="169"/>
    </row>
    <row r="807" spans="1:1">
      <c r="A807" s="169"/>
    </row>
    <row r="808" spans="1:1">
      <c r="A808" s="169"/>
    </row>
    <row r="809" spans="1:1">
      <c r="A809" s="169"/>
    </row>
    <row r="810" spans="1:1">
      <c r="A810" s="169"/>
    </row>
    <row r="811" spans="1:1">
      <c r="A811" s="169"/>
    </row>
    <row r="812" spans="1:1">
      <c r="A812" s="169"/>
    </row>
    <row r="813" spans="1:1">
      <c r="A813" s="169"/>
    </row>
    <row r="814" spans="1:1">
      <c r="A814" s="169"/>
    </row>
    <row r="815" spans="1:1">
      <c r="A815" s="169"/>
    </row>
    <row r="816" spans="1:1">
      <c r="A816" s="169"/>
    </row>
    <row r="817" spans="1:1">
      <c r="A817" s="169"/>
    </row>
    <row r="818" spans="1:1">
      <c r="A818" s="169"/>
    </row>
    <row r="819" spans="1:1">
      <c r="A819" s="169"/>
    </row>
    <row r="820" spans="1:1">
      <c r="A820" s="169"/>
    </row>
    <row r="821" spans="1:1">
      <c r="A821" s="169"/>
    </row>
    <row r="822" spans="1:1">
      <c r="A822" s="169"/>
    </row>
    <row r="823" spans="1:1">
      <c r="A823" s="169"/>
    </row>
    <row r="824" spans="1:1">
      <c r="A824" s="169"/>
    </row>
    <row r="825" spans="1:1">
      <c r="A825" s="169"/>
    </row>
    <row r="826" spans="1:1">
      <c r="A826" s="169"/>
    </row>
    <row r="827" spans="1:1">
      <c r="A827" s="169"/>
    </row>
    <row r="828" spans="1:1">
      <c r="A828" s="169"/>
    </row>
    <row r="829" spans="1:1">
      <c r="A829" s="169"/>
    </row>
    <row r="830" spans="1:1">
      <c r="A830" s="169"/>
    </row>
    <row r="831" spans="1:1">
      <c r="A831" s="169"/>
    </row>
    <row r="832" spans="1:1">
      <c r="A832" s="169"/>
    </row>
    <row r="833" spans="1:1">
      <c r="A833" s="169"/>
    </row>
    <row r="834" spans="1:1">
      <c r="A834" s="169"/>
    </row>
    <row r="835" spans="1:1">
      <c r="A835" s="169"/>
    </row>
    <row r="836" spans="1:1">
      <c r="A836" s="169"/>
    </row>
    <row r="837" spans="1:1">
      <c r="A837" s="169"/>
    </row>
    <row r="838" spans="1:1">
      <c r="A838" s="169"/>
    </row>
    <row r="839" spans="1:1">
      <c r="A839" s="169"/>
    </row>
    <row r="840" spans="1:1">
      <c r="A840" s="169"/>
    </row>
    <row r="841" spans="1:1">
      <c r="A841" s="169"/>
    </row>
    <row r="842" spans="1:1">
      <c r="A842" s="169"/>
    </row>
    <row r="843" spans="1:1">
      <c r="A843" s="169"/>
    </row>
    <row r="844" spans="1:1">
      <c r="A844" s="169"/>
    </row>
    <row r="845" spans="1:1">
      <c r="A845" s="169"/>
    </row>
    <row r="846" spans="1:1">
      <c r="A846" s="169"/>
    </row>
    <row r="847" spans="1:1">
      <c r="A847" s="169"/>
    </row>
    <row r="848" spans="1:1">
      <c r="A848" s="169"/>
    </row>
    <row r="849" spans="1:1">
      <c r="A849" s="169"/>
    </row>
    <row r="850" spans="1:1">
      <c r="A850" s="169"/>
    </row>
    <row r="851" spans="1:1">
      <c r="A851" s="169"/>
    </row>
    <row r="852" spans="1:1">
      <c r="A852" s="169"/>
    </row>
    <row r="853" spans="1:1">
      <c r="A853" s="169"/>
    </row>
    <row r="854" spans="1:1">
      <c r="A854" s="169"/>
    </row>
    <row r="855" spans="1:1">
      <c r="A855" s="169"/>
    </row>
    <row r="856" spans="1:1">
      <c r="A856" s="169"/>
    </row>
    <row r="857" spans="1:1">
      <c r="A857" s="169"/>
    </row>
    <row r="858" spans="1:1">
      <c r="A858" s="169"/>
    </row>
    <row r="859" spans="1:1">
      <c r="A859" s="169"/>
    </row>
    <row r="860" spans="1:1">
      <c r="A860" s="169"/>
    </row>
    <row r="861" spans="1:1">
      <c r="A861" s="169"/>
    </row>
    <row r="862" spans="1:1">
      <c r="A862" s="169"/>
    </row>
    <row r="863" spans="1:1">
      <c r="A863" s="169"/>
    </row>
    <row r="864" spans="1:1">
      <c r="A864" s="169"/>
    </row>
    <row r="865" spans="1:1">
      <c r="A865" s="169"/>
    </row>
    <row r="866" spans="1:1">
      <c r="A866" s="169"/>
    </row>
    <row r="867" spans="1:1">
      <c r="A867" s="169"/>
    </row>
    <row r="868" spans="1:1">
      <c r="A868" s="169"/>
    </row>
    <row r="869" spans="1:1">
      <c r="A869" s="169"/>
    </row>
    <row r="870" spans="1:1">
      <c r="A870" s="169"/>
    </row>
    <row r="871" spans="1:1">
      <c r="A871" s="169"/>
    </row>
    <row r="872" spans="1:1">
      <c r="A872" s="169"/>
    </row>
    <row r="873" spans="1:1">
      <c r="A873" s="169"/>
    </row>
    <row r="874" spans="1:1">
      <c r="A874" s="169"/>
    </row>
    <row r="875" spans="1:1">
      <c r="A875" s="169"/>
    </row>
    <row r="876" spans="1:1">
      <c r="A876" s="169"/>
    </row>
    <row r="877" spans="1:1">
      <c r="A877" s="169"/>
    </row>
    <row r="878" spans="1:1">
      <c r="A878" s="169"/>
    </row>
    <row r="879" spans="1:1">
      <c r="A879" s="169"/>
    </row>
    <row r="880" spans="1:1">
      <c r="A880" s="169"/>
    </row>
    <row r="881" spans="1:1">
      <c r="A881" s="169"/>
    </row>
    <row r="882" spans="1:1">
      <c r="A882" s="169"/>
    </row>
    <row r="883" spans="1:1">
      <c r="A883" s="169"/>
    </row>
    <row r="884" spans="1:1">
      <c r="A884" s="169"/>
    </row>
    <row r="885" spans="1:1">
      <c r="A885" s="169"/>
    </row>
    <row r="886" spans="1:1">
      <c r="A886" s="169"/>
    </row>
    <row r="887" spans="1:1">
      <c r="A887" s="169"/>
    </row>
    <row r="888" spans="1:1">
      <c r="A888" s="169"/>
    </row>
    <row r="889" spans="1:1">
      <c r="A889" s="169"/>
    </row>
    <row r="890" spans="1:1">
      <c r="A890" s="169"/>
    </row>
    <row r="891" spans="1:1">
      <c r="A891" s="169"/>
    </row>
    <row r="892" spans="1:1">
      <c r="A892" s="169"/>
    </row>
    <row r="893" spans="1:1">
      <c r="A893" s="169"/>
    </row>
    <row r="894" spans="1:1">
      <c r="A894" s="169"/>
    </row>
    <row r="895" spans="1:1">
      <c r="A895" s="169"/>
    </row>
    <row r="896" spans="1:1">
      <c r="A896" s="169"/>
    </row>
    <row r="897" spans="1:1">
      <c r="A897" s="169"/>
    </row>
    <row r="898" spans="1:1">
      <c r="A898" s="169"/>
    </row>
    <row r="899" spans="1:1">
      <c r="A899" s="169"/>
    </row>
    <row r="900" spans="1:1">
      <c r="A900" s="169"/>
    </row>
    <row r="901" spans="1:1">
      <c r="A901" s="169"/>
    </row>
    <row r="902" spans="1:1">
      <c r="A902" s="169"/>
    </row>
    <row r="903" spans="1:1">
      <c r="A903" s="169"/>
    </row>
    <row r="904" spans="1:1">
      <c r="A904" s="169"/>
    </row>
    <row r="905" spans="1:1">
      <c r="A905" s="169"/>
    </row>
    <row r="906" spans="1:1">
      <c r="A906" s="169"/>
    </row>
    <row r="907" spans="1:1">
      <c r="A907" s="169"/>
    </row>
    <row r="908" spans="1:1">
      <c r="A908" s="169"/>
    </row>
    <row r="909" spans="1:1">
      <c r="A909" s="169"/>
    </row>
    <row r="910" spans="1:1">
      <c r="A910" s="169"/>
    </row>
    <row r="911" spans="1:1">
      <c r="A911" s="169"/>
    </row>
    <row r="912" spans="1:1">
      <c r="A912" s="169"/>
    </row>
    <row r="913" spans="1:1">
      <c r="A913" s="169"/>
    </row>
    <row r="914" spans="1:1">
      <c r="A914" s="169"/>
    </row>
    <row r="915" spans="1:1">
      <c r="A915" s="169"/>
    </row>
    <row r="916" spans="1:1">
      <c r="A916" s="169"/>
    </row>
    <row r="917" spans="1:1">
      <c r="A917" s="169"/>
    </row>
    <row r="918" spans="1:1">
      <c r="A918" s="169"/>
    </row>
    <row r="919" spans="1:1">
      <c r="A919" s="169"/>
    </row>
    <row r="920" spans="1:1">
      <c r="A920" s="169"/>
    </row>
    <row r="921" spans="1:1">
      <c r="A921" s="169"/>
    </row>
    <row r="922" spans="1:1">
      <c r="A922" s="169"/>
    </row>
    <row r="923" spans="1:1">
      <c r="A923" s="169"/>
    </row>
    <row r="924" spans="1:1">
      <c r="A924" s="169"/>
    </row>
    <row r="925" spans="1:1">
      <c r="A925" s="169"/>
    </row>
    <row r="926" spans="1:1">
      <c r="A926" s="169"/>
    </row>
    <row r="927" spans="1:1">
      <c r="A927" s="169"/>
    </row>
    <row r="928" spans="1:1">
      <c r="A928" s="169"/>
    </row>
    <row r="929" spans="1:1">
      <c r="A929" s="169"/>
    </row>
    <row r="930" spans="1:1">
      <c r="A930" s="169"/>
    </row>
    <row r="931" spans="1:1">
      <c r="A931" s="169"/>
    </row>
    <row r="932" spans="1:1">
      <c r="A932" s="169"/>
    </row>
    <row r="933" spans="1:1">
      <c r="A933" s="169"/>
    </row>
    <row r="934" spans="1:1">
      <c r="A934" s="169"/>
    </row>
    <row r="935" spans="1:1">
      <c r="A935" s="169"/>
    </row>
    <row r="936" spans="1:1">
      <c r="A936" s="169"/>
    </row>
    <row r="937" spans="1:1">
      <c r="A937" s="169"/>
    </row>
    <row r="938" spans="1:1">
      <c r="A938" s="169"/>
    </row>
    <row r="939" spans="1:1">
      <c r="A939" s="169"/>
    </row>
    <row r="940" spans="1:1">
      <c r="A940" s="169"/>
    </row>
    <row r="941" spans="1:1">
      <c r="A941" s="169"/>
    </row>
    <row r="942" spans="1:1">
      <c r="A942" s="169"/>
    </row>
    <row r="943" spans="1:1">
      <c r="A943" s="169"/>
    </row>
    <row r="944" spans="1:1">
      <c r="A944" s="169"/>
    </row>
    <row r="945" spans="1:1">
      <c r="A945" s="169"/>
    </row>
    <row r="946" spans="1:1">
      <c r="A946" s="169"/>
    </row>
    <row r="947" spans="1:1">
      <c r="A947" s="169"/>
    </row>
    <row r="948" spans="1:1">
      <c r="A948" s="169"/>
    </row>
    <row r="949" spans="1:1">
      <c r="A949" s="169"/>
    </row>
    <row r="950" spans="1:1">
      <c r="A950" s="169"/>
    </row>
    <row r="951" spans="1:1">
      <c r="A951" s="169"/>
    </row>
    <row r="952" spans="1:1">
      <c r="A952" s="169"/>
    </row>
    <row r="953" spans="1:1">
      <c r="A953" s="169"/>
    </row>
    <row r="954" spans="1:1">
      <c r="A954" s="169"/>
    </row>
    <row r="955" spans="1:1">
      <c r="A955" s="169"/>
    </row>
    <row r="956" spans="1:1">
      <c r="A956" s="169"/>
    </row>
    <row r="957" spans="1:1">
      <c r="A957" s="169"/>
    </row>
    <row r="958" spans="1:1">
      <c r="A958" s="169"/>
    </row>
    <row r="959" spans="1:1">
      <c r="A959" s="169"/>
    </row>
    <row r="960" spans="1:1">
      <c r="A960" s="169"/>
    </row>
    <row r="961" spans="1:1">
      <c r="A961" s="169"/>
    </row>
    <row r="962" spans="1:1">
      <c r="A962" s="169"/>
    </row>
    <row r="963" spans="1:1">
      <c r="A963" s="169"/>
    </row>
    <row r="964" spans="1:1">
      <c r="A964" s="169"/>
    </row>
    <row r="965" spans="1:1">
      <c r="A965" s="169"/>
    </row>
    <row r="966" spans="1:1">
      <c r="A966" s="169"/>
    </row>
    <row r="967" spans="1:1">
      <c r="A967" s="169"/>
    </row>
    <row r="968" spans="1:1">
      <c r="A968" s="169"/>
    </row>
    <row r="969" spans="1:1">
      <c r="A969" s="169"/>
    </row>
    <row r="970" spans="1:1">
      <c r="A970" s="169"/>
    </row>
    <row r="971" spans="1:1">
      <c r="A971" s="169"/>
    </row>
    <row r="972" spans="1:1">
      <c r="A972" s="169"/>
    </row>
    <row r="973" spans="1:1">
      <c r="A973" s="169"/>
    </row>
    <row r="974" spans="1:1">
      <c r="A974" s="169"/>
    </row>
    <row r="975" spans="1:1">
      <c r="A975" s="169"/>
    </row>
    <row r="976" spans="1:1">
      <c r="A976" s="169"/>
    </row>
    <row r="977" spans="1:1">
      <c r="A977" s="169"/>
    </row>
    <row r="978" spans="1:1">
      <c r="A978" s="169"/>
    </row>
    <row r="979" spans="1:1">
      <c r="A979" s="169"/>
    </row>
    <row r="980" spans="1:1">
      <c r="A980" s="169"/>
    </row>
    <row r="981" spans="1:1">
      <c r="A981" s="169"/>
    </row>
    <row r="982" spans="1:1">
      <c r="A982" s="169"/>
    </row>
    <row r="983" spans="1:1">
      <c r="A983" s="169"/>
    </row>
    <row r="984" spans="1:1">
      <c r="A984" s="169"/>
    </row>
    <row r="985" spans="1:1">
      <c r="A985" s="169"/>
    </row>
    <row r="986" spans="1:1">
      <c r="A986" s="169"/>
    </row>
    <row r="987" spans="1:1">
      <c r="A987" s="169"/>
    </row>
    <row r="988" spans="1:1">
      <c r="A988" s="169"/>
    </row>
    <row r="989" spans="1:1">
      <c r="A989" s="169"/>
    </row>
    <row r="990" spans="1:1">
      <c r="A990" s="169"/>
    </row>
    <row r="991" spans="1:1">
      <c r="A991" s="169"/>
    </row>
    <row r="992" spans="1:1">
      <c r="A992" s="169"/>
    </row>
    <row r="993" spans="1:1">
      <c r="A993" s="169"/>
    </row>
    <row r="994" spans="1:1">
      <c r="A994" s="169"/>
    </row>
    <row r="995" spans="1:1">
      <c r="A995" s="169"/>
    </row>
    <row r="996" spans="1:1">
      <c r="A996" s="169"/>
    </row>
    <row r="997" spans="1:1">
      <c r="A997" s="169"/>
    </row>
    <row r="998" spans="1:1">
      <c r="A998" s="169"/>
    </row>
    <row r="999" spans="1:1">
      <c r="A999" s="169"/>
    </row>
    <row r="1000" spans="1:1">
      <c r="A1000" s="169"/>
    </row>
    <row r="1001" spans="1:1">
      <c r="A1001" s="169"/>
    </row>
    <row r="1002" spans="1:1">
      <c r="A1002" s="169"/>
    </row>
    <row r="1003" spans="1:1">
      <c r="A1003" s="169"/>
    </row>
    <row r="1004" spans="1:1">
      <c r="A1004" s="169"/>
    </row>
    <row r="1005" spans="1:1">
      <c r="A1005" s="169"/>
    </row>
    <row r="1006" spans="1:1">
      <c r="A1006" s="169"/>
    </row>
    <row r="1007" spans="1:1">
      <c r="A1007" s="169"/>
    </row>
    <row r="1008" spans="1:1">
      <c r="A1008" s="169"/>
    </row>
    <row r="1009" spans="1:1">
      <c r="A1009" s="169"/>
    </row>
    <row r="1010" spans="1:1">
      <c r="A1010" s="169"/>
    </row>
    <row r="1011" spans="1:1">
      <c r="A1011" s="169"/>
    </row>
    <row r="1012" spans="1:1">
      <c r="A1012" s="169"/>
    </row>
    <row r="1013" spans="1:1">
      <c r="A1013" s="169"/>
    </row>
    <row r="1014" spans="1:1">
      <c r="A1014" s="169"/>
    </row>
    <row r="1015" spans="1:1">
      <c r="A1015" s="169"/>
    </row>
    <row r="1016" spans="1:1">
      <c r="A1016" s="169"/>
    </row>
    <row r="1017" spans="1:1">
      <c r="A1017" s="169"/>
    </row>
    <row r="1018" spans="1:1">
      <c r="A1018" s="169"/>
    </row>
    <row r="1019" spans="1:1">
      <c r="A1019" s="169"/>
    </row>
    <row r="1020" spans="1:1">
      <c r="A1020" s="169"/>
    </row>
    <row r="1021" spans="1:1">
      <c r="A1021" s="169"/>
    </row>
    <row r="1022" spans="1:1">
      <c r="A1022" s="169"/>
    </row>
    <row r="1023" spans="1:1">
      <c r="A1023" s="169"/>
    </row>
    <row r="1024" spans="1:1">
      <c r="A1024" s="169"/>
    </row>
    <row r="1025" spans="1:1">
      <c r="A1025" s="169"/>
    </row>
    <row r="1026" spans="1:1">
      <c r="A1026" s="169"/>
    </row>
    <row r="1027" spans="1:1">
      <c r="A1027" s="169"/>
    </row>
    <row r="1028" spans="1:1">
      <c r="A1028" s="169"/>
    </row>
    <row r="1029" spans="1:1">
      <c r="A1029" s="169"/>
    </row>
    <row r="1030" spans="1:1">
      <c r="A1030" s="169"/>
    </row>
    <row r="1031" spans="1:1">
      <c r="A1031" s="169"/>
    </row>
    <row r="1032" spans="1:1">
      <c r="A1032" s="169"/>
    </row>
    <row r="1033" spans="1:1">
      <c r="A1033" s="169"/>
    </row>
    <row r="1034" spans="1:1">
      <c r="A1034" s="169"/>
    </row>
    <row r="1035" spans="1:1">
      <c r="A1035" s="169"/>
    </row>
    <row r="1036" spans="1:1">
      <c r="A1036" s="169"/>
    </row>
    <row r="1037" spans="1:1">
      <c r="A1037" s="169"/>
    </row>
    <row r="1038" spans="1:1">
      <c r="A1038" s="169"/>
    </row>
    <row r="1039" spans="1:1">
      <c r="A1039" s="169"/>
    </row>
    <row r="1040" spans="1:1">
      <c r="A1040" s="169"/>
    </row>
    <row r="1041" spans="1:1">
      <c r="A1041" s="169"/>
    </row>
    <row r="1042" spans="1:1">
      <c r="A1042" s="169"/>
    </row>
    <row r="1043" spans="1:1">
      <c r="A1043" s="169"/>
    </row>
    <row r="1044" spans="1:1">
      <c r="A1044" s="169"/>
    </row>
    <row r="1045" spans="1:1">
      <c r="A1045" s="169"/>
    </row>
    <row r="1046" spans="1:1">
      <c r="A1046" s="169"/>
    </row>
    <row r="1047" spans="1:1">
      <c r="A1047" s="169"/>
    </row>
    <row r="1048" spans="1:1">
      <c r="A1048" s="169"/>
    </row>
    <row r="1049" spans="1:1">
      <c r="A1049" s="169"/>
    </row>
    <row r="1050" spans="1:1">
      <c r="A1050" s="169"/>
    </row>
    <row r="1051" spans="1:1">
      <c r="A1051" s="169"/>
    </row>
    <row r="1052" spans="1:1">
      <c r="A1052" s="169"/>
    </row>
    <row r="1053" spans="1:1">
      <c r="A1053" s="169"/>
    </row>
    <row r="1054" spans="1:1">
      <c r="A1054" s="169"/>
    </row>
    <row r="1055" spans="1:1">
      <c r="A1055" s="169"/>
    </row>
    <row r="1056" spans="1:1">
      <c r="A1056" s="169"/>
    </row>
    <row r="1057" spans="1:1">
      <c r="A1057" s="169"/>
    </row>
    <row r="1058" spans="1:1">
      <c r="A1058" s="169"/>
    </row>
    <row r="1059" spans="1:1">
      <c r="A1059" s="169"/>
    </row>
    <row r="1060" spans="1:1">
      <c r="A1060" s="169"/>
    </row>
    <row r="1061" spans="1:1">
      <c r="A1061" s="169"/>
    </row>
    <row r="1062" spans="1:1">
      <c r="A1062" s="169"/>
    </row>
    <row r="1063" spans="1:1">
      <c r="A1063" s="169"/>
    </row>
    <row r="1064" spans="1:1">
      <c r="A1064" s="169"/>
    </row>
    <row r="1065" spans="1:1">
      <c r="A1065" s="169"/>
    </row>
    <row r="1066" spans="1:1">
      <c r="A1066" s="169"/>
    </row>
    <row r="1067" spans="1:1">
      <c r="A1067" s="169"/>
    </row>
    <row r="1068" spans="1:1">
      <c r="A1068" s="169"/>
    </row>
    <row r="1069" spans="1:1">
      <c r="A1069" s="169"/>
    </row>
    <row r="1070" spans="1:1">
      <c r="A1070" s="169"/>
    </row>
    <row r="1071" spans="1:1">
      <c r="A1071" s="169"/>
    </row>
    <row r="1072" spans="1:1">
      <c r="A1072" s="169"/>
    </row>
    <row r="1073" spans="1:1">
      <c r="A1073" s="169"/>
    </row>
    <row r="1074" spans="1:1">
      <c r="A1074" s="169"/>
    </row>
    <row r="1075" spans="1:1">
      <c r="A1075" s="169"/>
    </row>
    <row r="1076" spans="1:1">
      <c r="A1076" s="169"/>
    </row>
    <row r="1077" spans="1:1">
      <c r="A1077" s="169"/>
    </row>
    <row r="1078" spans="1:1">
      <c r="A1078" s="169"/>
    </row>
    <row r="1079" spans="1:1">
      <c r="A1079" s="169"/>
    </row>
    <row r="1080" spans="1:1">
      <c r="A1080" s="169"/>
    </row>
    <row r="1081" spans="1:1">
      <c r="A1081" s="169"/>
    </row>
    <row r="1082" spans="1:1">
      <c r="A1082" s="169"/>
    </row>
    <row r="1083" spans="1:1">
      <c r="A1083" s="169"/>
    </row>
    <row r="1084" spans="1:1">
      <c r="A1084" s="169"/>
    </row>
    <row r="1085" spans="1:1">
      <c r="A1085" s="169"/>
    </row>
    <row r="1086" spans="1:1">
      <c r="A1086" s="169"/>
    </row>
    <row r="1087" spans="1:1">
      <c r="A1087" s="169"/>
    </row>
    <row r="1088" spans="1:1">
      <c r="A1088" s="169"/>
    </row>
    <row r="1089" spans="1:1">
      <c r="A1089" s="169"/>
    </row>
    <row r="1090" spans="1:1">
      <c r="A1090" s="169"/>
    </row>
    <row r="1091" spans="1:1">
      <c r="A1091" s="169"/>
    </row>
    <row r="1092" spans="1:1">
      <c r="A1092" s="169"/>
    </row>
    <row r="1093" spans="1:1">
      <c r="A1093" s="169"/>
    </row>
    <row r="1094" spans="1:1">
      <c r="A1094" s="169"/>
    </row>
    <row r="1095" spans="1:1">
      <c r="A1095" s="169"/>
    </row>
    <row r="1096" spans="1:1">
      <c r="A1096" s="169"/>
    </row>
    <row r="1097" spans="1:1">
      <c r="A1097" s="169"/>
    </row>
    <row r="1098" spans="1:1">
      <c r="A1098" s="169"/>
    </row>
    <row r="1099" spans="1:1">
      <c r="A1099" s="169"/>
    </row>
    <row r="1100" spans="1:1">
      <c r="A1100" s="169"/>
    </row>
    <row r="1101" spans="1:1">
      <c r="A1101" s="169"/>
    </row>
    <row r="1102" spans="1:1">
      <c r="A1102" s="169"/>
    </row>
    <row r="1103" spans="1:1">
      <c r="A1103" s="169"/>
    </row>
    <row r="1104" spans="1:1">
      <c r="A1104" s="169"/>
    </row>
    <row r="1105" spans="1:1">
      <c r="A1105" s="169"/>
    </row>
    <row r="1106" spans="1:1">
      <c r="A1106" s="169"/>
    </row>
    <row r="1107" spans="1:1">
      <c r="A1107" s="169"/>
    </row>
    <row r="1108" spans="1:1">
      <c r="A1108" s="169"/>
    </row>
    <row r="1109" spans="1:1">
      <c r="A1109" s="169"/>
    </row>
    <row r="1110" spans="1:1">
      <c r="A1110" s="169"/>
    </row>
    <row r="1111" spans="1:1">
      <c r="A1111" s="169"/>
    </row>
    <row r="1112" spans="1:1">
      <c r="A1112" s="169"/>
    </row>
    <row r="1113" spans="1:1">
      <c r="A1113" s="169"/>
    </row>
    <row r="1114" spans="1:1">
      <c r="A1114" s="169"/>
    </row>
    <row r="1115" spans="1:1">
      <c r="A1115" s="169"/>
    </row>
    <row r="1116" spans="1:1">
      <c r="A1116" s="169"/>
    </row>
    <row r="1117" spans="1:1">
      <c r="A1117" s="169"/>
    </row>
    <row r="1118" spans="1:1">
      <c r="A1118" s="169"/>
    </row>
    <row r="1119" spans="1:1">
      <c r="A1119" s="169"/>
    </row>
    <row r="1120" spans="1:1">
      <c r="A1120" s="169"/>
    </row>
    <row r="1121" spans="1:1">
      <c r="A1121" s="169"/>
    </row>
    <row r="1122" spans="1:1">
      <c r="A1122" s="169"/>
    </row>
    <row r="1123" spans="1:1">
      <c r="A1123" s="169"/>
    </row>
    <row r="1124" spans="1:1">
      <c r="A1124" s="169"/>
    </row>
    <row r="1125" spans="1:1">
      <c r="A1125" s="169"/>
    </row>
    <row r="1126" spans="1:1">
      <c r="A1126" s="169"/>
    </row>
    <row r="1127" spans="1:1">
      <c r="A1127" s="169"/>
    </row>
    <row r="1128" spans="1:1">
      <c r="A1128" s="169"/>
    </row>
    <row r="1129" spans="1:1">
      <c r="A1129" s="169"/>
    </row>
    <row r="1130" spans="1:1">
      <c r="A1130" s="169"/>
    </row>
    <row r="1131" spans="1:1">
      <c r="A1131" s="169"/>
    </row>
    <row r="1132" spans="1:1">
      <c r="A1132" s="169"/>
    </row>
    <row r="1133" spans="1:1">
      <c r="A1133" s="169"/>
    </row>
    <row r="1134" spans="1:1">
      <c r="A1134" s="169"/>
    </row>
    <row r="1135" spans="1:1">
      <c r="A1135" s="169"/>
    </row>
    <row r="1136" spans="1:1">
      <c r="A1136" s="169"/>
    </row>
    <row r="1137" spans="1:1">
      <c r="A1137" s="169"/>
    </row>
    <row r="1138" spans="1:1">
      <c r="A1138" s="169"/>
    </row>
    <row r="1139" spans="1:1">
      <c r="A1139" s="169"/>
    </row>
    <row r="1140" spans="1:1">
      <c r="A1140" s="169"/>
    </row>
    <row r="1141" spans="1:1">
      <c r="A1141" s="169"/>
    </row>
    <row r="1142" spans="1:1">
      <c r="A1142" s="169"/>
    </row>
    <row r="1143" spans="1:1">
      <c r="A1143" s="169"/>
    </row>
    <row r="1144" spans="1:1">
      <c r="A1144" s="169"/>
    </row>
    <row r="1145" spans="1:1">
      <c r="A1145" s="169"/>
    </row>
    <row r="1146" spans="1:1">
      <c r="A1146" s="169"/>
    </row>
    <row r="1147" spans="1:1">
      <c r="A1147" s="169"/>
    </row>
    <row r="1148" spans="1:1">
      <c r="A1148" s="169"/>
    </row>
    <row r="1149" spans="1:1">
      <c r="A1149" s="169"/>
    </row>
    <row r="1150" spans="1:1">
      <c r="A1150" s="169"/>
    </row>
    <row r="1151" spans="1:1">
      <c r="A1151" s="169"/>
    </row>
    <row r="1152" spans="1:1">
      <c r="A1152" s="169"/>
    </row>
    <row r="1153" spans="1:1">
      <c r="A1153" s="169"/>
    </row>
    <row r="1154" spans="1:1">
      <c r="A1154" s="169"/>
    </row>
    <row r="1155" spans="1:1">
      <c r="A1155" s="169"/>
    </row>
    <row r="1156" spans="1:1">
      <c r="A1156" s="169"/>
    </row>
    <row r="1157" spans="1:1">
      <c r="A1157" s="169"/>
    </row>
    <row r="1158" spans="1:1">
      <c r="A1158" s="169"/>
    </row>
    <row r="1159" spans="1:1">
      <c r="A1159" s="169"/>
    </row>
    <row r="1160" spans="1:1">
      <c r="A1160" s="169"/>
    </row>
    <row r="1161" spans="1:1">
      <c r="A1161" s="169"/>
    </row>
    <row r="1162" spans="1:1">
      <c r="A1162" s="169"/>
    </row>
    <row r="1163" spans="1:1">
      <c r="A1163" s="169"/>
    </row>
    <row r="1164" spans="1:1">
      <c r="A1164" s="169"/>
    </row>
    <row r="1165" spans="1:1">
      <c r="A1165" s="169"/>
    </row>
    <row r="1166" spans="1:1">
      <c r="A1166" s="169"/>
    </row>
    <row r="1167" spans="1:1">
      <c r="A1167" s="169"/>
    </row>
    <row r="1168" spans="1:1">
      <c r="A1168" s="169"/>
    </row>
    <row r="1169" spans="1:1">
      <c r="A1169" s="169"/>
    </row>
    <row r="1170" spans="1:1">
      <c r="A1170" s="169"/>
    </row>
    <row r="1171" spans="1:1">
      <c r="A1171" s="169"/>
    </row>
    <row r="1172" spans="1:1">
      <c r="A1172" s="169"/>
    </row>
    <row r="1173" spans="1:1">
      <c r="A1173" s="169"/>
    </row>
    <row r="1174" spans="1:1">
      <c r="A1174" s="169"/>
    </row>
    <row r="1175" spans="1:1">
      <c r="A1175" s="169"/>
    </row>
    <row r="1176" spans="1:1">
      <c r="A1176" s="169"/>
    </row>
    <row r="1177" spans="1:1">
      <c r="A1177" s="169"/>
    </row>
    <row r="1178" spans="1:1">
      <c r="A1178" s="169"/>
    </row>
    <row r="1179" spans="1:1">
      <c r="A1179" s="169"/>
    </row>
    <row r="1180" spans="1:1">
      <c r="A1180" s="169"/>
    </row>
    <row r="1181" spans="1:1">
      <c r="A1181" s="169"/>
    </row>
    <row r="1182" spans="1:1">
      <c r="A1182" s="169"/>
    </row>
    <row r="1183" spans="1:1">
      <c r="A1183" s="169"/>
    </row>
    <row r="1184" spans="1:1">
      <c r="A1184" s="169"/>
    </row>
    <row r="1185" spans="1:1">
      <c r="A1185" s="169"/>
    </row>
    <row r="1186" spans="1:1">
      <c r="A1186" s="169"/>
    </row>
    <row r="1187" spans="1:1">
      <c r="A1187" s="169"/>
    </row>
    <row r="1188" spans="1:1">
      <c r="A1188" s="169"/>
    </row>
    <row r="1189" spans="1:1">
      <c r="A1189" s="169"/>
    </row>
    <row r="1190" spans="1:1">
      <c r="A1190" s="169"/>
    </row>
    <row r="1191" spans="1:1">
      <c r="A1191" s="169"/>
    </row>
    <row r="1192" spans="1:1">
      <c r="A1192" s="169"/>
    </row>
    <row r="1193" spans="1:1">
      <c r="A1193" s="169"/>
    </row>
    <row r="1194" spans="1:1">
      <c r="A1194" s="169"/>
    </row>
    <row r="1195" spans="1:1">
      <c r="A1195" s="169"/>
    </row>
    <row r="1196" spans="1:1">
      <c r="A1196" s="169"/>
    </row>
    <row r="1197" spans="1:1">
      <c r="A1197" s="169"/>
    </row>
    <row r="1198" spans="1:1">
      <c r="A1198" s="169"/>
    </row>
    <row r="1199" spans="1:1">
      <c r="A1199" s="169"/>
    </row>
    <row r="1200" spans="1:1">
      <c r="A1200" s="169"/>
    </row>
    <row r="1201" spans="1:1">
      <c r="A1201" s="169"/>
    </row>
    <row r="1202" spans="1:1">
      <c r="A1202" s="169"/>
    </row>
    <row r="1203" spans="1:1">
      <c r="A1203" s="169"/>
    </row>
    <row r="1204" spans="1:1">
      <c r="A1204" s="169"/>
    </row>
    <row r="1205" spans="1:1">
      <c r="A1205" s="169"/>
    </row>
    <row r="1206" spans="1:1">
      <c r="A1206" s="169"/>
    </row>
    <row r="1207" spans="1:1">
      <c r="A1207" s="169"/>
    </row>
    <row r="1208" spans="1:1">
      <c r="A1208" s="169"/>
    </row>
    <row r="1209" spans="1:1">
      <c r="A1209" s="169"/>
    </row>
    <row r="1210" spans="1:1">
      <c r="A1210" s="169"/>
    </row>
    <row r="1211" spans="1:1">
      <c r="A1211" s="169"/>
    </row>
    <row r="1212" spans="1:1">
      <c r="A1212" s="169"/>
    </row>
    <row r="1213" spans="1:1">
      <c r="A1213" s="169"/>
    </row>
    <row r="1214" spans="1:1">
      <c r="A1214" s="169"/>
    </row>
    <row r="1215" spans="1:1">
      <c r="A1215" s="169"/>
    </row>
    <row r="1216" spans="1:1">
      <c r="A1216" s="169"/>
    </row>
    <row r="1217" spans="1:1">
      <c r="A1217" s="169"/>
    </row>
    <row r="1218" spans="1:1">
      <c r="A1218" s="169"/>
    </row>
    <row r="1219" spans="1:1">
      <c r="A1219" s="169"/>
    </row>
    <row r="1220" spans="1:1">
      <c r="A1220" s="169"/>
    </row>
    <row r="1221" spans="1:1">
      <c r="A1221" s="169"/>
    </row>
    <row r="1222" spans="1:1">
      <c r="A1222" s="169"/>
    </row>
    <row r="1223" spans="1:1">
      <c r="A1223" s="169"/>
    </row>
    <row r="1224" spans="1:1">
      <c r="A1224" s="169"/>
    </row>
    <row r="1225" spans="1:1">
      <c r="A1225" s="169"/>
    </row>
    <row r="1226" spans="1:1">
      <c r="A1226" s="169"/>
    </row>
    <row r="1227" spans="1:1">
      <c r="A1227" s="169"/>
    </row>
    <row r="1228" spans="1:1">
      <c r="A1228" s="169"/>
    </row>
    <row r="1229" spans="1:1">
      <c r="A1229" s="169"/>
    </row>
    <row r="1230" spans="1:1">
      <c r="A1230" s="169"/>
    </row>
    <row r="1231" spans="1:1">
      <c r="A1231" s="169"/>
    </row>
    <row r="1232" spans="1:1">
      <c r="A1232" s="169"/>
    </row>
    <row r="1233" spans="1:1">
      <c r="A1233" s="169"/>
    </row>
    <row r="1234" spans="1:1">
      <c r="A1234" s="169"/>
    </row>
    <row r="1235" spans="1:1">
      <c r="A1235" s="169"/>
    </row>
    <row r="1236" spans="1:1">
      <c r="A1236" s="169"/>
    </row>
    <row r="1237" spans="1:1">
      <c r="A1237" s="169"/>
    </row>
    <row r="1238" spans="1:1">
      <c r="A1238" s="169"/>
    </row>
    <row r="1239" spans="1:1">
      <c r="A1239" s="169"/>
    </row>
    <row r="1240" spans="1:1">
      <c r="A1240" s="169"/>
    </row>
    <row r="1241" spans="1:1">
      <c r="A1241" s="169"/>
    </row>
    <row r="1242" spans="1:1">
      <c r="A1242" s="169"/>
    </row>
    <row r="1243" spans="1:1">
      <c r="A1243" s="169"/>
    </row>
    <row r="1244" spans="1:1">
      <c r="A1244" s="169"/>
    </row>
    <row r="1245" spans="1:1">
      <c r="A1245" s="169"/>
    </row>
    <row r="1246" spans="1:1">
      <c r="A1246" s="169"/>
    </row>
    <row r="1247" spans="1:1">
      <c r="A1247" s="169"/>
    </row>
    <row r="1248" spans="1:1">
      <c r="A1248" s="169"/>
    </row>
    <row r="1249" spans="1:1">
      <c r="A1249" s="169"/>
    </row>
    <row r="1250" spans="1:1">
      <c r="A1250" s="169"/>
    </row>
    <row r="1251" spans="1:1">
      <c r="A1251" s="169"/>
    </row>
    <row r="1252" spans="1:1">
      <c r="A1252" s="169"/>
    </row>
    <row r="1253" spans="1:1">
      <c r="A1253" s="169"/>
    </row>
    <row r="1254" spans="1:1">
      <c r="A1254" s="169"/>
    </row>
    <row r="1255" spans="1:1">
      <c r="A1255" s="169"/>
    </row>
    <row r="1256" spans="1:1">
      <c r="A1256" s="169"/>
    </row>
    <row r="1257" spans="1:1">
      <c r="A1257" s="169"/>
    </row>
    <row r="1258" spans="1:1">
      <c r="A1258" s="169"/>
    </row>
    <row r="1259" spans="1:1">
      <c r="A1259" s="169"/>
    </row>
    <row r="1260" spans="1:1">
      <c r="A1260" s="169"/>
    </row>
    <row r="1261" spans="1:1">
      <c r="A1261" s="169"/>
    </row>
    <row r="1262" spans="1:1">
      <c r="A1262" s="169"/>
    </row>
    <row r="1263" spans="1:1">
      <c r="A1263" s="169"/>
    </row>
    <row r="1264" spans="1:1">
      <c r="A1264" s="169"/>
    </row>
    <row r="1265" spans="1:1">
      <c r="A1265" s="169"/>
    </row>
    <row r="1266" spans="1:1">
      <c r="A1266" s="169"/>
    </row>
    <row r="1267" spans="1:1">
      <c r="A1267" s="169"/>
    </row>
    <row r="1268" spans="1:1">
      <c r="A1268" s="169"/>
    </row>
    <row r="1269" spans="1:1">
      <c r="A1269" s="169"/>
    </row>
    <row r="1270" spans="1:1">
      <c r="A1270" s="169"/>
    </row>
    <row r="1271" spans="1:1">
      <c r="A1271" s="169"/>
    </row>
    <row r="1272" spans="1:1">
      <c r="A1272" s="169"/>
    </row>
    <row r="1273" spans="1:1">
      <c r="A1273" s="169"/>
    </row>
    <row r="1274" spans="1:1">
      <c r="A1274" s="169"/>
    </row>
    <row r="1275" spans="1:1">
      <c r="A1275" s="169"/>
    </row>
    <row r="1276" spans="1:1">
      <c r="A1276" s="169"/>
    </row>
    <row r="1277" spans="1:1">
      <c r="A1277" s="169"/>
    </row>
    <row r="1278" spans="1:1">
      <c r="A1278" s="169"/>
    </row>
    <row r="1279" spans="1:1">
      <c r="A1279" s="169"/>
    </row>
    <row r="1280" spans="1:1">
      <c r="A1280" s="169"/>
    </row>
    <row r="1281" spans="1:1">
      <c r="A1281" s="169"/>
    </row>
    <row r="1282" spans="1:1">
      <c r="A1282" s="169"/>
    </row>
    <row r="1283" spans="1:1">
      <c r="A1283" s="169"/>
    </row>
    <row r="1284" spans="1:1">
      <c r="A1284" s="169"/>
    </row>
    <row r="1285" spans="1:1">
      <c r="A1285" s="169"/>
    </row>
    <row r="1286" spans="1:1">
      <c r="A1286" s="169"/>
    </row>
    <row r="1287" spans="1:1">
      <c r="A1287" s="169"/>
    </row>
    <row r="1288" spans="1:1">
      <c r="A1288" s="169"/>
    </row>
    <row r="1289" spans="1:1">
      <c r="A1289" s="169"/>
    </row>
    <row r="1290" spans="1:1">
      <c r="A1290" s="169"/>
    </row>
    <row r="1291" spans="1:1">
      <c r="A1291" s="169"/>
    </row>
    <row r="1292" spans="1:1">
      <c r="A1292" s="169"/>
    </row>
    <row r="1293" spans="1:1">
      <c r="A1293" s="169"/>
    </row>
    <row r="1294" spans="1:1">
      <c r="A1294" s="169"/>
    </row>
    <row r="1295" spans="1:1">
      <c r="A1295" s="169"/>
    </row>
    <row r="1296" spans="1:1">
      <c r="A1296" s="169"/>
    </row>
    <row r="1297" spans="1:1">
      <c r="A1297" s="169"/>
    </row>
    <row r="1298" spans="1:1">
      <c r="A1298" s="169"/>
    </row>
    <row r="1299" spans="1:1">
      <c r="A1299" s="169"/>
    </row>
    <row r="1300" spans="1:1">
      <c r="A1300" s="169"/>
    </row>
    <row r="1301" spans="1:1">
      <c r="A1301" s="169"/>
    </row>
    <row r="1302" spans="1:1">
      <c r="A1302" s="169"/>
    </row>
    <row r="1303" spans="1:1">
      <c r="A1303" s="169"/>
    </row>
    <row r="1304" spans="1:1">
      <c r="A1304" s="169"/>
    </row>
    <row r="1305" spans="1:1">
      <c r="A1305" s="169"/>
    </row>
    <row r="1306" spans="1:1">
      <c r="A1306" s="169"/>
    </row>
    <row r="1307" spans="1:1">
      <c r="A1307" s="169"/>
    </row>
    <row r="1308" spans="1:1">
      <c r="A1308" s="169"/>
    </row>
    <row r="1309" spans="1:1">
      <c r="A1309" s="169"/>
    </row>
    <row r="1310" spans="1:1">
      <c r="A1310" s="169"/>
    </row>
    <row r="1311" spans="1:1">
      <c r="A1311" s="169"/>
    </row>
    <row r="1312" spans="1:1">
      <c r="A1312" s="169"/>
    </row>
    <row r="1313" spans="1:1">
      <c r="A1313" s="169"/>
    </row>
    <row r="1314" spans="1:1">
      <c r="A1314" s="169"/>
    </row>
    <row r="1315" spans="1:1">
      <c r="A1315" s="169"/>
    </row>
    <row r="1316" spans="1:1">
      <c r="A1316" s="169"/>
    </row>
    <row r="1317" spans="1:1">
      <c r="A1317" s="169"/>
    </row>
    <row r="1318" spans="1:1">
      <c r="A1318" s="169"/>
    </row>
    <row r="1319" spans="1:1">
      <c r="A1319" s="169"/>
    </row>
    <row r="1320" spans="1:1">
      <c r="A1320" s="169"/>
    </row>
    <row r="1321" spans="1:1">
      <c r="A1321" s="169"/>
    </row>
    <row r="1322" spans="1:1">
      <c r="A1322" s="169"/>
    </row>
    <row r="1323" spans="1:1">
      <c r="A1323" s="169"/>
    </row>
    <row r="1324" spans="1:1">
      <c r="A1324" s="169"/>
    </row>
    <row r="1325" spans="1:1">
      <c r="A1325" s="169"/>
    </row>
    <row r="1326" spans="1:1">
      <c r="A1326" s="169"/>
    </row>
    <row r="1327" spans="1:1">
      <c r="A1327" s="169"/>
    </row>
    <row r="1328" spans="1:1">
      <c r="A1328" s="169"/>
    </row>
    <row r="1329" spans="1:1">
      <c r="A1329" s="169"/>
    </row>
    <row r="1330" spans="1:1">
      <c r="A1330" s="169"/>
    </row>
    <row r="1331" spans="1:1">
      <c r="A1331" s="169"/>
    </row>
    <row r="1332" spans="1:1">
      <c r="A1332" s="169"/>
    </row>
    <row r="1333" spans="1:1">
      <c r="A1333" s="169"/>
    </row>
    <row r="1334" spans="1:1">
      <c r="A1334" s="169"/>
    </row>
    <row r="1335" spans="1:1">
      <c r="A1335" s="169"/>
    </row>
    <row r="1336" spans="1:1">
      <c r="A1336" s="169"/>
    </row>
    <row r="1337" spans="1:1">
      <c r="A1337" s="169"/>
    </row>
    <row r="1338" spans="1:1">
      <c r="A1338" s="169"/>
    </row>
    <row r="1339" spans="1:1">
      <c r="A1339" s="169"/>
    </row>
    <row r="1340" spans="1:1">
      <c r="A1340" s="169"/>
    </row>
    <row r="1341" spans="1:1">
      <c r="A1341" s="169"/>
    </row>
    <row r="1342" spans="1:1">
      <c r="A1342" s="169"/>
    </row>
    <row r="1343" spans="1:1">
      <c r="A1343" s="169"/>
    </row>
    <row r="1344" spans="1:1">
      <c r="A1344" s="169"/>
    </row>
    <row r="1345" spans="1:1">
      <c r="A1345" s="169"/>
    </row>
    <row r="1346" spans="1:1">
      <c r="A1346" s="169"/>
    </row>
    <row r="1347" spans="1:1">
      <c r="A1347" s="169"/>
    </row>
    <row r="1348" spans="1:1">
      <c r="A1348" s="169"/>
    </row>
    <row r="1349" spans="1:1">
      <c r="A1349" s="169"/>
    </row>
    <row r="1350" spans="1:1">
      <c r="A1350" s="169"/>
    </row>
    <row r="1351" spans="1:1">
      <c r="A1351" s="169"/>
    </row>
    <row r="1352" spans="1:1">
      <c r="A1352" s="169"/>
    </row>
    <row r="1353" spans="1:1">
      <c r="A1353" s="169"/>
    </row>
    <row r="1354" spans="1:1">
      <c r="A1354" s="169"/>
    </row>
    <row r="1355" spans="1:1">
      <c r="A1355" s="169"/>
    </row>
    <row r="1356" spans="1:1">
      <c r="A1356" s="169"/>
    </row>
    <row r="1357" spans="1:1">
      <c r="A1357" s="169"/>
    </row>
    <row r="1358" spans="1:1">
      <c r="A1358" s="169"/>
    </row>
    <row r="1359" spans="1:1">
      <c r="A1359" s="169"/>
    </row>
    <row r="1360" spans="1:1">
      <c r="A1360" s="169"/>
    </row>
    <row r="1361" spans="1:1">
      <c r="A1361" s="169"/>
    </row>
    <row r="1362" spans="1:1">
      <c r="A1362" s="169"/>
    </row>
    <row r="1363" spans="1:1">
      <c r="A1363" s="169"/>
    </row>
    <row r="1364" spans="1:1">
      <c r="A1364" s="169"/>
    </row>
    <row r="1365" spans="1:1">
      <c r="A1365" s="169"/>
    </row>
    <row r="1366" spans="1:1">
      <c r="A1366" s="169"/>
    </row>
    <row r="1367" spans="1:1">
      <c r="A1367" s="169"/>
    </row>
    <row r="1368" spans="1:1">
      <c r="A1368" s="169"/>
    </row>
    <row r="1369" spans="1:1">
      <c r="A1369" s="169"/>
    </row>
    <row r="1370" spans="1:1">
      <c r="A1370" s="169"/>
    </row>
    <row r="1371" spans="1:1">
      <c r="A1371" s="169"/>
    </row>
    <row r="1372" spans="1:1">
      <c r="A1372" s="169"/>
    </row>
    <row r="1373" spans="1:1">
      <c r="A1373" s="169"/>
    </row>
    <row r="1374" spans="1:1">
      <c r="A1374" s="169"/>
    </row>
    <row r="1375" spans="1:1">
      <c r="A1375" s="169"/>
    </row>
    <row r="1376" spans="1:1">
      <c r="A1376" s="169"/>
    </row>
    <row r="1377" spans="1:1">
      <c r="A1377" s="169"/>
    </row>
    <row r="1378" spans="1:1">
      <c r="A1378" s="169"/>
    </row>
    <row r="1379" spans="1:1">
      <c r="A1379" s="169"/>
    </row>
    <row r="1380" spans="1:1">
      <c r="A1380" s="169"/>
    </row>
    <row r="1381" spans="1:1">
      <c r="A1381" s="169"/>
    </row>
    <row r="1382" spans="1:1">
      <c r="A1382" s="169"/>
    </row>
    <row r="1383" spans="1:1">
      <c r="A1383" s="169"/>
    </row>
    <row r="1384" spans="1:1">
      <c r="A1384" s="169"/>
    </row>
    <row r="1385" spans="1:1">
      <c r="A1385" s="169"/>
    </row>
    <row r="1386" spans="1:1">
      <c r="A1386" s="169"/>
    </row>
    <row r="1387" spans="1:1">
      <c r="A1387" s="169"/>
    </row>
    <row r="1388" spans="1:1">
      <c r="A1388" s="169"/>
    </row>
    <row r="1389" spans="1:1">
      <c r="A1389" s="169"/>
    </row>
    <row r="1390" spans="1:1">
      <c r="A1390" s="169"/>
    </row>
    <row r="1391" spans="1:1">
      <c r="A1391" s="169"/>
    </row>
    <row r="1392" spans="1:1">
      <c r="A1392" s="169"/>
    </row>
    <row r="1393" spans="1:1">
      <c r="A1393" s="169"/>
    </row>
    <row r="1394" spans="1:1">
      <c r="A1394" s="169"/>
    </row>
    <row r="1395" spans="1:1">
      <c r="A1395" s="169"/>
    </row>
    <row r="1396" spans="1:1">
      <c r="A1396" s="169"/>
    </row>
    <row r="1397" spans="1:1">
      <c r="A1397" s="169"/>
    </row>
    <row r="1398" spans="1:1">
      <c r="A1398" s="169"/>
    </row>
    <row r="1399" spans="1:1">
      <c r="A1399" s="169"/>
    </row>
    <row r="1400" spans="1:1">
      <c r="A1400" s="169"/>
    </row>
    <row r="1401" spans="1:1">
      <c r="A1401" s="169"/>
    </row>
    <row r="1402" spans="1:1">
      <c r="A1402" s="169"/>
    </row>
    <row r="1403" spans="1:1">
      <c r="A1403" s="169"/>
    </row>
    <row r="1404" spans="1:1">
      <c r="A1404" s="169"/>
    </row>
    <row r="1405" spans="1:1">
      <c r="A1405" s="169"/>
    </row>
    <row r="1406" spans="1:1">
      <c r="A1406" s="169"/>
    </row>
    <row r="1407" spans="1:1">
      <c r="A1407" s="169"/>
    </row>
    <row r="1408" spans="1:1">
      <c r="A1408" s="169"/>
    </row>
    <row r="1409" spans="1:1">
      <c r="A1409" s="169"/>
    </row>
    <row r="1410" spans="1:1">
      <c r="A1410" s="169"/>
    </row>
    <row r="1411" spans="1:1">
      <c r="A1411" s="169"/>
    </row>
    <row r="1412" spans="1:1">
      <c r="A1412" s="169"/>
    </row>
    <row r="1413" spans="1:1">
      <c r="A1413" s="169"/>
    </row>
    <row r="1414" spans="1:1">
      <c r="A1414" s="169"/>
    </row>
    <row r="1415" spans="1:1">
      <c r="A1415" s="169"/>
    </row>
    <row r="1416" spans="1:1">
      <c r="A1416" s="169"/>
    </row>
    <row r="1417" spans="1:1">
      <c r="A1417" s="169"/>
    </row>
    <row r="1418" spans="1:1">
      <c r="A1418" s="169"/>
    </row>
    <row r="1419" spans="1:1">
      <c r="A1419" s="169"/>
    </row>
    <row r="1420" spans="1:1">
      <c r="A1420" s="169"/>
    </row>
    <row r="1421" spans="1:1">
      <c r="A1421" s="169"/>
    </row>
    <row r="1422" spans="1:1">
      <c r="A1422" s="169"/>
    </row>
    <row r="1423" spans="1:1">
      <c r="A1423" s="169"/>
    </row>
    <row r="1424" spans="1:1">
      <c r="A1424" s="169"/>
    </row>
    <row r="1425" spans="1:1">
      <c r="A1425" s="169"/>
    </row>
    <row r="1426" spans="1:1">
      <c r="A1426" s="169"/>
    </row>
    <row r="1427" spans="1:1">
      <c r="A1427" s="169"/>
    </row>
    <row r="1428" spans="1:1">
      <c r="A1428" s="169"/>
    </row>
    <row r="1429" spans="1:1">
      <c r="A1429" s="169"/>
    </row>
    <row r="1430" spans="1:1">
      <c r="A1430" s="169"/>
    </row>
    <row r="1431" spans="1:1">
      <c r="A1431" s="169"/>
    </row>
    <row r="1432" spans="1:1">
      <c r="A1432" s="169"/>
    </row>
    <row r="1433" spans="1:1">
      <c r="A1433" s="169"/>
    </row>
    <row r="1434" spans="1:1">
      <c r="A1434" s="169"/>
    </row>
    <row r="1435" spans="1:1">
      <c r="A1435" s="169"/>
    </row>
    <row r="1436" spans="1:1">
      <c r="A1436" s="169"/>
    </row>
    <row r="1437" spans="1:1">
      <c r="A1437" s="169"/>
    </row>
    <row r="1438" spans="1:1">
      <c r="A1438" s="169"/>
    </row>
    <row r="1439" spans="1:1">
      <c r="A1439" s="169"/>
    </row>
    <row r="1440" spans="1:1">
      <c r="A1440" s="169"/>
    </row>
    <row r="1441" spans="1:1">
      <c r="A1441" s="169"/>
    </row>
    <row r="1442" spans="1:1">
      <c r="A1442" s="169"/>
    </row>
    <row r="1443" spans="1:1">
      <c r="A1443" s="169"/>
    </row>
    <row r="1444" spans="1:1">
      <c r="A1444" s="169"/>
    </row>
    <row r="1445" spans="1:1">
      <c r="A1445" s="169"/>
    </row>
    <row r="1446" spans="1:1">
      <c r="A1446" s="169"/>
    </row>
    <row r="1447" spans="1:1">
      <c r="A1447" s="169"/>
    </row>
    <row r="1448" spans="1:1">
      <c r="A1448" s="169"/>
    </row>
    <row r="1449" spans="1:1">
      <c r="A1449" s="169"/>
    </row>
    <row r="1450" spans="1:1">
      <c r="A1450" s="169"/>
    </row>
    <row r="1451" spans="1:1">
      <c r="A1451" s="169"/>
    </row>
    <row r="1452" spans="1:1">
      <c r="A1452" s="169"/>
    </row>
    <row r="1453" spans="1:1">
      <c r="A1453" s="169"/>
    </row>
    <row r="1454" spans="1:1">
      <c r="A1454" s="169"/>
    </row>
    <row r="1455" spans="1:1">
      <c r="A1455" s="169"/>
    </row>
    <row r="1456" spans="1:1">
      <c r="A1456" s="169"/>
    </row>
    <row r="1457" spans="1:1">
      <c r="A1457" s="169"/>
    </row>
    <row r="1458" spans="1:1">
      <c r="A1458" s="169"/>
    </row>
    <row r="1459" spans="1:1">
      <c r="A1459" s="169"/>
    </row>
    <row r="1460" spans="1:1">
      <c r="A1460" s="169"/>
    </row>
    <row r="1461" spans="1:1">
      <c r="A1461" s="169"/>
    </row>
    <row r="1462" spans="1:1">
      <c r="A1462" s="169"/>
    </row>
    <row r="1463" spans="1:1">
      <c r="A1463" s="169"/>
    </row>
    <row r="1464" spans="1:1">
      <c r="A1464" s="169"/>
    </row>
    <row r="1465" spans="1:1">
      <c r="A1465" s="169"/>
    </row>
    <row r="1466" spans="1:1">
      <c r="A1466" s="169"/>
    </row>
    <row r="1467" spans="1:1">
      <c r="A1467" s="169"/>
    </row>
    <row r="1468" spans="1:1">
      <c r="A1468" s="169"/>
    </row>
    <row r="1469" spans="1:1">
      <c r="A1469" s="169"/>
    </row>
    <row r="1470" spans="1:1">
      <c r="A1470" s="169"/>
    </row>
    <row r="1471" spans="1:1">
      <c r="A1471" s="169"/>
    </row>
    <row r="1472" spans="1:1">
      <c r="A1472" s="169"/>
    </row>
    <row r="1473" spans="1:1">
      <c r="A1473" s="169"/>
    </row>
    <row r="1474" spans="1:1">
      <c r="A1474" s="169"/>
    </row>
    <row r="1475" spans="1:1">
      <c r="A1475" s="169"/>
    </row>
    <row r="1476" spans="1:1">
      <c r="A1476" s="169"/>
    </row>
    <row r="1477" spans="1:1">
      <c r="A1477" s="169"/>
    </row>
    <row r="1478" spans="1:1">
      <c r="A1478" s="169"/>
    </row>
    <row r="1479" spans="1:1">
      <c r="A1479" s="169"/>
    </row>
    <row r="1480" spans="1:1">
      <c r="A1480" s="169"/>
    </row>
    <row r="1481" spans="1:1">
      <c r="A1481" s="169"/>
    </row>
    <row r="1482" spans="1:1">
      <c r="A1482" s="169"/>
    </row>
    <row r="1483" spans="1:1">
      <c r="A1483" s="169"/>
    </row>
    <row r="1484" spans="1:1">
      <c r="A1484" s="169"/>
    </row>
    <row r="1485" spans="1:1">
      <c r="A1485" s="169"/>
    </row>
    <row r="1486" spans="1:1">
      <c r="A1486" s="169"/>
    </row>
    <row r="1487" spans="1:1">
      <c r="A1487" s="169"/>
    </row>
    <row r="1488" spans="1:1">
      <c r="A1488" s="169"/>
    </row>
    <row r="1489" spans="1:1">
      <c r="A1489" s="169"/>
    </row>
    <row r="1490" spans="1:1">
      <c r="A1490" s="169"/>
    </row>
    <row r="1491" spans="1:1">
      <c r="A1491" s="169"/>
    </row>
    <row r="1492" spans="1:1">
      <c r="A1492" s="169"/>
    </row>
    <row r="1493" spans="1:1">
      <c r="A1493" s="169"/>
    </row>
    <row r="1494" spans="1:1">
      <c r="A1494" s="169"/>
    </row>
    <row r="1495" spans="1:1">
      <c r="A1495" s="169"/>
    </row>
    <row r="1496" spans="1:1">
      <c r="A1496" s="169"/>
    </row>
    <row r="1497" spans="1:1">
      <c r="A1497" s="169"/>
    </row>
    <row r="1498" spans="1:1">
      <c r="A1498" s="169"/>
    </row>
    <row r="1499" spans="1:1">
      <c r="A1499" s="169"/>
    </row>
    <row r="1500" spans="1:1">
      <c r="A1500" s="169"/>
    </row>
    <row r="1501" spans="1:1">
      <c r="A1501" s="169"/>
    </row>
    <row r="1502" spans="1:1">
      <c r="A1502" s="169"/>
    </row>
    <row r="1503" spans="1:1">
      <c r="A1503" s="169"/>
    </row>
    <row r="1504" spans="1:1">
      <c r="A1504" s="169"/>
    </row>
    <row r="1505" spans="1:1">
      <c r="A1505" s="169"/>
    </row>
    <row r="1506" spans="1:1">
      <c r="A1506" s="169"/>
    </row>
    <row r="1507" spans="1:1">
      <c r="A1507" s="169"/>
    </row>
    <row r="1508" spans="1:1">
      <c r="A1508" s="169"/>
    </row>
    <row r="1509" spans="1:1">
      <c r="A1509" s="169"/>
    </row>
    <row r="1510" spans="1:1">
      <c r="A1510" s="169"/>
    </row>
    <row r="1511" spans="1:1">
      <c r="A1511" s="169"/>
    </row>
    <row r="1512" spans="1:1">
      <c r="A1512" s="169"/>
    </row>
    <row r="1513" spans="1:1">
      <c r="A1513" s="169"/>
    </row>
    <row r="1514" spans="1:1">
      <c r="A1514" s="169"/>
    </row>
    <row r="1515" spans="1:1">
      <c r="A1515" s="169"/>
    </row>
    <row r="1516" spans="1:1">
      <c r="A1516" s="169"/>
    </row>
    <row r="1517" spans="1:1">
      <c r="A1517" s="169"/>
    </row>
    <row r="1518" spans="1:1">
      <c r="A1518" s="169"/>
    </row>
    <row r="1519" spans="1:1">
      <c r="A1519" s="169"/>
    </row>
    <row r="1520" spans="1:1">
      <c r="A1520" s="169"/>
    </row>
    <row r="1521" spans="1:1">
      <c r="A1521" s="169"/>
    </row>
    <row r="1522" spans="1:1">
      <c r="A1522" s="169"/>
    </row>
    <row r="1523" spans="1:1">
      <c r="A1523" s="169"/>
    </row>
    <row r="1524" spans="1:1">
      <c r="A1524" s="169"/>
    </row>
    <row r="1525" spans="1:1">
      <c r="A1525" s="169"/>
    </row>
    <row r="1526" spans="1:1">
      <c r="A1526" s="169"/>
    </row>
    <row r="1527" spans="1:1">
      <c r="A1527" s="169"/>
    </row>
    <row r="1528" spans="1:1">
      <c r="A1528" s="169"/>
    </row>
    <row r="1529" spans="1:1">
      <c r="A1529" s="169"/>
    </row>
    <row r="1530" spans="1:1">
      <c r="A1530" s="169"/>
    </row>
    <row r="1531" spans="1:1">
      <c r="A1531" s="169"/>
    </row>
    <row r="1532" spans="1:1">
      <c r="A1532" s="169"/>
    </row>
    <row r="1533" spans="1:1">
      <c r="A1533" s="169"/>
    </row>
    <row r="1534" spans="1:1">
      <c r="A1534" s="169"/>
    </row>
    <row r="1535" spans="1:1">
      <c r="A1535" s="169"/>
    </row>
    <row r="1536" spans="1:1">
      <c r="A1536" s="169"/>
    </row>
    <row r="1537" spans="1:1">
      <c r="A1537" s="169"/>
    </row>
    <row r="1538" spans="1:1">
      <c r="A1538" s="169"/>
    </row>
    <row r="1539" spans="1:1">
      <c r="A1539" s="169"/>
    </row>
    <row r="1540" spans="1:1">
      <c r="A1540" s="169"/>
    </row>
    <row r="1541" spans="1:1">
      <c r="A1541" s="169"/>
    </row>
    <row r="1542" spans="1:1">
      <c r="A1542" s="169"/>
    </row>
    <row r="1543" spans="1:1">
      <c r="A1543" s="169"/>
    </row>
    <row r="1544" spans="1:1">
      <c r="A1544" s="169"/>
    </row>
    <row r="1545" spans="1:1">
      <c r="A1545" s="169"/>
    </row>
    <row r="1546" spans="1:1">
      <c r="A1546" s="169"/>
    </row>
    <row r="1547" spans="1:1">
      <c r="A1547" s="169"/>
    </row>
    <row r="1548" spans="1:1">
      <c r="A1548" s="169"/>
    </row>
    <row r="1549" spans="1:1">
      <c r="A1549" s="169"/>
    </row>
    <row r="1550" spans="1:1">
      <c r="A1550" s="169"/>
    </row>
    <row r="1551" spans="1:1">
      <c r="A1551" s="169"/>
    </row>
    <row r="1552" spans="1:1">
      <c r="A1552" s="169"/>
    </row>
    <row r="1553" spans="1:1">
      <c r="A1553" s="169"/>
    </row>
    <row r="1554" spans="1:1">
      <c r="A1554" s="169"/>
    </row>
    <row r="1555" spans="1:1">
      <c r="A1555" s="169"/>
    </row>
    <row r="1556" spans="1:1">
      <c r="A1556" s="169"/>
    </row>
    <row r="1557" spans="1:1">
      <c r="A1557" s="169"/>
    </row>
    <row r="1558" spans="1:1">
      <c r="A1558" s="169"/>
    </row>
    <row r="1559" spans="1:1">
      <c r="A1559" s="169"/>
    </row>
    <row r="1560" spans="1:1">
      <c r="A1560" s="169"/>
    </row>
    <row r="1561" spans="1:1">
      <c r="A1561" s="169"/>
    </row>
    <row r="1562" spans="1:1">
      <c r="A1562" s="169"/>
    </row>
    <row r="1563" spans="1:1">
      <c r="A1563" s="169"/>
    </row>
    <row r="1564" spans="1:1">
      <c r="A1564" s="169"/>
    </row>
    <row r="1565" spans="1:1">
      <c r="A1565" s="169"/>
    </row>
    <row r="1566" spans="1:1">
      <c r="A1566" s="169"/>
    </row>
    <row r="1567" spans="1:1">
      <c r="A1567" s="169"/>
    </row>
    <row r="1568" spans="1:1">
      <c r="A1568" s="169"/>
    </row>
    <row r="1569" spans="1:1">
      <c r="A1569" s="169"/>
    </row>
    <row r="1570" spans="1:1">
      <c r="A1570" s="169"/>
    </row>
    <row r="1571" spans="1:1">
      <c r="A1571" s="169"/>
    </row>
    <row r="1572" spans="1:1">
      <c r="A1572" s="169"/>
    </row>
    <row r="1573" spans="1:1">
      <c r="A1573" s="169"/>
    </row>
    <row r="1574" spans="1:1">
      <c r="A1574" s="169"/>
    </row>
    <row r="1575" spans="1:1">
      <c r="A1575" s="169"/>
    </row>
    <row r="1576" spans="1:1">
      <c r="A1576" s="169"/>
    </row>
    <row r="1577" spans="1:1">
      <c r="A1577" s="169"/>
    </row>
    <row r="1578" spans="1:1">
      <c r="A1578" s="169"/>
    </row>
    <row r="1579" spans="1:1">
      <c r="A1579" s="169"/>
    </row>
    <row r="1580" spans="1:1">
      <c r="A1580" s="169"/>
    </row>
    <row r="1581" spans="1:1">
      <c r="A1581" s="169"/>
    </row>
    <row r="1582" spans="1:1">
      <c r="A1582" s="169"/>
    </row>
    <row r="1583" spans="1:1">
      <c r="A1583" s="169"/>
    </row>
    <row r="1584" spans="1:1">
      <c r="A1584" s="169"/>
    </row>
    <row r="1585" spans="1:1">
      <c r="A1585" s="169"/>
    </row>
    <row r="1586" spans="1:1">
      <c r="A1586" s="169"/>
    </row>
    <row r="1587" spans="1:1">
      <c r="A1587" s="169"/>
    </row>
    <row r="1588" spans="1:1">
      <c r="A1588" s="169"/>
    </row>
    <row r="1589" spans="1:1">
      <c r="A1589" s="169"/>
    </row>
    <row r="1590" spans="1:1">
      <c r="A1590" s="169"/>
    </row>
    <row r="1591" spans="1:1">
      <c r="A1591" s="169"/>
    </row>
    <row r="1592" spans="1:1">
      <c r="A1592" s="169"/>
    </row>
    <row r="1593" spans="1:1">
      <c r="A1593" s="169"/>
    </row>
    <row r="1594" spans="1:1">
      <c r="A1594" s="169"/>
    </row>
    <row r="1595" spans="1:1">
      <c r="A1595" s="169"/>
    </row>
    <row r="1596" spans="1:1">
      <c r="A1596" s="169"/>
    </row>
    <row r="1597" spans="1:1">
      <c r="A1597" s="169"/>
    </row>
    <row r="1598" spans="1:1">
      <c r="A1598" s="169"/>
    </row>
    <row r="1599" spans="1:1">
      <c r="A1599" s="169"/>
    </row>
    <row r="1600" spans="1:1">
      <c r="A1600" s="169"/>
    </row>
    <row r="1601" spans="1:1">
      <c r="A1601" s="169"/>
    </row>
    <row r="1602" spans="1:1">
      <c r="A1602" s="169"/>
    </row>
    <row r="1603" spans="1:1">
      <c r="A1603" s="169"/>
    </row>
    <row r="1604" spans="1:1">
      <c r="A1604" s="169"/>
    </row>
    <row r="1605" spans="1:1">
      <c r="A1605" s="169"/>
    </row>
    <row r="1606" spans="1:1">
      <c r="A1606" s="169"/>
    </row>
    <row r="1607" spans="1:1">
      <c r="A1607" s="169"/>
    </row>
    <row r="1608" spans="1:1">
      <c r="A1608" s="169"/>
    </row>
    <row r="1609" spans="1:1">
      <c r="A1609" s="169"/>
    </row>
    <row r="1610" spans="1:1">
      <c r="A1610" s="169"/>
    </row>
    <row r="1611" spans="1:1">
      <c r="A1611" s="169"/>
    </row>
    <row r="1612" spans="1:1">
      <c r="A1612" s="169"/>
    </row>
    <row r="1613" spans="1:1">
      <c r="A1613" s="169"/>
    </row>
    <row r="1614" spans="1:1">
      <c r="A1614" s="169"/>
    </row>
    <row r="1615" spans="1:1">
      <c r="A1615" s="169"/>
    </row>
    <row r="1616" spans="1:1">
      <c r="A1616" s="169"/>
    </row>
    <row r="1617" spans="1:1">
      <c r="A1617" s="169"/>
    </row>
    <row r="1618" spans="1:1">
      <c r="A1618" s="169"/>
    </row>
    <row r="1619" spans="1:1">
      <c r="A1619" s="169"/>
    </row>
    <row r="1620" spans="1:1">
      <c r="A1620" s="169"/>
    </row>
    <row r="1621" spans="1:1">
      <c r="A1621" s="169"/>
    </row>
    <row r="1622" spans="1:1">
      <c r="A1622" s="169"/>
    </row>
    <row r="1623" spans="1:1">
      <c r="A1623" s="169"/>
    </row>
    <row r="1624" spans="1:1">
      <c r="A1624" s="169"/>
    </row>
    <row r="1625" spans="1:1">
      <c r="A1625" s="169"/>
    </row>
    <row r="1626" spans="1:1">
      <c r="A1626" s="169"/>
    </row>
    <row r="1627" spans="1:1">
      <c r="A1627" s="169"/>
    </row>
    <row r="1628" spans="1:1">
      <c r="A1628" s="169"/>
    </row>
    <row r="1629" spans="1:1">
      <c r="A1629" s="169"/>
    </row>
    <row r="1630" spans="1:1">
      <c r="A1630" s="169"/>
    </row>
    <row r="1631" spans="1:1">
      <c r="A1631" s="169"/>
    </row>
    <row r="1632" spans="1:1">
      <c r="A1632" s="169"/>
    </row>
    <row r="1633" spans="1:1">
      <c r="A1633" s="169"/>
    </row>
    <row r="1634" spans="1:1">
      <c r="A1634" s="169"/>
    </row>
    <row r="1635" spans="1:1">
      <c r="A1635" s="169"/>
    </row>
    <row r="1636" spans="1:1">
      <c r="A1636" s="169"/>
    </row>
    <row r="1637" spans="1:1">
      <c r="A1637" s="169"/>
    </row>
    <row r="1638" spans="1:1">
      <c r="A1638" s="169"/>
    </row>
    <row r="1639" spans="1:1">
      <c r="A1639" s="169"/>
    </row>
    <row r="1640" spans="1:1">
      <c r="A1640" s="169"/>
    </row>
    <row r="1641" spans="1:1">
      <c r="A1641" s="169"/>
    </row>
    <row r="1642" spans="1:1">
      <c r="A1642" s="169"/>
    </row>
    <row r="1643" spans="1:1">
      <c r="A1643" s="169"/>
    </row>
    <row r="1644" spans="1:1">
      <c r="A1644" s="169"/>
    </row>
    <row r="1645" spans="1:1">
      <c r="A1645" s="169"/>
    </row>
    <row r="1646" spans="1:1">
      <c r="A1646" s="169"/>
    </row>
    <row r="1647" spans="1:1">
      <c r="A1647" s="169"/>
    </row>
    <row r="1648" spans="1:1">
      <c r="A1648" s="169"/>
    </row>
    <row r="1649" spans="1:1">
      <c r="A1649" s="169"/>
    </row>
    <row r="1650" spans="1:1">
      <c r="A1650" s="169"/>
    </row>
    <row r="1651" spans="1:1">
      <c r="A1651" s="169"/>
    </row>
    <row r="1652" spans="1:1">
      <c r="A1652" s="169"/>
    </row>
    <row r="1653" spans="1:1">
      <c r="A1653" s="169"/>
    </row>
    <row r="1654" spans="1:1">
      <c r="A1654" s="169"/>
    </row>
    <row r="1655" spans="1:1">
      <c r="A1655" s="169"/>
    </row>
    <row r="1656" spans="1:1">
      <c r="A1656" s="169"/>
    </row>
    <row r="1657" spans="1:1">
      <c r="A1657" s="169"/>
    </row>
    <row r="1658" spans="1:1">
      <c r="A1658" s="169"/>
    </row>
    <row r="1659" spans="1:1">
      <c r="A1659" s="169"/>
    </row>
    <row r="1660" spans="1:1">
      <c r="A1660" s="169"/>
    </row>
    <row r="1661" spans="1:1">
      <c r="A1661" s="169"/>
    </row>
    <row r="1662" spans="1:1">
      <c r="A1662" s="169"/>
    </row>
    <row r="1663" spans="1:1">
      <c r="A1663" s="169"/>
    </row>
    <row r="1664" spans="1:1">
      <c r="A1664" s="169"/>
    </row>
    <row r="1665" spans="1:1">
      <c r="A1665" s="169"/>
    </row>
    <row r="1666" spans="1:1">
      <c r="A1666" s="169"/>
    </row>
    <row r="1667" spans="1:1">
      <c r="A1667" s="169"/>
    </row>
    <row r="1668" spans="1:1">
      <c r="A1668" s="169"/>
    </row>
    <row r="1669" spans="1:1">
      <c r="A1669" s="169"/>
    </row>
    <row r="1670" spans="1:1">
      <c r="A1670" s="169"/>
    </row>
    <row r="1671" spans="1:1">
      <c r="A1671" s="169"/>
    </row>
    <row r="1672" spans="1:1">
      <c r="A1672" s="169"/>
    </row>
    <row r="1673" spans="1:1">
      <c r="A1673" s="169"/>
    </row>
    <row r="1674" spans="1:1">
      <c r="A1674" s="169"/>
    </row>
    <row r="1675" spans="1:1">
      <c r="A1675" s="169"/>
    </row>
    <row r="1676" spans="1:1">
      <c r="A1676" s="169"/>
    </row>
    <row r="1677" spans="1:1">
      <c r="A1677" s="169"/>
    </row>
    <row r="1678" spans="1:1">
      <c r="A1678" s="169"/>
    </row>
    <row r="1679" spans="1:1">
      <c r="A1679" s="169"/>
    </row>
    <row r="1680" spans="1:1">
      <c r="A1680" s="169"/>
    </row>
    <row r="1681" spans="1:1">
      <c r="A1681" s="169"/>
    </row>
    <row r="1682" spans="1:1">
      <c r="A1682" s="169"/>
    </row>
    <row r="1683" spans="1:1">
      <c r="A1683" s="169"/>
    </row>
    <row r="1684" spans="1:1">
      <c r="A1684" s="169"/>
    </row>
    <row r="1685" spans="1:1">
      <c r="A1685" s="169"/>
    </row>
    <row r="1686" spans="1:1">
      <c r="A1686" s="169"/>
    </row>
    <row r="1687" spans="1:1">
      <c r="A1687" s="169"/>
    </row>
    <row r="1688" spans="1:1">
      <c r="A1688" s="169"/>
    </row>
    <row r="1689" spans="1:1">
      <c r="A1689" s="169"/>
    </row>
    <row r="1690" spans="1:1">
      <c r="A1690" s="169"/>
    </row>
    <row r="1691" spans="1:1">
      <c r="A1691" s="169"/>
    </row>
    <row r="1692" spans="1:1">
      <c r="A1692" s="169"/>
    </row>
    <row r="1693" spans="1:1">
      <c r="A1693" s="169"/>
    </row>
    <row r="1694" spans="1:1">
      <c r="A1694" s="169"/>
    </row>
    <row r="1695" spans="1:1">
      <c r="A1695" s="169"/>
    </row>
    <row r="1696" spans="1:1">
      <c r="A1696" s="169"/>
    </row>
    <row r="1697" spans="1:1">
      <c r="A1697" s="169"/>
    </row>
    <row r="1698" spans="1:1">
      <c r="A1698" s="169"/>
    </row>
    <row r="1699" spans="1:1">
      <c r="A1699" s="169"/>
    </row>
    <row r="1700" spans="1:1">
      <c r="A1700" s="169"/>
    </row>
    <row r="1701" spans="1:1">
      <c r="A1701" s="169"/>
    </row>
    <row r="1702" spans="1:1">
      <c r="A1702" s="169"/>
    </row>
    <row r="1703" spans="1:1">
      <c r="A1703" s="169"/>
    </row>
    <row r="1704" spans="1:1">
      <c r="A1704" s="169"/>
    </row>
    <row r="1705" spans="1:1">
      <c r="A1705" s="169"/>
    </row>
    <row r="1706" spans="1:1">
      <c r="A1706" s="169"/>
    </row>
    <row r="1707" spans="1:1">
      <c r="A1707" s="169"/>
    </row>
    <row r="1708" spans="1:1">
      <c r="A1708" s="169"/>
    </row>
    <row r="1709" spans="1:1">
      <c r="A1709" s="169"/>
    </row>
    <row r="1710" spans="1:1">
      <c r="A1710" s="169"/>
    </row>
    <row r="1711" spans="1:1">
      <c r="A1711" s="169"/>
    </row>
    <row r="1712" spans="1:1">
      <c r="A1712" s="169"/>
    </row>
    <row r="1713" spans="1:1">
      <c r="A1713" s="169"/>
    </row>
    <row r="1714" spans="1:1">
      <c r="A1714" s="169"/>
    </row>
    <row r="1715" spans="1:1">
      <c r="A1715" s="169"/>
    </row>
    <row r="1716" spans="1:1">
      <c r="A1716" s="169"/>
    </row>
    <row r="1717" spans="1:1">
      <c r="A1717" s="169"/>
    </row>
    <row r="1718" spans="1:1">
      <c r="A1718" s="169"/>
    </row>
    <row r="1719" spans="1:1">
      <c r="A1719" s="169"/>
    </row>
    <row r="1720" spans="1:1">
      <c r="A1720" s="169"/>
    </row>
    <row r="1721" spans="1:1">
      <c r="A1721" s="169"/>
    </row>
    <row r="1722" spans="1:1">
      <c r="A1722" s="169"/>
    </row>
    <row r="1723" spans="1:1">
      <c r="A1723" s="169"/>
    </row>
    <row r="1724" spans="1:1">
      <c r="A1724" s="169"/>
    </row>
    <row r="1725" spans="1:1">
      <c r="A1725" s="169"/>
    </row>
    <row r="1726" spans="1:1">
      <c r="A1726" s="169"/>
    </row>
    <row r="1727" spans="1:1">
      <c r="A1727" s="169"/>
    </row>
    <row r="1728" spans="1:1">
      <c r="A1728" s="169"/>
    </row>
    <row r="1729" spans="1:1">
      <c r="A1729" s="169"/>
    </row>
    <row r="1730" spans="1:1">
      <c r="A1730" s="169"/>
    </row>
    <row r="1731" spans="1:1">
      <c r="A1731" s="169"/>
    </row>
    <row r="1732" spans="1:1">
      <c r="A1732" s="169"/>
    </row>
    <row r="1733" spans="1:1">
      <c r="A1733" s="169"/>
    </row>
    <row r="1734" spans="1:1">
      <c r="A1734" s="169"/>
    </row>
    <row r="1735" spans="1:1">
      <c r="A1735" s="169"/>
    </row>
    <row r="1736" spans="1:1">
      <c r="A1736" s="169"/>
    </row>
    <row r="1737" spans="1:1">
      <c r="A1737" s="169"/>
    </row>
    <row r="1738" spans="1:1">
      <c r="A1738" s="169"/>
    </row>
    <row r="1739" spans="1:1">
      <c r="A1739" s="169"/>
    </row>
    <row r="1740" spans="1:1">
      <c r="A1740" s="169"/>
    </row>
    <row r="1741" spans="1:1">
      <c r="A1741" s="169"/>
    </row>
    <row r="1742" spans="1:1">
      <c r="A1742" s="169"/>
    </row>
    <row r="1743" spans="1:1">
      <c r="A1743" s="169"/>
    </row>
    <row r="1744" spans="1:1">
      <c r="A1744" s="169"/>
    </row>
    <row r="1745" spans="1:1">
      <c r="A1745" s="169"/>
    </row>
    <row r="1746" spans="1:1">
      <c r="A1746" s="169"/>
    </row>
    <row r="1747" spans="1:1">
      <c r="A1747" s="169"/>
    </row>
    <row r="1748" spans="1:1">
      <c r="A1748" s="169"/>
    </row>
    <row r="1749" spans="1:1">
      <c r="A1749" s="169"/>
    </row>
    <row r="1750" spans="1:1">
      <c r="A1750" s="169"/>
    </row>
    <row r="1751" spans="1:1">
      <c r="A1751" s="169"/>
    </row>
    <row r="1752" spans="1:1">
      <c r="A1752" s="169"/>
    </row>
    <row r="1753" spans="1:1">
      <c r="A1753" s="169"/>
    </row>
    <row r="1754" spans="1:1">
      <c r="A1754" s="169"/>
    </row>
    <row r="1755" spans="1:1">
      <c r="A1755" s="169"/>
    </row>
    <row r="1756" spans="1:1">
      <c r="A1756" s="169"/>
    </row>
    <row r="1757" spans="1:1">
      <c r="A1757" s="169"/>
    </row>
    <row r="1758" spans="1:1">
      <c r="A1758" s="169"/>
    </row>
    <row r="1759" spans="1:1">
      <c r="A1759" s="169"/>
    </row>
    <row r="1760" spans="1:1">
      <c r="A1760" s="169"/>
    </row>
    <row r="1761" spans="1:1">
      <c r="A1761" s="169"/>
    </row>
    <row r="1762" spans="1:1">
      <c r="A1762" s="169"/>
    </row>
    <row r="1763" spans="1:1">
      <c r="A1763" s="169"/>
    </row>
    <row r="1764" spans="1:1">
      <c r="A1764" s="169"/>
    </row>
    <row r="1765" spans="1:1">
      <c r="A1765" s="169"/>
    </row>
    <row r="1766" spans="1:1">
      <c r="A1766" s="169"/>
    </row>
    <row r="1767" spans="1:1">
      <c r="A1767" s="169"/>
    </row>
    <row r="1768" spans="1:1">
      <c r="A1768" s="169"/>
    </row>
    <row r="1769" spans="1:1">
      <c r="A1769" s="169"/>
    </row>
    <row r="1770" spans="1:1">
      <c r="A1770" s="169"/>
    </row>
    <row r="1771" spans="1:1">
      <c r="A1771" s="169"/>
    </row>
    <row r="1772" spans="1:1">
      <c r="A1772" s="169"/>
    </row>
    <row r="1773" spans="1:1">
      <c r="A1773" s="169"/>
    </row>
    <row r="1774" spans="1:1">
      <c r="A1774" s="169"/>
    </row>
    <row r="1775" spans="1:1">
      <c r="A1775" s="169"/>
    </row>
    <row r="1776" spans="1:1">
      <c r="A1776" s="169"/>
    </row>
    <row r="1777" spans="1:1">
      <c r="A1777" s="169"/>
    </row>
    <row r="1778" spans="1:1">
      <c r="A1778" s="169"/>
    </row>
    <row r="1779" spans="1:1">
      <c r="A1779" s="169"/>
    </row>
    <row r="1780" spans="1:1">
      <c r="A1780" s="169"/>
    </row>
    <row r="1781" spans="1:1">
      <c r="A1781" s="169"/>
    </row>
    <row r="1782" spans="1:1">
      <c r="A1782" s="169"/>
    </row>
    <row r="1783" spans="1:1">
      <c r="A1783" s="169"/>
    </row>
    <row r="1784" spans="1:1">
      <c r="A1784" s="169"/>
    </row>
    <row r="1785" spans="1:1">
      <c r="A1785" s="169"/>
    </row>
    <row r="1786" spans="1:1">
      <c r="A1786" s="169"/>
    </row>
    <row r="1787" spans="1:1">
      <c r="A1787" s="169"/>
    </row>
    <row r="1788" spans="1:1">
      <c r="A1788" s="169"/>
    </row>
    <row r="1789" spans="1:1">
      <c r="A1789" s="169"/>
    </row>
    <row r="1790" spans="1:1">
      <c r="A1790" s="169"/>
    </row>
    <row r="1791" spans="1:1">
      <c r="A1791" s="169"/>
    </row>
    <row r="1792" spans="1:1">
      <c r="A1792" s="169"/>
    </row>
    <row r="1793" spans="1:1">
      <c r="A1793" s="169"/>
    </row>
    <row r="1794" spans="1:1">
      <c r="A1794" s="169"/>
    </row>
    <row r="1795" spans="1:1">
      <c r="A1795" s="169"/>
    </row>
    <row r="1796" spans="1:1">
      <c r="A1796" s="169"/>
    </row>
    <row r="1797" spans="1:1">
      <c r="A1797" s="169"/>
    </row>
    <row r="1798" spans="1:1">
      <c r="A1798" s="169"/>
    </row>
    <row r="1799" spans="1:1">
      <c r="A1799" s="169"/>
    </row>
    <row r="1800" spans="1:1">
      <c r="A1800" s="169"/>
    </row>
    <row r="1801" spans="1:1">
      <c r="A1801" s="169"/>
    </row>
    <row r="1802" spans="1:1">
      <c r="A1802" s="169"/>
    </row>
    <row r="1803" spans="1:1">
      <c r="A1803" s="169"/>
    </row>
    <row r="1804" spans="1:1">
      <c r="A1804" s="169"/>
    </row>
    <row r="1805" spans="1:1">
      <c r="A1805" s="169"/>
    </row>
    <row r="1806" spans="1:1">
      <c r="A1806" s="169"/>
    </row>
    <row r="1807" spans="1:1">
      <c r="A1807" s="169"/>
    </row>
    <row r="1808" spans="1:1">
      <c r="A1808" s="169"/>
    </row>
    <row r="1809" spans="1:1">
      <c r="A1809" s="169"/>
    </row>
    <row r="1810" spans="1:1">
      <c r="A1810" s="169"/>
    </row>
    <row r="1811" spans="1:1">
      <c r="A1811" s="169"/>
    </row>
    <row r="1812" spans="1:1">
      <c r="A1812" s="169"/>
    </row>
    <row r="1813" spans="1:1">
      <c r="A1813" s="169"/>
    </row>
    <row r="1814" spans="1:1">
      <c r="A1814" s="169"/>
    </row>
    <row r="1815" spans="1:1">
      <c r="A1815" s="169"/>
    </row>
    <row r="1816" spans="1:1">
      <c r="A1816" s="169"/>
    </row>
    <row r="1817" spans="1:1">
      <c r="A1817" s="169"/>
    </row>
    <row r="1818" spans="1:1">
      <c r="A1818" s="169"/>
    </row>
    <row r="1819" spans="1:1">
      <c r="A1819" s="169"/>
    </row>
    <row r="1820" spans="1:1">
      <c r="A1820" s="169"/>
    </row>
    <row r="1821" spans="1:1">
      <c r="A1821" s="169"/>
    </row>
    <row r="1822" spans="1:1">
      <c r="A1822" s="169"/>
    </row>
    <row r="1823" spans="1:1">
      <c r="A1823" s="169"/>
    </row>
    <row r="1824" spans="1:1">
      <c r="A1824" s="169"/>
    </row>
    <row r="1825" spans="1:1">
      <c r="A1825" s="169"/>
    </row>
    <row r="1826" spans="1:1">
      <c r="A1826" s="169"/>
    </row>
    <row r="1827" spans="1:1">
      <c r="A1827" s="169"/>
    </row>
    <row r="1828" spans="1:1">
      <c r="A1828" s="169"/>
    </row>
    <row r="1829" spans="1:1">
      <c r="A1829" s="169"/>
    </row>
    <row r="1830" spans="1:1">
      <c r="A1830" s="169"/>
    </row>
    <row r="1831" spans="1:1">
      <c r="A1831" s="169"/>
    </row>
    <row r="1832" spans="1:1">
      <c r="A1832" s="169"/>
    </row>
    <row r="1833" spans="1:1">
      <c r="A1833" s="169"/>
    </row>
    <row r="1834" spans="1:1">
      <c r="A1834" s="169"/>
    </row>
    <row r="1835" spans="1:1">
      <c r="A1835" s="169"/>
    </row>
    <row r="1836" spans="1:1">
      <c r="A1836" s="169"/>
    </row>
    <row r="1837" spans="1:1">
      <c r="A1837" s="169"/>
    </row>
    <row r="1838" spans="1:1">
      <c r="A1838" s="169"/>
    </row>
    <row r="1839" spans="1:1">
      <c r="A1839" s="169"/>
    </row>
    <row r="1840" spans="1:1">
      <c r="A1840" s="169"/>
    </row>
    <row r="1841" spans="1:1">
      <c r="A1841" s="169"/>
    </row>
    <row r="1842" spans="1:1">
      <c r="A1842" s="169"/>
    </row>
    <row r="1843" spans="1:1">
      <c r="A1843" s="169"/>
    </row>
    <row r="1844" spans="1:1">
      <c r="A1844" s="169"/>
    </row>
    <row r="1845" spans="1:1">
      <c r="A1845" s="169"/>
    </row>
    <row r="1846" spans="1:1">
      <c r="A1846" s="169"/>
    </row>
    <row r="1847" spans="1:1">
      <c r="A1847" s="169"/>
    </row>
    <row r="1848" spans="1:1">
      <c r="A1848" s="169"/>
    </row>
    <row r="1849" spans="1:1">
      <c r="A1849" s="169"/>
    </row>
    <row r="1850" spans="1:1">
      <c r="A1850" s="169"/>
    </row>
    <row r="1851" spans="1:1">
      <c r="A1851" s="169"/>
    </row>
    <row r="1852" spans="1:1">
      <c r="A1852" s="169"/>
    </row>
    <row r="1853" spans="1:1">
      <c r="A1853" s="169"/>
    </row>
    <row r="1854" spans="1:1">
      <c r="A1854" s="169"/>
    </row>
    <row r="1855" spans="1:1">
      <c r="A1855" s="169"/>
    </row>
    <row r="1856" spans="1:1">
      <c r="A1856" s="169"/>
    </row>
    <row r="1857" spans="1:1">
      <c r="A1857" s="169"/>
    </row>
    <row r="1858" spans="1:1">
      <c r="A1858" s="169"/>
    </row>
    <row r="1859" spans="1:1">
      <c r="A1859" s="169"/>
    </row>
    <row r="1860" spans="1:1">
      <c r="A1860" s="169"/>
    </row>
    <row r="1861" spans="1:1">
      <c r="A1861" s="169"/>
    </row>
    <row r="1862" spans="1:1">
      <c r="A1862" s="169"/>
    </row>
    <row r="1863" spans="1:1">
      <c r="A1863" s="169"/>
    </row>
    <row r="1864" spans="1:1">
      <c r="A1864" s="169"/>
    </row>
    <row r="1865" spans="1:1">
      <c r="A1865" s="169"/>
    </row>
    <row r="1866" spans="1:1">
      <c r="A1866" s="169"/>
    </row>
    <row r="1867" spans="1:1">
      <c r="A1867" s="169"/>
    </row>
    <row r="1868" spans="1:1">
      <c r="A1868" s="169"/>
    </row>
    <row r="1869" spans="1:1">
      <c r="A1869" s="169"/>
    </row>
    <row r="1870" spans="1:1">
      <c r="A1870" s="169"/>
    </row>
    <row r="1871" spans="1:1">
      <c r="A1871" s="169"/>
    </row>
    <row r="1872" spans="1:1">
      <c r="A1872" s="169"/>
    </row>
    <row r="1873" spans="1:1">
      <c r="A1873" s="169"/>
    </row>
    <row r="1874" spans="1:1">
      <c r="A1874" s="169"/>
    </row>
    <row r="1875" spans="1:1">
      <c r="A1875" s="169"/>
    </row>
    <row r="1876" spans="1:1">
      <c r="A1876" s="169"/>
    </row>
    <row r="1877" spans="1:1">
      <c r="A1877" s="169"/>
    </row>
    <row r="1878" spans="1:1">
      <c r="A1878" s="169"/>
    </row>
    <row r="1879" spans="1:1">
      <c r="A1879" s="169"/>
    </row>
    <row r="1880" spans="1:1">
      <c r="A1880" s="169"/>
    </row>
    <row r="1881" spans="1:1">
      <c r="A1881" s="169"/>
    </row>
    <row r="1882" spans="1:1">
      <c r="A1882" s="169"/>
    </row>
    <row r="1883" spans="1:1">
      <c r="A1883" s="169"/>
    </row>
    <row r="1884" spans="1:1">
      <c r="A1884" s="169"/>
    </row>
    <row r="1885" spans="1:1">
      <c r="A1885" s="169"/>
    </row>
    <row r="1886" spans="1:1">
      <c r="A1886" s="169"/>
    </row>
    <row r="1887" spans="1:1">
      <c r="A1887" s="169"/>
    </row>
    <row r="1888" spans="1:1">
      <c r="A1888" s="169"/>
    </row>
    <row r="1889" spans="1:1">
      <c r="A1889" s="169"/>
    </row>
    <row r="1890" spans="1:1">
      <c r="A1890" s="169"/>
    </row>
    <row r="1891" spans="1:1">
      <c r="A1891" s="169"/>
    </row>
    <row r="1892" spans="1:1">
      <c r="A1892" s="169"/>
    </row>
    <row r="1893" spans="1:1">
      <c r="A1893" s="169"/>
    </row>
    <row r="1894" spans="1:1">
      <c r="A1894" s="169"/>
    </row>
    <row r="1895" spans="1:1">
      <c r="A1895" s="169"/>
    </row>
    <row r="1896" spans="1:1">
      <c r="A1896" s="169"/>
    </row>
    <row r="1897" spans="1:1">
      <c r="A1897" s="169"/>
    </row>
    <row r="1898" spans="1:1">
      <c r="A1898" s="169"/>
    </row>
    <row r="1899" spans="1:1">
      <c r="A1899" s="169"/>
    </row>
    <row r="1900" spans="1:1">
      <c r="A1900" s="169"/>
    </row>
    <row r="1901" spans="1:1">
      <c r="A1901" s="169"/>
    </row>
    <row r="1902" spans="1:1">
      <c r="A1902" s="169"/>
    </row>
    <row r="1903" spans="1:1">
      <c r="A1903" s="169"/>
    </row>
    <row r="1904" spans="1:1">
      <c r="A1904" s="169"/>
    </row>
    <row r="1905" spans="1:1">
      <c r="A1905" s="169"/>
    </row>
    <row r="1906" spans="1:1">
      <c r="A1906" s="169"/>
    </row>
    <row r="1907" spans="1:1">
      <c r="A1907" s="169"/>
    </row>
    <row r="1908" spans="1:1">
      <c r="A1908" s="169"/>
    </row>
    <row r="1909" spans="1:1">
      <c r="A1909" s="169"/>
    </row>
    <row r="1910" spans="1:1">
      <c r="A1910" s="169"/>
    </row>
    <row r="1911" spans="1:1">
      <c r="A1911" s="169"/>
    </row>
    <row r="1912" spans="1:1">
      <c r="A1912" s="169"/>
    </row>
    <row r="1913" spans="1:1">
      <c r="A1913" s="169"/>
    </row>
    <row r="1914" spans="1:1">
      <c r="A1914" s="169"/>
    </row>
    <row r="1915" spans="1:1">
      <c r="A1915" s="169"/>
    </row>
    <row r="1916" spans="1:1">
      <c r="A1916" s="169"/>
    </row>
    <row r="1917" spans="1:1">
      <c r="A1917" s="169"/>
    </row>
    <row r="1918" spans="1:1">
      <c r="A1918" s="169"/>
    </row>
    <row r="1919" spans="1:1">
      <c r="A1919" s="169"/>
    </row>
    <row r="1920" spans="1:1">
      <c r="A1920" s="169"/>
    </row>
    <row r="1921" spans="1:1">
      <c r="A1921" s="169"/>
    </row>
    <row r="1922" spans="1:1">
      <c r="A1922" s="169"/>
    </row>
    <row r="1923" spans="1:1">
      <c r="A1923" s="169"/>
    </row>
    <row r="1924" spans="1:1">
      <c r="A1924" s="169"/>
    </row>
    <row r="1925" spans="1:1">
      <c r="A1925" s="169"/>
    </row>
    <row r="1926" spans="1:1">
      <c r="A1926" s="169"/>
    </row>
    <row r="1927" spans="1:1">
      <c r="A1927" s="169"/>
    </row>
    <row r="1928" spans="1:1">
      <c r="A1928" s="169"/>
    </row>
    <row r="1929" spans="1:1">
      <c r="A1929" s="169"/>
    </row>
    <row r="1930" spans="1:1">
      <c r="A1930" s="169"/>
    </row>
    <row r="1931" spans="1:1">
      <c r="A1931" s="169"/>
    </row>
    <row r="1932" spans="1:1">
      <c r="A1932" s="169"/>
    </row>
    <row r="1933" spans="1:1">
      <c r="A1933" s="169"/>
    </row>
    <row r="1934" spans="1:1">
      <c r="A1934" s="169"/>
    </row>
    <row r="1935" spans="1:1">
      <c r="A1935" s="169"/>
    </row>
    <row r="1936" spans="1:1">
      <c r="A1936" s="169"/>
    </row>
    <row r="1937" spans="1:1">
      <c r="A1937" s="169"/>
    </row>
    <row r="1938" spans="1:1">
      <c r="A1938" s="169"/>
    </row>
    <row r="1939" spans="1:1">
      <c r="A1939" s="169"/>
    </row>
    <row r="1940" spans="1:1">
      <c r="A1940" s="169"/>
    </row>
    <row r="1941" spans="1:1">
      <c r="A1941" s="169"/>
    </row>
    <row r="1942" spans="1:1">
      <c r="A1942" s="169"/>
    </row>
    <row r="1943" spans="1:1">
      <c r="A1943" s="169"/>
    </row>
    <row r="1944" spans="1:1">
      <c r="A1944" s="169"/>
    </row>
    <row r="1945" spans="1:1">
      <c r="A1945" s="169"/>
    </row>
    <row r="1946" spans="1:1">
      <c r="A1946" s="169"/>
    </row>
    <row r="1947" spans="1:1">
      <c r="A1947" s="169"/>
    </row>
    <row r="1948" spans="1:1">
      <c r="A1948" s="169"/>
    </row>
    <row r="1949" spans="1:1">
      <c r="A1949" s="169"/>
    </row>
    <row r="1950" spans="1:1">
      <c r="A1950" s="169"/>
    </row>
    <row r="1951" spans="1:1">
      <c r="A1951" s="169"/>
    </row>
    <row r="1952" spans="1:1">
      <c r="A1952" s="169"/>
    </row>
    <row r="1953" spans="1:1">
      <c r="A1953" s="169"/>
    </row>
    <row r="1954" spans="1:1">
      <c r="A1954" s="169"/>
    </row>
    <row r="1955" spans="1:1">
      <c r="A1955" s="169"/>
    </row>
    <row r="1956" spans="1:1">
      <c r="A1956" s="169"/>
    </row>
    <row r="1957" spans="1:1">
      <c r="A1957" s="169"/>
    </row>
    <row r="1958" spans="1:1">
      <c r="A1958" s="169"/>
    </row>
    <row r="1959" spans="1:1">
      <c r="A1959" s="169"/>
    </row>
    <row r="1960" spans="1:1">
      <c r="A1960" s="169"/>
    </row>
    <row r="1961" spans="1:1">
      <c r="A1961" s="169"/>
    </row>
    <row r="1962" spans="1:1">
      <c r="A1962" s="169"/>
    </row>
    <row r="1963" spans="1:1">
      <c r="A1963" s="169"/>
    </row>
    <row r="1964" spans="1:1">
      <c r="A1964" s="169"/>
    </row>
    <row r="1965" spans="1:1">
      <c r="A1965" s="169"/>
    </row>
    <row r="1966" spans="1:1">
      <c r="A1966" s="169"/>
    </row>
    <row r="1967" spans="1:1">
      <c r="A1967" s="169"/>
    </row>
    <row r="1968" spans="1:1">
      <c r="A1968" s="169"/>
    </row>
    <row r="1969" spans="1:1">
      <c r="A1969" s="169"/>
    </row>
    <row r="1970" spans="1:1">
      <c r="A1970" s="169"/>
    </row>
    <row r="1971" spans="1:1">
      <c r="A1971" s="169"/>
    </row>
    <row r="1972" spans="1:1">
      <c r="A1972" s="169"/>
    </row>
    <row r="1973" spans="1:1">
      <c r="A1973" s="169"/>
    </row>
    <row r="1974" spans="1:1">
      <c r="A1974" s="169"/>
    </row>
    <row r="1975" spans="1:1">
      <c r="A1975" s="169"/>
    </row>
    <row r="1976" spans="1:1">
      <c r="A1976" s="169"/>
    </row>
    <row r="1977" spans="1:1">
      <c r="A1977" s="169"/>
    </row>
    <row r="1978" spans="1:1">
      <c r="A1978" s="169"/>
    </row>
    <row r="1979" spans="1:1">
      <c r="A1979" s="169"/>
    </row>
    <row r="1980" spans="1:1">
      <c r="A1980" s="169"/>
    </row>
    <row r="1981" spans="1:1">
      <c r="A1981" s="169"/>
    </row>
    <row r="1982" spans="1:1">
      <c r="A1982" s="169"/>
    </row>
    <row r="1983" spans="1:1">
      <c r="A1983" s="169"/>
    </row>
    <row r="1984" spans="1:1">
      <c r="A1984" s="169"/>
    </row>
    <row r="1985" spans="1:1">
      <c r="A1985" s="169"/>
    </row>
    <row r="1986" spans="1:1">
      <c r="A1986" s="169"/>
    </row>
    <row r="1987" spans="1:1">
      <c r="A1987" s="169"/>
    </row>
    <row r="1988" spans="1:1">
      <c r="A1988" s="169"/>
    </row>
    <row r="1989" spans="1:1">
      <c r="A1989" s="169"/>
    </row>
    <row r="1990" spans="1:1">
      <c r="A1990" s="169"/>
    </row>
    <row r="1991" spans="1:1">
      <c r="A1991" s="169"/>
    </row>
    <row r="1992" spans="1:1">
      <c r="A1992" s="169"/>
    </row>
    <row r="1993" spans="1:1">
      <c r="A1993" s="169"/>
    </row>
    <row r="1994" spans="1:1">
      <c r="A1994" s="169"/>
    </row>
    <row r="1995" spans="1:1">
      <c r="A1995" s="169"/>
    </row>
    <row r="1996" spans="1:1">
      <c r="A1996" s="169"/>
    </row>
    <row r="1997" spans="1:1">
      <c r="A1997" s="169"/>
    </row>
    <row r="1998" spans="1:1">
      <c r="A1998" s="169"/>
    </row>
    <row r="1999" spans="1:1">
      <c r="A1999" s="169"/>
    </row>
    <row r="2000" spans="1:1">
      <c r="A2000" s="169"/>
    </row>
    <row r="2001" spans="1:1">
      <c r="A2001" s="169"/>
    </row>
    <row r="2002" spans="1:1">
      <c r="A2002" s="169"/>
    </row>
    <row r="2003" spans="1:1">
      <c r="A2003" s="169"/>
    </row>
    <row r="2004" spans="1:1">
      <c r="A2004" s="169"/>
    </row>
    <row r="2005" spans="1:1">
      <c r="A2005" s="169"/>
    </row>
    <row r="2006" spans="1:1">
      <c r="A2006" s="169"/>
    </row>
    <row r="2007" spans="1:1">
      <c r="A2007" s="169"/>
    </row>
    <row r="2008" spans="1:1">
      <c r="A2008" s="169"/>
    </row>
    <row r="2009" spans="1:1">
      <c r="A2009" s="169"/>
    </row>
    <row r="2010" spans="1:1">
      <c r="A2010" s="169"/>
    </row>
    <row r="2011" spans="1:1">
      <c r="A2011" s="169"/>
    </row>
    <row r="2012" spans="1:1">
      <c r="A2012" s="169"/>
    </row>
    <row r="2013" spans="1:1">
      <c r="A2013" s="169"/>
    </row>
    <row r="2014" spans="1:1">
      <c r="A2014" s="169"/>
    </row>
    <row r="2015" spans="1:1">
      <c r="A2015" s="169"/>
    </row>
    <row r="2016" spans="1:1">
      <c r="A2016" s="169"/>
    </row>
    <row r="2017" spans="1:1">
      <c r="A2017" s="169"/>
    </row>
    <row r="2018" spans="1:1">
      <c r="A2018" s="169"/>
    </row>
    <row r="2019" spans="1:1">
      <c r="A2019" s="169"/>
    </row>
    <row r="2020" spans="1:1">
      <c r="A2020" s="169"/>
    </row>
    <row r="2021" spans="1:1">
      <c r="A2021" s="169"/>
    </row>
    <row r="2022" spans="1:1">
      <c r="A2022" s="169"/>
    </row>
    <row r="2023" spans="1:1">
      <c r="A2023" s="169"/>
    </row>
    <row r="2024" spans="1:1">
      <c r="A2024" s="169"/>
    </row>
    <row r="2025" spans="1:1">
      <c r="A2025" s="169"/>
    </row>
    <row r="2026" spans="1:1">
      <c r="A2026" s="169"/>
    </row>
    <row r="2027" spans="1:1">
      <c r="A2027" s="169"/>
    </row>
    <row r="2028" spans="1:1">
      <c r="A2028" s="169"/>
    </row>
    <row r="2029" spans="1:1">
      <c r="A2029" s="169"/>
    </row>
    <row r="2030" spans="1:1">
      <c r="A2030" s="169"/>
    </row>
    <row r="2031" spans="1:1">
      <c r="A2031" s="169"/>
    </row>
    <row r="2032" spans="1:1">
      <c r="A2032" s="169"/>
    </row>
    <row r="2033" spans="1:1">
      <c r="A2033" s="169"/>
    </row>
    <row r="2034" spans="1:1">
      <c r="A2034" s="169"/>
    </row>
    <row r="2035" spans="1:1">
      <c r="A2035" s="169"/>
    </row>
    <row r="2036" spans="1:1">
      <c r="A2036" s="169"/>
    </row>
    <row r="2037" spans="1:1">
      <c r="A2037" s="169"/>
    </row>
    <row r="2038" spans="1:1">
      <c r="A2038" s="169"/>
    </row>
    <row r="2039" spans="1:1">
      <c r="A2039" s="169"/>
    </row>
    <row r="2040" spans="1:1">
      <c r="A2040" s="169"/>
    </row>
    <row r="2041" spans="1:1">
      <c r="A2041" s="169"/>
    </row>
    <row r="2042" spans="1:1">
      <c r="A2042" s="169"/>
    </row>
    <row r="2043" spans="1:1">
      <c r="A2043" s="169"/>
    </row>
    <row r="2044" spans="1:1">
      <c r="A2044" s="169"/>
    </row>
    <row r="2045" spans="1:1">
      <c r="A2045" s="169"/>
    </row>
    <row r="2046" spans="1:1">
      <c r="A2046" s="169"/>
    </row>
    <row r="2047" spans="1:1">
      <c r="A2047" s="169"/>
    </row>
    <row r="2048" spans="1:1">
      <c r="A2048" s="169"/>
    </row>
    <row r="2049" spans="1:1">
      <c r="A2049" s="169"/>
    </row>
    <row r="2050" spans="1:1">
      <c r="A2050" s="169"/>
    </row>
    <row r="2051" spans="1:1">
      <c r="A2051" s="169"/>
    </row>
    <row r="2052" spans="1:1">
      <c r="A2052" s="169"/>
    </row>
    <row r="2053" spans="1:1">
      <c r="A2053" s="169"/>
    </row>
    <row r="2054" spans="1:1">
      <c r="A2054" s="169"/>
    </row>
    <row r="2055" spans="1:1">
      <c r="A2055" s="169"/>
    </row>
    <row r="2056" spans="1:1">
      <c r="A2056" s="169"/>
    </row>
    <row r="2057" spans="1:1">
      <c r="A2057" s="169"/>
    </row>
    <row r="2058" spans="1:1">
      <c r="A2058" s="169"/>
    </row>
    <row r="2059" spans="1:1">
      <c r="A2059" s="169"/>
    </row>
    <row r="2060" spans="1:1">
      <c r="A2060" s="169"/>
    </row>
    <row r="2061" spans="1:1">
      <c r="A2061" s="169"/>
    </row>
    <row r="2062" spans="1:1">
      <c r="A2062" s="169"/>
    </row>
    <row r="2063" spans="1:1">
      <c r="A2063" s="169"/>
    </row>
    <row r="2064" spans="1:1">
      <c r="A2064" s="169"/>
    </row>
    <row r="2065" spans="1:1">
      <c r="A2065" s="169"/>
    </row>
    <row r="2066" spans="1:1">
      <c r="A2066" s="169"/>
    </row>
    <row r="2067" spans="1:1">
      <c r="A2067" s="169"/>
    </row>
    <row r="2068" spans="1:1">
      <c r="A2068" s="169"/>
    </row>
    <row r="2069" spans="1:1">
      <c r="A2069" s="169"/>
    </row>
    <row r="2070" spans="1:1">
      <c r="A2070" s="169"/>
    </row>
    <row r="2071" spans="1:1">
      <c r="A2071" s="169"/>
    </row>
    <row r="2072" spans="1:1">
      <c r="A2072" s="169"/>
    </row>
    <row r="2073" spans="1:1">
      <c r="A2073" s="169"/>
    </row>
    <row r="2074" spans="1:1">
      <c r="A2074" s="169"/>
    </row>
    <row r="2075" spans="1:1">
      <c r="A2075" s="169"/>
    </row>
    <row r="2076" spans="1:1">
      <c r="A2076" s="169"/>
    </row>
    <row r="2077" spans="1:1">
      <c r="A2077" s="169"/>
    </row>
    <row r="2078" spans="1:1">
      <c r="A2078" s="169"/>
    </row>
    <row r="2079" spans="1:1">
      <c r="A2079" s="169"/>
    </row>
    <row r="2080" spans="1:1">
      <c r="A2080" s="169"/>
    </row>
    <row r="2081" spans="1:1">
      <c r="A2081" s="169"/>
    </row>
    <row r="2082" spans="1:1">
      <c r="A2082" s="169"/>
    </row>
    <row r="2083" spans="1:1">
      <c r="A2083" s="169"/>
    </row>
    <row r="2084" spans="1:1">
      <c r="A2084" s="169"/>
    </row>
    <row r="2085" spans="1:1">
      <c r="A2085" s="169"/>
    </row>
    <row r="2086" spans="1:1">
      <c r="A2086" s="169"/>
    </row>
    <row r="2087" spans="1:1">
      <c r="A2087" s="169"/>
    </row>
    <row r="2088" spans="1:1">
      <c r="A2088" s="169"/>
    </row>
    <row r="2089" spans="1:1">
      <c r="A2089" s="169"/>
    </row>
    <row r="2090" spans="1:1">
      <c r="A2090" s="169"/>
    </row>
    <row r="2091" spans="1:1">
      <c r="A2091" s="169"/>
    </row>
    <row r="2092" spans="1:1">
      <c r="A2092" s="169"/>
    </row>
    <row r="2093" spans="1:1">
      <c r="A2093" s="169"/>
    </row>
    <row r="2094" spans="1:1">
      <c r="A2094" s="169"/>
    </row>
    <row r="2095" spans="1:1">
      <c r="A2095" s="169"/>
    </row>
    <row r="2096" spans="1:1">
      <c r="A2096" s="169"/>
    </row>
    <row r="2097" spans="1:1">
      <c r="A2097" s="169"/>
    </row>
    <row r="2098" spans="1:1">
      <c r="A2098" s="169"/>
    </row>
    <row r="2099" spans="1:1">
      <c r="A2099" s="169"/>
    </row>
    <row r="2100" spans="1:1">
      <c r="A2100" s="169"/>
    </row>
    <row r="2101" spans="1:1">
      <c r="A2101" s="169"/>
    </row>
    <row r="2102" spans="1:1">
      <c r="A2102" s="169"/>
    </row>
    <row r="2103" spans="1:1">
      <c r="A2103" s="169"/>
    </row>
    <row r="2104" spans="1:1">
      <c r="A2104" s="169"/>
    </row>
    <row r="2105" spans="1:1">
      <c r="A2105" s="169"/>
    </row>
    <row r="2106" spans="1:1">
      <c r="A2106" s="169"/>
    </row>
    <row r="2107" spans="1:1">
      <c r="A2107" s="169"/>
    </row>
    <row r="2108" spans="1:1">
      <c r="A2108" s="169"/>
    </row>
    <row r="2109" spans="1:1">
      <c r="A2109" s="169"/>
    </row>
    <row r="2110" spans="1:1">
      <c r="A2110" s="169"/>
    </row>
    <row r="2111" spans="1:1">
      <c r="A2111" s="169"/>
    </row>
    <row r="2112" spans="1:1">
      <c r="A2112" s="169"/>
    </row>
    <row r="2113" spans="1:1">
      <c r="A2113" s="169"/>
    </row>
    <row r="2114" spans="1:1">
      <c r="A2114" s="169"/>
    </row>
    <row r="2115" spans="1:1">
      <c r="A2115" s="169"/>
    </row>
    <row r="2116" spans="1:1">
      <c r="A2116" s="169"/>
    </row>
    <row r="2117" spans="1:1">
      <c r="A2117" s="169"/>
    </row>
    <row r="2118" spans="1:1">
      <c r="A2118" s="169"/>
    </row>
    <row r="2119" spans="1:1">
      <c r="A2119" s="169"/>
    </row>
    <row r="2120" spans="1:1">
      <c r="A2120" s="169"/>
    </row>
    <row r="2121" spans="1:1">
      <c r="A2121" s="169"/>
    </row>
    <row r="2122" spans="1:1">
      <c r="A2122" s="169"/>
    </row>
    <row r="2123" spans="1:1">
      <c r="A2123" s="169"/>
    </row>
    <row r="2124" spans="1:1">
      <c r="A2124" s="169"/>
    </row>
    <row r="2125" spans="1:1">
      <c r="A2125" s="169"/>
    </row>
    <row r="2126" spans="1:1">
      <c r="A2126" s="169"/>
    </row>
    <row r="2127" spans="1:1">
      <c r="A2127" s="169"/>
    </row>
    <row r="2128" spans="1:1">
      <c r="A2128" s="169"/>
    </row>
    <row r="2129" spans="1:1">
      <c r="A2129" s="169"/>
    </row>
    <row r="2130" spans="1:1">
      <c r="A2130" s="169"/>
    </row>
    <row r="2131" spans="1:1">
      <c r="A2131" s="169"/>
    </row>
    <row r="2132" spans="1:1">
      <c r="A2132" s="169"/>
    </row>
    <row r="2133" spans="1:1">
      <c r="A2133" s="169"/>
    </row>
    <row r="2134" spans="1:1">
      <c r="A2134" s="169"/>
    </row>
    <row r="2135" spans="1:1">
      <c r="A2135" s="169"/>
    </row>
    <row r="2136" spans="1:1">
      <c r="A2136" s="169"/>
    </row>
    <row r="2137" spans="1:1">
      <c r="A2137" s="169"/>
    </row>
    <row r="2138" spans="1:1">
      <c r="A2138" s="169"/>
    </row>
    <row r="2139" spans="1:1">
      <c r="A2139" s="169"/>
    </row>
    <row r="2140" spans="1:1">
      <c r="A2140" s="169"/>
    </row>
    <row r="2141" spans="1:1">
      <c r="A2141" s="169"/>
    </row>
    <row r="2142" spans="1:1">
      <c r="A2142" s="169"/>
    </row>
    <row r="2143" spans="1:1">
      <c r="A2143" s="169"/>
    </row>
    <row r="2144" spans="1:1">
      <c r="A2144" s="169"/>
    </row>
    <row r="2145" spans="1:1">
      <c r="A2145" s="169"/>
    </row>
    <row r="2146" spans="1:1">
      <c r="A2146" s="169"/>
    </row>
    <row r="2147" spans="1:1">
      <c r="A2147" s="169"/>
    </row>
    <row r="2148" spans="1:1">
      <c r="A2148" s="169"/>
    </row>
    <row r="2149" spans="1:1">
      <c r="A2149" s="169"/>
    </row>
    <row r="2150" spans="1:1">
      <c r="A2150" s="169"/>
    </row>
    <row r="2151" spans="1:1">
      <c r="A2151" s="169"/>
    </row>
    <row r="2152" spans="1:1">
      <c r="A2152" s="169"/>
    </row>
    <row r="2153" spans="1:1">
      <c r="A2153" s="169"/>
    </row>
    <row r="2154" spans="1:1">
      <c r="A2154" s="169"/>
    </row>
    <row r="2155" spans="1:1">
      <c r="A2155" s="169"/>
    </row>
    <row r="2156" spans="1:1">
      <c r="A2156" s="169"/>
    </row>
    <row r="2157" spans="1:1">
      <c r="A2157" s="169"/>
    </row>
    <row r="2158" spans="1:1">
      <c r="A2158" s="169"/>
    </row>
    <row r="2159" spans="1:1">
      <c r="A2159" s="169"/>
    </row>
    <row r="2160" spans="1:1">
      <c r="A2160" s="169"/>
    </row>
    <row r="2161" spans="1:1">
      <c r="A2161" s="169"/>
    </row>
    <row r="2162" spans="1:1">
      <c r="A2162" s="169"/>
    </row>
    <row r="2163" spans="1:1">
      <c r="A2163" s="169"/>
    </row>
    <row r="2164" spans="1:1">
      <c r="A2164" s="169"/>
    </row>
    <row r="2165" spans="1:1">
      <c r="A2165" s="169"/>
    </row>
    <row r="2166" spans="1:1">
      <c r="A2166" s="169"/>
    </row>
    <row r="2167" spans="1:1">
      <c r="A2167" s="169"/>
    </row>
    <row r="2168" spans="1:1">
      <c r="A2168" s="169"/>
    </row>
    <row r="2169" spans="1:1">
      <c r="A2169" s="169"/>
    </row>
    <row r="2170" spans="1:1">
      <c r="A2170" s="169"/>
    </row>
    <row r="2171" spans="1:1">
      <c r="A2171" s="169"/>
    </row>
    <row r="2172" spans="1:1">
      <c r="A2172" s="169"/>
    </row>
    <row r="2173" spans="1:1">
      <c r="A2173" s="169"/>
    </row>
    <row r="2174" spans="1:1">
      <c r="A2174" s="169"/>
    </row>
    <row r="2175" spans="1:1">
      <c r="A2175" s="169"/>
    </row>
    <row r="2176" spans="1:1">
      <c r="A2176" s="169"/>
    </row>
    <row r="2177" spans="1:1">
      <c r="A2177" s="169"/>
    </row>
    <row r="2178" spans="1:1">
      <c r="A2178" s="169"/>
    </row>
    <row r="2179" spans="1:1">
      <c r="A2179" s="169"/>
    </row>
    <row r="2180" spans="1:1">
      <c r="A2180" s="169"/>
    </row>
    <row r="2181" spans="1:1">
      <c r="A2181" s="169"/>
    </row>
    <row r="2182" spans="1:1">
      <c r="A2182" s="169"/>
    </row>
    <row r="2183" spans="1:1">
      <c r="A2183" s="169"/>
    </row>
    <row r="2184" spans="1:1">
      <c r="A2184" s="169"/>
    </row>
    <row r="2185" spans="1:1">
      <c r="A2185" s="169"/>
    </row>
    <row r="2186" spans="1:1">
      <c r="A2186" s="169"/>
    </row>
    <row r="2187" spans="1:1">
      <c r="A2187" s="169"/>
    </row>
    <row r="2188" spans="1:1">
      <c r="A2188" s="169"/>
    </row>
    <row r="2189" spans="1:1">
      <c r="A2189" s="169"/>
    </row>
    <row r="2190" spans="1:1">
      <c r="A2190" s="169"/>
    </row>
    <row r="2191" spans="1:1">
      <c r="A2191" s="169"/>
    </row>
    <row r="2192" spans="1:1">
      <c r="A2192" s="169"/>
    </row>
    <row r="2193" spans="1:1">
      <c r="A2193" s="169"/>
    </row>
    <row r="2194" spans="1:1">
      <c r="A2194" s="169"/>
    </row>
    <row r="2195" spans="1:1">
      <c r="A2195" s="169"/>
    </row>
    <row r="2196" spans="1:1">
      <c r="A2196" s="169"/>
    </row>
    <row r="2197" spans="1:1">
      <c r="A2197" s="169"/>
    </row>
    <row r="2198" spans="1:1">
      <c r="A2198" s="169"/>
    </row>
    <row r="2199" spans="1:1">
      <c r="A2199" s="169"/>
    </row>
    <row r="2200" spans="1:1">
      <c r="A2200" s="169"/>
    </row>
    <row r="2201" spans="1:1">
      <c r="A2201" s="169"/>
    </row>
    <row r="2202" spans="1:1">
      <c r="A2202" s="169"/>
    </row>
    <row r="2203" spans="1:1">
      <c r="A2203" s="169"/>
    </row>
    <row r="2204" spans="1:1">
      <c r="A2204" s="169"/>
    </row>
    <row r="2205" spans="1:1">
      <c r="A2205" s="169"/>
    </row>
    <row r="2206" spans="1:1">
      <c r="A2206" s="169"/>
    </row>
    <row r="2207" spans="1:1">
      <c r="A2207" s="169"/>
    </row>
    <row r="2208" spans="1:1">
      <c r="A2208" s="169"/>
    </row>
    <row r="2209" spans="1:1">
      <c r="A2209" s="169"/>
    </row>
    <row r="2210" spans="1:1">
      <c r="A2210" s="169"/>
    </row>
    <row r="2211" spans="1:1">
      <c r="A2211" s="169"/>
    </row>
    <row r="2212" spans="1:1">
      <c r="A2212" s="169"/>
    </row>
    <row r="2213" spans="1:1">
      <c r="A2213" s="169"/>
    </row>
    <row r="2214" spans="1:1">
      <c r="A2214" s="169"/>
    </row>
    <row r="2215" spans="1:1">
      <c r="A2215" s="169"/>
    </row>
    <row r="2216" spans="1:1">
      <c r="A2216" s="169"/>
    </row>
    <row r="2217" spans="1:1">
      <c r="A2217" s="169"/>
    </row>
    <row r="2218" spans="1:1">
      <c r="A2218" s="169"/>
    </row>
    <row r="2219" spans="1:1">
      <c r="A2219" s="169"/>
    </row>
    <row r="2220" spans="1:1">
      <c r="A2220" s="169"/>
    </row>
    <row r="2221" spans="1:1">
      <c r="A2221" s="169"/>
    </row>
    <row r="2222" spans="1:1">
      <c r="A2222" s="169"/>
    </row>
    <row r="2223" spans="1:1">
      <c r="A2223" s="169"/>
    </row>
    <row r="2224" spans="1:1">
      <c r="A2224" s="169"/>
    </row>
    <row r="2225" spans="1:1">
      <c r="A2225" s="169"/>
    </row>
    <row r="2226" spans="1:1">
      <c r="A2226" s="169"/>
    </row>
    <row r="2227" spans="1:1">
      <c r="A2227" s="169"/>
    </row>
    <row r="2228" spans="1:1">
      <c r="A2228" s="169"/>
    </row>
    <row r="2229" spans="1:1">
      <c r="A2229" s="169"/>
    </row>
    <row r="2230" spans="1:1">
      <c r="A2230" s="169"/>
    </row>
    <row r="2231" spans="1:1">
      <c r="A2231" s="169"/>
    </row>
    <row r="2232" spans="1:1">
      <c r="A2232" s="169"/>
    </row>
    <row r="2233" spans="1:1">
      <c r="A2233" s="169"/>
    </row>
    <row r="2234" spans="1:1">
      <c r="A2234" s="169"/>
    </row>
    <row r="2235" spans="1:1">
      <c r="A2235" s="169"/>
    </row>
    <row r="2236" spans="1:1">
      <c r="A2236" s="169"/>
    </row>
    <row r="2237" spans="1:1">
      <c r="A2237" s="169"/>
    </row>
    <row r="2238" spans="1:1">
      <c r="A2238" s="169"/>
    </row>
    <row r="2239" spans="1:1">
      <c r="A2239" s="169"/>
    </row>
    <row r="2240" spans="1:1">
      <c r="A2240" s="169"/>
    </row>
    <row r="2241" spans="1:1">
      <c r="A2241" s="169"/>
    </row>
    <row r="2242" spans="1:1">
      <c r="A2242" s="169"/>
    </row>
    <row r="2243" spans="1:1">
      <c r="A2243" s="169"/>
    </row>
    <row r="2244" spans="1:1">
      <c r="A2244" s="169"/>
    </row>
    <row r="2245" spans="1:1">
      <c r="A2245" s="169"/>
    </row>
    <row r="2246" spans="1:1">
      <c r="A2246" s="169"/>
    </row>
    <row r="2247" spans="1:1">
      <c r="A2247" s="169"/>
    </row>
    <row r="2248" spans="1:1">
      <c r="A2248" s="169"/>
    </row>
    <row r="2249" spans="1:1">
      <c r="A2249" s="169"/>
    </row>
    <row r="2250" spans="1:1">
      <c r="A2250" s="169"/>
    </row>
    <row r="2251" spans="1:1">
      <c r="A2251" s="169"/>
    </row>
    <row r="2252" spans="1:1">
      <c r="A2252" s="169"/>
    </row>
    <row r="2253" spans="1:1">
      <c r="A2253" s="169"/>
    </row>
    <row r="2254" spans="1:1">
      <c r="A2254" s="169"/>
    </row>
    <row r="2255" spans="1:1">
      <c r="A2255" s="169"/>
    </row>
    <row r="2256" spans="1:1">
      <c r="A2256" s="169"/>
    </row>
    <row r="2257" spans="1:1">
      <c r="A2257" s="169"/>
    </row>
    <row r="2258" spans="1:1">
      <c r="A2258" s="169"/>
    </row>
    <row r="2259" spans="1:1">
      <c r="A2259" s="169"/>
    </row>
    <row r="2260" spans="1:1">
      <c r="A2260" s="169"/>
    </row>
    <row r="2261" spans="1:1">
      <c r="A2261" s="169"/>
    </row>
    <row r="2262" spans="1:1">
      <c r="A2262" s="169"/>
    </row>
    <row r="2263" spans="1:1">
      <c r="A2263" s="169"/>
    </row>
    <row r="2264" spans="1:1">
      <c r="A2264" s="169"/>
    </row>
    <row r="2265" spans="1:1">
      <c r="A2265" s="169"/>
    </row>
    <row r="2266" spans="1:1">
      <c r="A2266" s="169"/>
    </row>
    <row r="2267" spans="1:1">
      <c r="A2267" s="169"/>
    </row>
    <row r="2268" spans="1:1">
      <c r="A2268" s="169"/>
    </row>
    <row r="2269" spans="1:1">
      <c r="A2269" s="169"/>
    </row>
    <row r="2270" spans="1:1">
      <c r="A2270" s="169"/>
    </row>
    <row r="2271" spans="1:1">
      <c r="A2271" s="169"/>
    </row>
    <row r="2272" spans="1:1">
      <c r="A2272" s="169"/>
    </row>
    <row r="2273" spans="1:1">
      <c r="A2273" s="169"/>
    </row>
    <row r="2274" spans="1:1">
      <c r="A2274" s="169"/>
    </row>
    <row r="2275" spans="1:1">
      <c r="A2275" s="169"/>
    </row>
    <row r="2276" spans="1:1">
      <c r="A2276" s="169"/>
    </row>
    <row r="2277" spans="1:1">
      <c r="A2277" s="169"/>
    </row>
    <row r="2278" spans="1:1">
      <c r="A2278" s="169"/>
    </row>
    <row r="2279" spans="1:1">
      <c r="A2279" s="169"/>
    </row>
    <row r="2280" spans="1:1">
      <c r="A2280" s="169"/>
    </row>
    <row r="2281" spans="1:1">
      <c r="A2281" s="169"/>
    </row>
    <row r="2282" spans="1:1">
      <c r="A2282" s="169"/>
    </row>
    <row r="2283" spans="1:1">
      <c r="A2283" s="169"/>
    </row>
    <row r="2284" spans="1:1">
      <c r="A2284" s="169"/>
    </row>
    <row r="2285" spans="1:1">
      <c r="A2285" s="169"/>
    </row>
    <row r="2286" spans="1:1">
      <c r="A2286" s="169"/>
    </row>
    <row r="2287" spans="1:1">
      <c r="A2287" s="169"/>
    </row>
    <row r="2288" spans="1:1">
      <c r="A2288" s="169"/>
    </row>
    <row r="2289" spans="1:1">
      <c r="A2289" s="169"/>
    </row>
    <row r="2290" spans="1:1">
      <c r="A2290" s="169"/>
    </row>
    <row r="2291" spans="1:1">
      <c r="A2291" s="169"/>
    </row>
    <row r="2292" spans="1:1">
      <c r="A2292" s="169"/>
    </row>
    <row r="2293" spans="1:1">
      <c r="A2293" s="169"/>
    </row>
    <row r="2294" spans="1:1">
      <c r="A2294" s="169"/>
    </row>
    <row r="2295" spans="1:1">
      <c r="A2295" s="169"/>
    </row>
    <row r="2296" spans="1:1">
      <c r="A2296" s="169"/>
    </row>
    <row r="2297" spans="1:1">
      <c r="A2297" s="169"/>
    </row>
    <row r="2298" spans="1:1">
      <c r="A2298" s="169"/>
    </row>
    <row r="2299" spans="1:1">
      <c r="A2299" s="169"/>
    </row>
    <row r="2300" spans="1:1">
      <c r="A2300" s="169"/>
    </row>
    <row r="2301" spans="1:1">
      <c r="A2301" s="169"/>
    </row>
    <row r="2302" spans="1:1">
      <c r="A2302" s="169"/>
    </row>
    <row r="2303" spans="1:1">
      <c r="A2303" s="169"/>
    </row>
    <row r="2304" spans="1:1">
      <c r="A2304" s="169"/>
    </row>
    <row r="2305" spans="1:1">
      <c r="A2305" s="169"/>
    </row>
    <row r="2306" spans="1:1">
      <c r="A2306" s="169"/>
    </row>
    <row r="2307" spans="1:1">
      <c r="A2307" s="169"/>
    </row>
    <row r="2308" spans="1:1">
      <c r="A2308" s="169"/>
    </row>
    <row r="2309" spans="1:1">
      <c r="A2309" s="169"/>
    </row>
    <row r="2310" spans="1:1">
      <c r="A2310" s="169"/>
    </row>
    <row r="2311" spans="1:1">
      <c r="A2311" s="169"/>
    </row>
    <row r="2312" spans="1:1">
      <c r="A2312" s="169"/>
    </row>
    <row r="2313" spans="1:1">
      <c r="A2313" s="169"/>
    </row>
    <row r="2314" spans="1:1">
      <c r="A2314" s="169"/>
    </row>
    <row r="2315" spans="1:1">
      <c r="A2315" s="169"/>
    </row>
    <row r="2316" spans="1:1">
      <c r="A2316" s="169"/>
    </row>
    <row r="2317" spans="1:1">
      <c r="A2317" s="169"/>
    </row>
    <row r="2318" spans="1:1">
      <c r="A2318" s="169"/>
    </row>
    <row r="2319" spans="1:1">
      <c r="A2319" s="169"/>
    </row>
    <row r="2320" spans="1:1">
      <c r="A2320" s="169"/>
    </row>
    <row r="2321" spans="1:1">
      <c r="A2321" s="169"/>
    </row>
    <row r="2322" spans="1:1">
      <c r="A2322" s="169"/>
    </row>
    <row r="2323" spans="1:1">
      <c r="A2323" s="169"/>
    </row>
    <row r="2324" spans="1:1">
      <c r="A2324" s="169"/>
    </row>
    <row r="2325" spans="1:1">
      <c r="A2325" s="169"/>
    </row>
    <row r="2326" spans="1:1">
      <c r="A2326" s="169"/>
    </row>
    <row r="2327" spans="1:1">
      <c r="A2327" s="169"/>
    </row>
    <row r="2328" spans="1:1">
      <c r="A2328" s="169"/>
    </row>
    <row r="2329" spans="1:1">
      <c r="A2329" s="169"/>
    </row>
    <row r="2330" spans="1:1">
      <c r="A2330" s="169"/>
    </row>
    <row r="2331" spans="1:1">
      <c r="A2331" s="169"/>
    </row>
    <row r="2332" spans="1:1">
      <c r="A2332" s="169"/>
    </row>
    <row r="2333" spans="1:1">
      <c r="A2333" s="169"/>
    </row>
    <row r="2334" spans="1:1">
      <c r="A2334" s="169"/>
    </row>
    <row r="2335" spans="1:1">
      <c r="A2335" s="169"/>
    </row>
    <row r="2336" spans="1:1">
      <c r="A2336" s="169"/>
    </row>
    <row r="2337" spans="1:1">
      <c r="A2337" s="169"/>
    </row>
    <row r="2338" spans="1:1">
      <c r="A2338" s="169"/>
    </row>
    <row r="2339" spans="1:1">
      <c r="A2339" s="169"/>
    </row>
    <row r="2340" spans="1:1">
      <c r="A2340" s="169"/>
    </row>
    <row r="2341" spans="1:1">
      <c r="A2341" s="169"/>
    </row>
    <row r="2342" spans="1:1">
      <c r="A2342" s="169"/>
    </row>
    <row r="2343" spans="1:1">
      <c r="A2343" s="169"/>
    </row>
    <row r="2344" spans="1:1">
      <c r="A2344" s="169"/>
    </row>
    <row r="2345" spans="1:1">
      <c r="A2345" s="169"/>
    </row>
    <row r="2346" spans="1:1">
      <c r="A2346" s="169"/>
    </row>
    <row r="2347" spans="1:1">
      <c r="A2347" s="169"/>
    </row>
    <row r="2348" spans="1:1">
      <c r="A2348" s="169"/>
    </row>
    <row r="2349" spans="1:1">
      <c r="A2349" s="169"/>
    </row>
    <row r="2350" spans="1:1">
      <c r="A2350" s="169"/>
    </row>
    <row r="2351" spans="1:1">
      <c r="A2351" s="169"/>
    </row>
    <row r="2352" spans="1:1">
      <c r="A2352" s="169"/>
    </row>
    <row r="2353" spans="1:1">
      <c r="A2353" s="169"/>
    </row>
    <row r="2354" spans="1:1">
      <c r="A2354" s="169"/>
    </row>
    <row r="2355" spans="1:1">
      <c r="A2355" s="169"/>
    </row>
    <row r="2356" spans="1:1">
      <c r="A2356" s="169"/>
    </row>
    <row r="2357" spans="1:1">
      <c r="A2357" s="169"/>
    </row>
    <row r="2358" spans="1:1">
      <c r="A2358" s="169"/>
    </row>
    <row r="2359" spans="1:1">
      <c r="A2359" s="169"/>
    </row>
    <row r="2360" spans="1:1">
      <c r="A2360" s="169"/>
    </row>
    <row r="2361" spans="1:1">
      <c r="A2361" s="169"/>
    </row>
    <row r="2362" spans="1:1">
      <c r="A2362" s="169"/>
    </row>
    <row r="2363" spans="1:1">
      <c r="A2363" s="169"/>
    </row>
    <row r="2364" spans="1:1">
      <c r="A2364" s="169"/>
    </row>
    <row r="2365" spans="1:1">
      <c r="A2365" s="169"/>
    </row>
    <row r="2366" spans="1:1">
      <c r="A2366" s="169"/>
    </row>
    <row r="2367" spans="1:1">
      <c r="A2367" s="169"/>
    </row>
    <row r="2368" spans="1:1">
      <c r="A2368" s="169"/>
    </row>
    <row r="2369" spans="1:1">
      <c r="A2369" s="169"/>
    </row>
    <row r="2370" spans="1:1">
      <c r="A2370" s="169"/>
    </row>
    <row r="2371" spans="1:1">
      <c r="A2371" s="169"/>
    </row>
    <row r="2372" spans="1:1">
      <c r="A2372" s="169"/>
    </row>
    <row r="2373" spans="1:1">
      <c r="A2373" s="169"/>
    </row>
    <row r="2374" spans="1:1">
      <c r="A2374" s="169"/>
    </row>
    <row r="2375" spans="1:1">
      <c r="A2375" s="169"/>
    </row>
    <row r="2376" spans="1:1">
      <c r="A2376" s="169"/>
    </row>
    <row r="2377" spans="1:1">
      <c r="A2377" s="169"/>
    </row>
    <row r="2378" spans="1:1">
      <c r="A2378" s="169"/>
    </row>
    <row r="2379" spans="1:1">
      <c r="A2379" s="169"/>
    </row>
    <row r="2380" spans="1:1">
      <c r="A2380" s="169"/>
    </row>
    <row r="2381" spans="1:1">
      <c r="A2381" s="169"/>
    </row>
    <row r="2382" spans="1:1">
      <c r="A2382" s="169"/>
    </row>
    <row r="2383" spans="1:1">
      <c r="A2383" s="169"/>
    </row>
    <row r="2384" spans="1:1">
      <c r="A2384" s="169"/>
    </row>
    <row r="2385" spans="1:1">
      <c r="A2385" s="169"/>
    </row>
    <row r="2386" spans="1:1">
      <c r="A2386" s="169"/>
    </row>
    <row r="2387" spans="1:1">
      <c r="A2387" s="169"/>
    </row>
    <row r="2388" spans="1:1">
      <c r="A2388" s="169"/>
    </row>
    <row r="2389" spans="1:1">
      <c r="A2389" s="169"/>
    </row>
    <row r="2390" spans="1:1">
      <c r="A2390" s="169"/>
    </row>
    <row r="2391" spans="1:1">
      <c r="A2391" s="169"/>
    </row>
    <row r="2392" spans="1:1">
      <c r="A2392" s="169"/>
    </row>
    <row r="2393" spans="1:1">
      <c r="A2393" s="169"/>
    </row>
    <row r="2394" spans="1:1">
      <c r="A2394" s="169"/>
    </row>
    <row r="2395" spans="1:1">
      <c r="A2395" s="169"/>
    </row>
    <row r="2396" spans="1:1">
      <c r="A2396" s="169"/>
    </row>
    <row r="2397" spans="1:1">
      <c r="A2397" s="169"/>
    </row>
    <row r="2398" spans="1:1">
      <c r="A2398" s="169"/>
    </row>
    <row r="2399" spans="1:1">
      <c r="A2399" s="169"/>
    </row>
    <row r="2400" spans="1:1">
      <c r="A2400" s="169"/>
    </row>
    <row r="2401" spans="1:1">
      <c r="A2401" s="169"/>
    </row>
    <row r="2402" spans="1:1">
      <c r="A2402" s="169"/>
    </row>
    <row r="2403" spans="1:1">
      <c r="A2403" s="169"/>
    </row>
    <row r="2404" spans="1:1">
      <c r="A2404" s="169"/>
    </row>
    <row r="2405" spans="1:1">
      <c r="A2405" s="169"/>
    </row>
    <row r="2406" spans="1:1">
      <c r="A2406" s="169"/>
    </row>
    <row r="2407" spans="1:1">
      <c r="A2407" s="169"/>
    </row>
    <row r="2408" spans="1:1">
      <c r="A2408" s="169"/>
    </row>
    <row r="2409" spans="1:1">
      <c r="A2409" s="169"/>
    </row>
    <row r="2410" spans="1:1">
      <c r="A2410" s="169"/>
    </row>
    <row r="2411" spans="1:1">
      <c r="A2411" s="169"/>
    </row>
    <row r="2412" spans="1:1">
      <c r="A2412" s="169"/>
    </row>
    <row r="2413" spans="1:1">
      <c r="A2413" s="169"/>
    </row>
    <row r="2414" spans="1:1">
      <c r="A2414" s="169"/>
    </row>
    <row r="2415" spans="1:1">
      <c r="A2415" s="169"/>
    </row>
    <row r="2416" spans="1:1">
      <c r="A2416" s="169"/>
    </row>
    <row r="2417" spans="1:1">
      <c r="A2417" s="169"/>
    </row>
    <row r="2418" spans="1:1">
      <c r="A2418" s="169"/>
    </row>
    <row r="2419" spans="1:1">
      <c r="A2419" s="169"/>
    </row>
    <row r="2420" spans="1:1">
      <c r="A2420" s="169"/>
    </row>
    <row r="2421" spans="1:1">
      <c r="A2421" s="169"/>
    </row>
    <row r="2422" spans="1:1">
      <c r="A2422" s="169"/>
    </row>
    <row r="2423" spans="1:1">
      <c r="A2423" s="169"/>
    </row>
    <row r="2424" spans="1:1">
      <c r="A2424" s="169"/>
    </row>
    <row r="2425" spans="1:1">
      <c r="A2425" s="169"/>
    </row>
    <row r="2426" spans="1:1">
      <c r="A2426" s="169"/>
    </row>
    <row r="2427" spans="1:1">
      <c r="A2427" s="169"/>
    </row>
    <row r="2428" spans="1:1">
      <c r="A2428" s="169"/>
    </row>
    <row r="2429" spans="1:1">
      <c r="A2429" s="169"/>
    </row>
    <row r="2430" spans="1:1">
      <c r="A2430" s="169"/>
    </row>
    <row r="2431" spans="1:1">
      <c r="A2431" s="169"/>
    </row>
    <row r="2432" spans="1:1">
      <c r="A2432" s="169"/>
    </row>
    <row r="2433" spans="1:1">
      <c r="A2433" s="169"/>
    </row>
    <row r="2434" spans="1:1">
      <c r="A2434" s="169"/>
    </row>
    <row r="2435" spans="1:1">
      <c r="A2435" s="169"/>
    </row>
    <row r="2436" spans="1:1">
      <c r="A2436" s="169"/>
    </row>
    <row r="2437" spans="1:1">
      <c r="A2437" s="169"/>
    </row>
    <row r="2438" spans="1:1">
      <c r="A2438" s="169"/>
    </row>
    <row r="2439" spans="1:1">
      <c r="A2439" s="169"/>
    </row>
    <row r="2440" spans="1:1">
      <c r="A2440" s="169"/>
    </row>
    <row r="2441" spans="1:1">
      <c r="A2441" s="169"/>
    </row>
    <row r="2442" spans="1:1">
      <c r="A2442" s="169"/>
    </row>
    <row r="2443" spans="1:1">
      <c r="A2443" s="169"/>
    </row>
    <row r="2444" spans="1:1">
      <c r="A2444" s="169"/>
    </row>
    <row r="2445" spans="1:1">
      <c r="A2445" s="169"/>
    </row>
    <row r="2446" spans="1:1">
      <c r="A2446" s="169"/>
    </row>
    <row r="2447" spans="1:1">
      <c r="A2447" s="169"/>
    </row>
    <row r="2448" spans="1:1">
      <c r="A2448" s="169"/>
    </row>
    <row r="2449" spans="1:1">
      <c r="A2449" s="169"/>
    </row>
    <row r="2450" spans="1:1">
      <c r="A2450" s="169"/>
    </row>
    <row r="2451" spans="1:1">
      <c r="A2451" s="169"/>
    </row>
    <row r="2452" spans="1:1">
      <c r="A2452" s="169"/>
    </row>
    <row r="2453" spans="1:1">
      <c r="A2453" s="169"/>
    </row>
    <row r="2454" spans="1:1">
      <c r="A2454" s="169"/>
    </row>
    <row r="2455" spans="1:1">
      <c r="A2455" s="169"/>
    </row>
    <row r="2456" spans="1:1">
      <c r="A2456" s="169"/>
    </row>
    <row r="2457" spans="1:1">
      <c r="A2457" s="169"/>
    </row>
    <row r="2458" spans="1:1">
      <c r="A2458" s="169"/>
    </row>
    <row r="2459" spans="1:1">
      <c r="A2459" s="169"/>
    </row>
    <row r="2460" spans="1:1">
      <c r="A2460" s="169"/>
    </row>
    <row r="2461" spans="1:1">
      <c r="A2461" s="169"/>
    </row>
    <row r="2462" spans="1:1">
      <c r="A2462" s="169"/>
    </row>
    <row r="2463" spans="1:1">
      <c r="A2463" s="169"/>
    </row>
    <row r="2464" spans="1:1">
      <c r="A2464" s="169"/>
    </row>
    <row r="2465" spans="1:1">
      <c r="A2465" s="169"/>
    </row>
    <row r="2466" spans="1:1">
      <c r="A2466" s="169"/>
    </row>
    <row r="2467" spans="1:1">
      <c r="A2467" s="169"/>
    </row>
    <row r="2468" spans="1:1">
      <c r="A2468" s="169"/>
    </row>
    <row r="2469" spans="1:1">
      <c r="A2469" s="169"/>
    </row>
    <row r="2470" spans="1:1">
      <c r="A2470" s="169"/>
    </row>
    <row r="2471" spans="1:1">
      <c r="A2471" s="169"/>
    </row>
    <row r="2472" spans="1:1">
      <c r="A2472" s="169"/>
    </row>
    <row r="2473" spans="1:1">
      <c r="A2473" s="169"/>
    </row>
    <row r="2474" spans="1:1">
      <c r="A2474" s="169"/>
    </row>
    <row r="2475" spans="1:1">
      <c r="A2475" s="169"/>
    </row>
    <row r="2476" spans="1:1">
      <c r="A2476" s="169"/>
    </row>
    <row r="2477" spans="1:1">
      <c r="A2477" s="169"/>
    </row>
    <row r="2478" spans="1:1">
      <c r="A2478" s="169"/>
    </row>
    <row r="2479" spans="1:1">
      <c r="A2479" s="169"/>
    </row>
    <row r="2480" spans="1:1">
      <c r="A2480" s="169"/>
    </row>
    <row r="2481" spans="1:1">
      <c r="A2481" s="169"/>
    </row>
    <row r="2482" spans="1:1">
      <c r="A2482" s="169"/>
    </row>
    <row r="2483" spans="1:1">
      <c r="A2483" s="169"/>
    </row>
    <row r="2484" spans="1:1">
      <c r="A2484" s="169"/>
    </row>
    <row r="2485" spans="1:1">
      <c r="A2485" s="169"/>
    </row>
    <row r="2486" spans="1:1">
      <c r="A2486" s="169"/>
    </row>
    <row r="2487" spans="1:1">
      <c r="A2487" s="169"/>
    </row>
    <row r="2488" spans="1:1">
      <c r="A2488" s="169"/>
    </row>
    <row r="2489" spans="1:1">
      <c r="A2489" s="169"/>
    </row>
    <row r="2490" spans="1:1">
      <c r="A2490" s="169"/>
    </row>
    <row r="2491" spans="1:1">
      <c r="A2491" s="169"/>
    </row>
    <row r="2492" spans="1:1">
      <c r="A2492" s="169"/>
    </row>
    <row r="2493" spans="1:1">
      <c r="A2493" s="169"/>
    </row>
    <row r="2494" spans="1:1">
      <c r="A2494" s="169"/>
    </row>
    <row r="2495" spans="1:1">
      <c r="A2495" s="169"/>
    </row>
    <row r="2496" spans="1:1">
      <c r="A2496" s="169"/>
    </row>
    <row r="2497" spans="1:1">
      <c r="A2497" s="169"/>
    </row>
    <row r="2498" spans="1:1">
      <c r="A2498" s="169"/>
    </row>
    <row r="2499" spans="1:1">
      <c r="A2499" s="169"/>
    </row>
    <row r="2500" spans="1:1">
      <c r="A2500" s="169"/>
    </row>
    <row r="2501" spans="1:1">
      <c r="A2501" s="169"/>
    </row>
    <row r="2502" spans="1:1">
      <c r="A2502" s="169"/>
    </row>
    <row r="2503" spans="1:1">
      <c r="A2503" s="169"/>
    </row>
    <row r="2504" spans="1:1">
      <c r="A2504" s="169"/>
    </row>
    <row r="2505" spans="1:1">
      <c r="A2505" s="169"/>
    </row>
    <row r="2506" spans="1:1">
      <c r="A2506" s="169"/>
    </row>
    <row r="2507" spans="1:1">
      <c r="A2507" s="169"/>
    </row>
    <row r="2508" spans="1:1">
      <c r="A2508" s="169"/>
    </row>
    <row r="2509" spans="1:1">
      <c r="A2509" s="169"/>
    </row>
    <row r="2510" spans="1:1">
      <c r="A2510" s="169"/>
    </row>
    <row r="2511" spans="1:1">
      <c r="A2511" s="169"/>
    </row>
    <row r="2512" spans="1:1">
      <c r="A2512" s="169"/>
    </row>
    <row r="2513" spans="1:1">
      <c r="A2513" s="169"/>
    </row>
    <row r="2514" spans="1:1">
      <c r="A2514" s="169"/>
    </row>
    <row r="2515" spans="1:1">
      <c r="A2515" s="169"/>
    </row>
    <row r="2516" spans="1:1">
      <c r="A2516" s="169"/>
    </row>
    <row r="2517" spans="1:1">
      <c r="A2517" s="169"/>
    </row>
    <row r="2518" spans="1:1">
      <c r="A2518" s="169"/>
    </row>
    <row r="2519" spans="1:1">
      <c r="A2519" s="169"/>
    </row>
    <row r="2520" spans="1:1">
      <c r="A2520" s="169"/>
    </row>
    <row r="2521" spans="1:1">
      <c r="A2521" s="169"/>
    </row>
    <row r="2522" spans="1:1">
      <c r="A2522" s="169"/>
    </row>
    <row r="2523" spans="1:1">
      <c r="A2523" s="169"/>
    </row>
    <row r="2524" spans="1:1">
      <c r="A2524" s="169"/>
    </row>
    <row r="2525" spans="1:1">
      <c r="A2525" s="169"/>
    </row>
    <row r="2526" spans="1:1">
      <c r="A2526" s="169"/>
    </row>
    <row r="2527" spans="1:1">
      <c r="A2527" s="169"/>
    </row>
    <row r="2528" spans="1:1">
      <c r="A2528" s="169"/>
    </row>
    <row r="2529" spans="1:1">
      <c r="A2529" s="169"/>
    </row>
    <row r="2530" spans="1:1">
      <c r="A2530" s="169"/>
    </row>
    <row r="2531" spans="1:1">
      <c r="A2531" s="169"/>
    </row>
    <row r="2532" spans="1:1">
      <c r="A2532" s="169"/>
    </row>
    <row r="2533" spans="1:1">
      <c r="A2533" s="169"/>
    </row>
    <row r="2534" spans="1:1">
      <c r="A2534" s="169"/>
    </row>
    <row r="2535" spans="1:1">
      <c r="A2535" s="169"/>
    </row>
    <row r="2536" spans="1:1">
      <c r="A2536" s="169"/>
    </row>
    <row r="2537" spans="1:1">
      <c r="A2537" s="169"/>
    </row>
    <row r="2538" spans="1:1">
      <c r="A2538" s="169"/>
    </row>
    <row r="2539" spans="1:1">
      <c r="A2539" s="169"/>
    </row>
    <row r="2540" spans="1:1">
      <c r="A2540" s="169"/>
    </row>
    <row r="2541" spans="1:1">
      <c r="A2541" s="169"/>
    </row>
    <row r="2542" spans="1:1">
      <c r="A2542" s="169"/>
    </row>
    <row r="2543" spans="1:1">
      <c r="A2543" s="169"/>
    </row>
    <row r="2544" spans="1:1">
      <c r="A2544" s="169"/>
    </row>
    <row r="2545" spans="1:1">
      <c r="A2545" s="169"/>
    </row>
    <row r="2546" spans="1:1">
      <c r="A2546" s="169"/>
    </row>
    <row r="2547" spans="1:1">
      <c r="A2547" s="169"/>
    </row>
    <row r="2548" spans="1:1">
      <c r="A2548" s="169"/>
    </row>
    <row r="2549" spans="1:1">
      <c r="A2549" s="169"/>
    </row>
    <row r="2550" spans="1:1">
      <c r="A2550" s="169"/>
    </row>
    <row r="2551" spans="1:1">
      <c r="A2551" s="169"/>
    </row>
    <row r="2552" spans="1:1">
      <c r="A2552" s="169"/>
    </row>
    <row r="2553" spans="1:1">
      <c r="A2553" s="169"/>
    </row>
    <row r="2554" spans="1:1">
      <c r="A2554" s="169"/>
    </row>
    <row r="2555" spans="1:1">
      <c r="A2555" s="169"/>
    </row>
    <row r="2556" spans="1:1">
      <c r="A2556" s="169"/>
    </row>
    <row r="2557" spans="1:1">
      <c r="A2557" s="169"/>
    </row>
    <row r="2558" spans="1:1">
      <c r="A2558" s="169"/>
    </row>
    <row r="2559" spans="1:1">
      <c r="A2559" s="169"/>
    </row>
    <row r="2560" spans="1:1">
      <c r="A2560" s="169"/>
    </row>
    <row r="2561" spans="1:1">
      <c r="A2561" s="169"/>
    </row>
    <row r="2562" spans="1:1">
      <c r="A2562" s="169"/>
    </row>
    <row r="2563" spans="1:1">
      <c r="A2563" s="169"/>
    </row>
    <row r="2564" spans="1:1">
      <c r="A2564" s="169"/>
    </row>
    <row r="2565" spans="1:1">
      <c r="A2565" s="169"/>
    </row>
    <row r="2566" spans="1:1">
      <c r="A2566" s="169"/>
    </row>
    <row r="2567" spans="1:1">
      <c r="A2567" s="169"/>
    </row>
    <row r="2568" spans="1:1">
      <c r="A2568" s="169"/>
    </row>
    <row r="2569" spans="1:1">
      <c r="A2569" s="169"/>
    </row>
    <row r="2570" spans="1:1">
      <c r="A2570" s="169"/>
    </row>
    <row r="2571" spans="1:1">
      <c r="A2571" s="169"/>
    </row>
    <row r="2572" spans="1:1">
      <c r="A2572" s="169"/>
    </row>
    <row r="2573" spans="1:1">
      <c r="A2573" s="169"/>
    </row>
    <row r="2574" spans="1:1">
      <c r="A2574" s="169"/>
    </row>
    <row r="2575" spans="1:1">
      <c r="A2575" s="169"/>
    </row>
    <row r="2576" spans="1:1">
      <c r="A2576" s="169"/>
    </row>
    <row r="2577" spans="1:1">
      <c r="A2577" s="169"/>
    </row>
    <row r="2578" spans="1:1">
      <c r="A2578" s="169"/>
    </row>
    <row r="2579" spans="1:1">
      <c r="A2579" s="169"/>
    </row>
    <row r="2580" spans="1:1">
      <c r="A2580" s="169"/>
    </row>
    <row r="2581" spans="1:1">
      <c r="A2581" s="169"/>
    </row>
    <row r="2582" spans="1:1">
      <c r="A2582" s="169"/>
    </row>
    <row r="2583" spans="1:1">
      <c r="A2583" s="169"/>
    </row>
    <row r="2584" spans="1:1">
      <c r="A2584" s="169"/>
    </row>
    <row r="2585" spans="1:1">
      <c r="A2585" s="169"/>
    </row>
    <row r="2586" spans="1:1">
      <c r="A2586" s="169"/>
    </row>
    <row r="2587" spans="1:1">
      <c r="A2587" s="169"/>
    </row>
    <row r="2588" spans="1:1">
      <c r="A2588" s="169"/>
    </row>
    <row r="2589" spans="1:1">
      <c r="A2589" s="169"/>
    </row>
    <row r="2590" spans="1:1">
      <c r="A2590" s="169"/>
    </row>
    <row r="2591" spans="1:1">
      <c r="A2591" s="169"/>
    </row>
    <row r="2592" spans="1:1">
      <c r="A2592" s="169"/>
    </row>
    <row r="2593" spans="1:1">
      <c r="A2593" s="169"/>
    </row>
    <row r="2594" spans="1:1">
      <c r="A2594" s="169"/>
    </row>
    <row r="2595" spans="1:1">
      <c r="A2595" s="169"/>
    </row>
    <row r="2596" spans="1:1">
      <c r="A2596" s="169"/>
    </row>
    <row r="2597" spans="1:1">
      <c r="A2597" s="169"/>
    </row>
    <row r="2598" spans="1:1">
      <c r="A2598" s="169"/>
    </row>
    <row r="2599" spans="1:1">
      <c r="A2599" s="169"/>
    </row>
    <row r="2600" spans="1:1">
      <c r="A2600" s="169"/>
    </row>
    <row r="2601" spans="1:1">
      <c r="A2601" s="169"/>
    </row>
    <row r="2602" spans="1:1">
      <c r="A2602" s="169"/>
    </row>
    <row r="2603" spans="1:1">
      <c r="A2603" s="169"/>
    </row>
    <row r="2604" spans="1:1">
      <c r="A2604" s="169"/>
    </row>
    <row r="2605" spans="1:1">
      <c r="A2605" s="169"/>
    </row>
    <row r="2606" spans="1:1">
      <c r="A2606" s="169"/>
    </row>
    <row r="2607" spans="1:1">
      <c r="A2607" s="169"/>
    </row>
    <row r="2608" spans="1:1">
      <c r="A2608" s="169"/>
    </row>
    <row r="2609" spans="1:1">
      <c r="A2609" s="169"/>
    </row>
    <row r="2610" spans="1:1">
      <c r="A2610" s="169"/>
    </row>
    <row r="2611" spans="1:1">
      <c r="A2611" s="169"/>
    </row>
    <row r="2612" spans="1:1">
      <c r="A2612" s="169"/>
    </row>
    <row r="2613" spans="1:1">
      <c r="A2613" s="169"/>
    </row>
    <row r="2614" spans="1:1">
      <c r="A2614" s="169"/>
    </row>
    <row r="2615" spans="1:1">
      <c r="A2615" s="169"/>
    </row>
    <row r="2616" spans="1:1">
      <c r="A2616" s="169"/>
    </row>
    <row r="2617" spans="1:1">
      <c r="A2617" s="169"/>
    </row>
    <row r="2618" spans="1:1">
      <c r="A2618" s="169"/>
    </row>
    <row r="2619" spans="1:1">
      <c r="A2619" s="169"/>
    </row>
    <row r="2620" spans="1:1">
      <c r="A2620" s="169"/>
    </row>
    <row r="2621" spans="1:1">
      <c r="A2621" s="169"/>
    </row>
    <row r="2622" spans="1:1">
      <c r="A2622" s="169"/>
    </row>
    <row r="2623" spans="1:1">
      <c r="A2623" s="169"/>
    </row>
    <row r="2624" spans="1:1">
      <c r="A2624" s="169"/>
    </row>
    <row r="2625" spans="1:1">
      <c r="A2625" s="169"/>
    </row>
    <row r="2626" spans="1:1">
      <c r="A2626" s="169"/>
    </row>
    <row r="2627" spans="1:1">
      <c r="A2627" s="169"/>
    </row>
    <row r="2628" spans="1:1">
      <c r="A2628" s="169"/>
    </row>
    <row r="2629" spans="1:1">
      <c r="A2629" s="169"/>
    </row>
    <row r="2630" spans="1:1">
      <c r="A2630" s="169"/>
    </row>
    <row r="2631" spans="1:1">
      <c r="A2631" s="169"/>
    </row>
    <row r="2632" spans="1:1">
      <c r="A2632" s="169"/>
    </row>
    <row r="2633" spans="1:1">
      <c r="A2633" s="169"/>
    </row>
    <row r="2634" spans="1:1">
      <c r="A2634" s="169"/>
    </row>
    <row r="2635" spans="1:1">
      <c r="A2635" s="169"/>
    </row>
    <row r="2636" spans="1:1">
      <c r="A2636" s="169"/>
    </row>
    <row r="2637" spans="1:1">
      <c r="A2637" s="169"/>
    </row>
    <row r="2638" spans="1:1">
      <c r="A2638" s="169"/>
    </row>
    <row r="2639" spans="1:1">
      <c r="A2639" s="169"/>
    </row>
    <row r="2640" spans="1:1">
      <c r="A2640" s="169"/>
    </row>
    <row r="2641" spans="1:1">
      <c r="A2641" s="169"/>
    </row>
    <row r="2642" spans="1:1">
      <c r="A2642" s="169"/>
    </row>
    <row r="2643" spans="1:1">
      <c r="A2643" s="169"/>
    </row>
    <row r="2644" spans="1:1">
      <c r="A2644" s="169"/>
    </row>
    <row r="2645" spans="1:1">
      <c r="A2645" s="169"/>
    </row>
    <row r="2646" spans="1:1">
      <c r="A2646" s="169"/>
    </row>
    <row r="2647" spans="1:1">
      <c r="A2647" s="169"/>
    </row>
    <row r="2648" spans="1:1">
      <c r="A2648" s="169"/>
    </row>
    <row r="2649" spans="1:1">
      <c r="A2649" s="169"/>
    </row>
    <row r="2650" spans="1:1">
      <c r="A2650" s="169"/>
    </row>
    <row r="2651" spans="1:1">
      <c r="A2651" s="169"/>
    </row>
    <row r="2652" spans="1:1">
      <c r="A2652" s="169"/>
    </row>
    <row r="2653" spans="1:1">
      <c r="A2653" s="169"/>
    </row>
    <row r="2654" spans="1:1">
      <c r="A2654" s="169"/>
    </row>
    <row r="2655" spans="1:1">
      <c r="A2655" s="169"/>
    </row>
    <row r="2656" spans="1:1">
      <c r="A2656" s="169"/>
    </row>
    <row r="2657" spans="1:1">
      <c r="A2657" s="169"/>
    </row>
    <row r="2658" spans="1:1">
      <c r="A2658" s="169"/>
    </row>
    <row r="2659" spans="1:1">
      <c r="A2659" s="169"/>
    </row>
    <row r="2660" spans="1:1">
      <c r="A2660" s="169"/>
    </row>
    <row r="2661" spans="1:1">
      <c r="A2661" s="169"/>
    </row>
    <row r="2662" spans="1:1">
      <c r="A2662" s="169"/>
    </row>
    <row r="2663" spans="1:1">
      <c r="A2663" s="169"/>
    </row>
    <row r="2664" spans="1:1">
      <c r="A2664" s="169"/>
    </row>
    <row r="2665" spans="1:1">
      <c r="A2665" s="169"/>
    </row>
    <row r="2666" spans="1:1">
      <c r="A2666" s="169"/>
    </row>
    <row r="2667" spans="1:1">
      <c r="A2667" s="169"/>
    </row>
    <row r="2668" spans="1:1">
      <c r="A2668" s="169"/>
    </row>
    <row r="2669" spans="1:1">
      <c r="A2669" s="169"/>
    </row>
    <row r="2670" spans="1:1">
      <c r="A2670" s="169"/>
    </row>
    <row r="2671" spans="1:1">
      <c r="A2671" s="169"/>
    </row>
    <row r="2672" spans="1:1">
      <c r="A2672" s="169"/>
    </row>
    <row r="2673" spans="1:1">
      <c r="A2673" s="169"/>
    </row>
    <row r="2674" spans="1:1">
      <c r="A2674" s="169"/>
    </row>
    <row r="2675" spans="1:1">
      <c r="A2675" s="169"/>
    </row>
    <row r="2676" spans="1:1">
      <c r="A2676" s="169"/>
    </row>
    <row r="2677" spans="1:1">
      <c r="A2677" s="169"/>
    </row>
    <row r="2678" spans="1:1">
      <c r="A2678" s="169"/>
    </row>
    <row r="2679" spans="1:1">
      <c r="A2679" s="169"/>
    </row>
    <row r="2680" spans="1:1">
      <c r="A2680" s="169"/>
    </row>
    <row r="2681" spans="1:1">
      <c r="A2681" s="169"/>
    </row>
    <row r="2682" spans="1:1">
      <c r="A2682" s="169"/>
    </row>
    <row r="2683" spans="1:1">
      <c r="A2683" s="169"/>
    </row>
    <row r="2684" spans="1:1">
      <c r="A2684" s="169"/>
    </row>
    <row r="2685" spans="1:1">
      <c r="A2685" s="169"/>
    </row>
    <row r="2686" spans="1:1">
      <c r="A2686" s="169"/>
    </row>
    <row r="2687" spans="1:1">
      <c r="A2687" s="169"/>
    </row>
    <row r="2688" spans="1:1">
      <c r="A2688" s="169"/>
    </row>
    <row r="2689" spans="1:1">
      <c r="A2689" s="169"/>
    </row>
    <row r="2690" spans="1:1">
      <c r="A2690" s="169"/>
    </row>
    <row r="2691" spans="1:1">
      <c r="A2691" s="169"/>
    </row>
    <row r="2692" spans="1:1">
      <c r="A2692" s="169"/>
    </row>
    <row r="2693" spans="1:1">
      <c r="A2693" s="169"/>
    </row>
    <row r="2694" spans="1:1">
      <c r="A2694" s="169"/>
    </row>
    <row r="2695" spans="1:1">
      <c r="A2695" s="169"/>
    </row>
    <row r="2696" spans="1:1">
      <c r="A2696" s="169"/>
    </row>
    <row r="2697" spans="1:1">
      <c r="A2697" s="169"/>
    </row>
    <row r="2698" spans="1:1">
      <c r="A2698" s="169"/>
    </row>
    <row r="2699" spans="1:1">
      <c r="A2699" s="169"/>
    </row>
    <row r="2700" spans="1:1">
      <c r="A2700" s="169"/>
    </row>
    <row r="2701" spans="1:1">
      <c r="A2701" s="169"/>
    </row>
    <row r="2702" spans="1:1">
      <c r="A2702" s="169"/>
    </row>
    <row r="2703" spans="1:1">
      <c r="A2703" s="169"/>
    </row>
    <row r="2704" spans="1:1">
      <c r="A2704" s="169"/>
    </row>
    <row r="2705" spans="1:1">
      <c r="A2705" s="169"/>
    </row>
    <row r="2706" spans="1:1">
      <c r="A2706" s="169"/>
    </row>
    <row r="2707" spans="1:1">
      <c r="A2707" s="169"/>
    </row>
    <row r="2708" spans="1:1">
      <c r="A2708" s="169"/>
    </row>
    <row r="2709" spans="1:1">
      <c r="A2709" s="169"/>
    </row>
    <row r="2710" spans="1:1">
      <c r="A2710" s="169"/>
    </row>
    <row r="2711" spans="1:1">
      <c r="A2711" s="169"/>
    </row>
    <row r="2712" spans="1:1">
      <c r="A2712" s="169"/>
    </row>
    <row r="2713" spans="1:1">
      <c r="A2713" s="169"/>
    </row>
    <row r="2714" spans="1:1">
      <c r="A2714" s="169"/>
    </row>
    <row r="2715" spans="1:1">
      <c r="A2715" s="169"/>
    </row>
    <row r="2716" spans="1:1">
      <c r="A2716" s="169"/>
    </row>
    <row r="2717" spans="1:1">
      <c r="A2717" s="169"/>
    </row>
    <row r="2718" spans="1:1">
      <c r="A2718" s="169"/>
    </row>
    <row r="2719" spans="1:1">
      <c r="A2719" s="169"/>
    </row>
    <row r="2720" spans="1:1">
      <c r="A2720" s="169"/>
    </row>
    <row r="2721" spans="1:1">
      <c r="A2721" s="169"/>
    </row>
    <row r="2722" spans="1:1">
      <c r="A2722" s="169"/>
    </row>
    <row r="2723" spans="1:1">
      <c r="A2723" s="169"/>
    </row>
    <row r="2724" spans="1:1">
      <c r="A2724" s="169"/>
    </row>
    <row r="2725" spans="1:1">
      <c r="A2725" s="169"/>
    </row>
    <row r="2726" spans="1:1">
      <c r="A2726" s="169"/>
    </row>
    <row r="2727" spans="1:1">
      <c r="A2727" s="169"/>
    </row>
    <row r="2728" spans="1:1">
      <c r="A2728" s="169"/>
    </row>
    <row r="2729" spans="1:1">
      <c r="A2729" s="169"/>
    </row>
    <row r="2730" spans="1:1">
      <c r="A2730" s="169"/>
    </row>
    <row r="2731" spans="1:1">
      <c r="A2731" s="169"/>
    </row>
    <row r="2732" spans="1:1">
      <c r="A2732" s="169"/>
    </row>
    <row r="2733" spans="1:1">
      <c r="A2733" s="169"/>
    </row>
    <row r="2734" spans="1:1">
      <c r="A2734" s="169"/>
    </row>
    <row r="2735" spans="1:1">
      <c r="A2735" s="169"/>
    </row>
    <row r="2736" spans="1:1">
      <c r="A2736" s="169"/>
    </row>
    <row r="2737" spans="1:1">
      <c r="A2737" s="169"/>
    </row>
    <row r="2738" spans="1:1">
      <c r="A2738" s="169"/>
    </row>
    <row r="2739" spans="1:1">
      <c r="A2739" s="169"/>
    </row>
    <row r="2740" spans="1:1">
      <c r="A2740" s="169"/>
    </row>
    <row r="2741" spans="1:1">
      <c r="A2741" s="169"/>
    </row>
    <row r="2742" spans="1:1">
      <c r="A2742" s="169"/>
    </row>
    <row r="2743" spans="1:1">
      <c r="A2743" s="169"/>
    </row>
    <row r="2744" spans="1:1">
      <c r="A2744" s="169"/>
    </row>
    <row r="2745" spans="1:1">
      <c r="A2745" s="169"/>
    </row>
    <row r="2746" spans="1:1">
      <c r="A2746" s="169"/>
    </row>
    <row r="2747" spans="1:1">
      <c r="A2747" s="169"/>
    </row>
    <row r="2748" spans="1:1">
      <c r="A2748" s="169"/>
    </row>
    <row r="2749" spans="1:1">
      <c r="A2749" s="169"/>
    </row>
    <row r="2750" spans="1:1">
      <c r="A2750" s="169"/>
    </row>
    <row r="2751" spans="1:1">
      <c r="A2751" s="169"/>
    </row>
    <row r="2752" spans="1:1">
      <c r="A2752" s="169"/>
    </row>
    <row r="2753" spans="1:1">
      <c r="A2753" s="169"/>
    </row>
    <row r="2754" spans="1:1">
      <c r="A2754" s="169"/>
    </row>
    <row r="2755" spans="1:1">
      <c r="A2755" s="169"/>
    </row>
    <row r="2756" spans="1:1">
      <c r="A2756" s="169"/>
    </row>
    <row r="2757" spans="1:1">
      <c r="A2757" s="169"/>
    </row>
    <row r="2758" spans="1:1">
      <c r="A2758" s="169"/>
    </row>
    <row r="2759" spans="1:1">
      <c r="A2759" s="169"/>
    </row>
    <row r="2760" spans="1:1">
      <c r="A2760" s="169"/>
    </row>
    <row r="2761" spans="1:1">
      <c r="A2761" s="169"/>
    </row>
    <row r="2762" spans="1:1">
      <c r="A2762" s="169"/>
    </row>
    <row r="2763" spans="1:1">
      <c r="A2763" s="169"/>
    </row>
    <row r="2764" spans="1:1">
      <c r="A2764" s="169"/>
    </row>
    <row r="2765" spans="1:1">
      <c r="A2765" s="169"/>
    </row>
    <row r="2766" spans="1:1">
      <c r="A2766" s="169"/>
    </row>
    <row r="2767" spans="1:1">
      <c r="A2767" s="169"/>
    </row>
    <row r="2768" spans="1:1">
      <c r="A2768" s="169"/>
    </row>
    <row r="2769" spans="1:1">
      <c r="A2769" s="169"/>
    </row>
    <row r="2770" spans="1:1">
      <c r="A2770" s="169"/>
    </row>
    <row r="2771" spans="1:1">
      <c r="A2771" s="169"/>
    </row>
    <row r="2772" spans="1:1">
      <c r="A2772" s="169"/>
    </row>
    <row r="2773" spans="1:1">
      <c r="A2773" s="169"/>
    </row>
    <row r="2774" spans="1:1">
      <c r="A2774" s="169"/>
    </row>
    <row r="2775" spans="1:1">
      <c r="A2775" s="169"/>
    </row>
    <row r="2776" spans="1:1">
      <c r="A2776" s="169"/>
    </row>
    <row r="2777" spans="1:1">
      <c r="A2777" s="169"/>
    </row>
    <row r="2778" spans="1:1">
      <c r="A2778" s="169"/>
    </row>
    <row r="2779" spans="1:1">
      <c r="A2779" s="169"/>
    </row>
    <row r="2780" spans="1:1">
      <c r="A2780" s="169"/>
    </row>
    <row r="2781" spans="1:1">
      <c r="A2781" s="169"/>
    </row>
    <row r="2782" spans="1:1">
      <c r="A2782" s="169"/>
    </row>
    <row r="2783" spans="1:1">
      <c r="A2783" s="169"/>
    </row>
    <row r="2784" spans="1:1">
      <c r="A2784" s="169"/>
    </row>
    <row r="2785" spans="1:1">
      <c r="A2785" s="169"/>
    </row>
    <row r="2786" spans="1:1">
      <c r="A2786" s="169"/>
    </row>
    <row r="2787" spans="1:1">
      <c r="A2787" s="169"/>
    </row>
    <row r="2788" spans="1:1">
      <c r="A2788" s="169"/>
    </row>
    <row r="2789" spans="1:1">
      <c r="A2789" s="169"/>
    </row>
    <row r="2790" spans="1:1">
      <c r="A2790" s="169"/>
    </row>
    <row r="2791" spans="1:1">
      <c r="A2791" s="169"/>
    </row>
    <row r="2792" spans="1:1">
      <c r="A2792" s="169"/>
    </row>
    <row r="2793" spans="1:1">
      <c r="A2793" s="169"/>
    </row>
    <row r="2794" spans="1:1">
      <c r="A2794" s="169"/>
    </row>
    <row r="2795" spans="1:1">
      <c r="A2795" s="169"/>
    </row>
    <row r="2796" spans="1:1">
      <c r="A2796" s="169"/>
    </row>
    <row r="2797" spans="1:1">
      <c r="A2797" s="169"/>
    </row>
    <row r="2798" spans="1:1">
      <c r="A2798" s="169"/>
    </row>
    <row r="2799" spans="1:1">
      <c r="A2799" s="169"/>
    </row>
    <row r="2800" spans="1:1">
      <c r="A2800" s="169"/>
    </row>
    <row r="2801" spans="1:1">
      <c r="A2801" s="169"/>
    </row>
    <row r="2802" spans="1:1">
      <c r="A2802" s="169"/>
    </row>
    <row r="2803" spans="1:1">
      <c r="A2803" s="169"/>
    </row>
    <row r="2804" spans="1:1">
      <c r="A2804" s="169"/>
    </row>
    <row r="2805" spans="1:1">
      <c r="A2805" s="169"/>
    </row>
    <row r="2806" spans="1:1">
      <c r="A2806" s="169"/>
    </row>
    <row r="2807" spans="1:1">
      <c r="A2807" s="169"/>
    </row>
    <row r="2808" spans="1:1">
      <c r="A2808" s="169"/>
    </row>
    <row r="2809" spans="1:1">
      <c r="A2809" s="169"/>
    </row>
    <row r="2810" spans="1:1">
      <c r="A2810" s="169"/>
    </row>
    <row r="2811" spans="1:1">
      <c r="A2811" s="169"/>
    </row>
    <row r="2812" spans="1:1">
      <c r="A2812" s="169"/>
    </row>
    <row r="2813" spans="1:1">
      <c r="A2813" s="169"/>
    </row>
    <row r="2814" spans="1:1">
      <c r="A2814" s="169"/>
    </row>
    <row r="2815" spans="1:1">
      <c r="A2815" s="169"/>
    </row>
    <row r="2816" spans="1:1">
      <c r="A2816" s="169"/>
    </row>
    <row r="2817" spans="1:1">
      <c r="A2817" s="169"/>
    </row>
    <row r="2818" spans="1:1">
      <c r="A2818" s="169"/>
    </row>
    <row r="2819" spans="1:1">
      <c r="A2819" s="169"/>
    </row>
    <row r="2820" spans="1:1">
      <c r="A2820" s="169"/>
    </row>
    <row r="2821" spans="1:1">
      <c r="A2821" s="169"/>
    </row>
    <row r="2822" spans="1:1">
      <c r="A2822" s="169"/>
    </row>
    <row r="2823" spans="1:1">
      <c r="A2823" s="169"/>
    </row>
    <row r="2824" spans="1:1">
      <c r="A2824" s="169"/>
    </row>
    <row r="2825" spans="1:1">
      <c r="A2825" s="169"/>
    </row>
    <row r="2826" spans="1:1">
      <c r="A2826" s="169"/>
    </row>
    <row r="2827" spans="1:1">
      <c r="A2827" s="169"/>
    </row>
    <row r="2828" spans="1:1">
      <c r="A2828" s="169"/>
    </row>
    <row r="2829" spans="1:1">
      <c r="A2829" s="169"/>
    </row>
    <row r="2830" spans="1:1">
      <c r="A2830" s="169"/>
    </row>
    <row r="2831" spans="1:1">
      <c r="A2831" s="169"/>
    </row>
    <row r="2832" spans="1:1">
      <c r="A2832" s="169"/>
    </row>
    <row r="2833" spans="1:1">
      <c r="A2833" s="169"/>
    </row>
    <row r="2834" spans="1:1">
      <c r="A2834" s="169"/>
    </row>
    <row r="2835" spans="1:1">
      <c r="A2835" s="169"/>
    </row>
    <row r="2836" spans="1:1">
      <c r="A2836" s="169"/>
    </row>
    <row r="2837" spans="1:1">
      <c r="A2837" s="169"/>
    </row>
    <row r="2838" spans="1:1">
      <c r="A2838" s="169"/>
    </row>
    <row r="2839" spans="1:1">
      <c r="A2839" s="169"/>
    </row>
    <row r="2840" spans="1:1">
      <c r="A2840" s="169"/>
    </row>
    <row r="2841" spans="1:1">
      <c r="A2841" s="169"/>
    </row>
    <row r="2842" spans="1:1">
      <c r="A2842" s="169"/>
    </row>
    <row r="2843" spans="1:1">
      <c r="A2843" s="169"/>
    </row>
    <row r="2844" spans="1:1">
      <c r="A2844" s="169"/>
    </row>
    <row r="2845" spans="1:1">
      <c r="A2845" s="169"/>
    </row>
    <row r="2846" spans="1:1">
      <c r="A2846" s="169"/>
    </row>
    <row r="2847" spans="1:1">
      <c r="A2847" s="169"/>
    </row>
    <row r="2848" spans="1:1">
      <c r="A2848" s="169"/>
    </row>
    <row r="2849" spans="1:1">
      <c r="A2849" s="169"/>
    </row>
    <row r="2850" spans="1:1">
      <c r="A2850" s="169"/>
    </row>
    <row r="2851" spans="1:1">
      <c r="A2851" s="169"/>
    </row>
    <row r="2852" spans="1:1">
      <c r="A2852" s="169"/>
    </row>
    <row r="2853" spans="1:1">
      <c r="A2853" s="169"/>
    </row>
    <row r="2854" spans="1:1">
      <c r="A2854" s="169"/>
    </row>
    <row r="2855" spans="1:1">
      <c r="A2855" s="169"/>
    </row>
    <row r="2856" spans="1:1">
      <c r="A2856" s="169"/>
    </row>
    <row r="2857" spans="1:1">
      <c r="A2857" s="169"/>
    </row>
    <row r="2858" spans="1:1">
      <c r="A2858" s="169"/>
    </row>
    <row r="2859" spans="1:1">
      <c r="A2859" s="169"/>
    </row>
    <row r="2860" spans="1:1">
      <c r="A2860" s="169"/>
    </row>
    <row r="2861" spans="1:1">
      <c r="A2861" s="169"/>
    </row>
    <row r="2862" spans="1:1">
      <c r="A2862" s="169"/>
    </row>
    <row r="2863" spans="1:1">
      <c r="A2863" s="169"/>
    </row>
    <row r="2864" spans="1:1">
      <c r="A2864" s="169"/>
    </row>
    <row r="2865" spans="1:1">
      <c r="A2865" s="169"/>
    </row>
    <row r="2866" spans="1:1">
      <c r="A2866" s="169"/>
    </row>
    <row r="2867" spans="1:1">
      <c r="A2867" s="169"/>
    </row>
    <row r="2868" spans="1:1">
      <c r="A2868" s="169"/>
    </row>
    <row r="2869" spans="1:1">
      <c r="A2869" s="169"/>
    </row>
    <row r="2870" spans="1:1">
      <c r="A2870" s="169"/>
    </row>
    <row r="2871" spans="1:1">
      <c r="A2871" s="169"/>
    </row>
    <row r="2872" spans="1:1">
      <c r="A2872" s="169"/>
    </row>
    <row r="2873" spans="1:1">
      <c r="A2873" s="169"/>
    </row>
    <row r="2874" spans="1:1">
      <c r="A2874" s="169"/>
    </row>
    <row r="2875" spans="1:1">
      <c r="A2875" s="169"/>
    </row>
    <row r="2876" spans="1:1">
      <c r="A2876" s="169"/>
    </row>
    <row r="2877" spans="1:1">
      <c r="A2877" s="169"/>
    </row>
    <row r="2878" spans="1:1">
      <c r="A2878" s="169"/>
    </row>
    <row r="2879" spans="1:1">
      <c r="A2879" s="169"/>
    </row>
    <row r="2880" spans="1:1">
      <c r="A2880" s="169"/>
    </row>
    <row r="2881" spans="1:1">
      <c r="A2881" s="169"/>
    </row>
    <row r="2882" spans="1:1">
      <c r="A2882" s="169"/>
    </row>
    <row r="2883" spans="1:1">
      <c r="A2883" s="169"/>
    </row>
    <row r="2884" spans="1:1">
      <c r="A2884" s="169"/>
    </row>
    <row r="2885" spans="1:1">
      <c r="A2885" s="169"/>
    </row>
    <row r="2886" spans="1:1">
      <c r="A2886" s="169"/>
    </row>
    <row r="2887" spans="1:1">
      <c r="A2887" s="169"/>
    </row>
    <row r="2888" spans="1:1">
      <c r="A2888" s="169"/>
    </row>
    <row r="2889" spans="1:1">
      <c r="A2889" s="169"/>
    </row>
    <row r="2890" spans="1:1">
      <c r="A2890" s="169"/>
    </row>
    <row r="2891" spans="1:1">
      <c r="A2891" s="169"/>
    </row>
    <row r="2892" spans="1:1">
      <c r="A2892" s="169"/>
    </row>
    <row r="2893" spans="1:1">
      <c r="A2893" s="169"/>
    </row>
    <row r="2894" spans="1:1">
      <c r="A2894" s="169"/>
    </row>
    <row r="2895" spans="1:1">
      <c r="A2895" s="169"/>
    </row>
    <row r="2896" spans="1:1">
      <c r="A2896" s="169"/>
    </row>
    <row r="2897" spans="1:1">
      <c r="A2897" s="169"/>
    </row>
    <row r="2898" spans="1:1">
      <c r="A2898" s="169"/>
    </row>
    <row r="2899" spans="1:1">
      <c r="A2899" s="169"/>
    </row>
    <row r="2900" spans="1:1">
      <c r="A2900" s="169"/>
    </row>
    <row r="2901" spans="1:1">
      <c r="A2901" s="169"/>
    </row>
    <row r="2902" spans="1:1">
      <c r="A2902" s="169"/>
    </row>
    <row r="2903" spans="1:1">
      <c r="A2903" s="169"/>
    </row>
    <row r="2904" spans="1:1">
      <c r="A2904" s="169"/>
    </row>
    <row r="2905" spans="1:1">
      <c r="A2905" s="169"/>
    </row>
    <row r="2906" spans="1:1">
      <c r="A2906" s="169"/>
    </row>
    <row r="2907" spans="1:1">
      <c r="A2907" s="169"/>
    </row>
    <row r="2908" spans="1:1">
      <c r="A2908" s="169"/>
    </row>
    <row r="2909" spans="1:1">
      <c r="A2909" s="169"/>
    </row>
    <row r="2910" spans="1:1">
      <c r="A2910" s="169"/>
    </row>
    <row r="2911" spans="1:1">
      <c r="A2911" s="169"/>
    </row>
    <row r="2912" spans="1:1">
      <c r="A2912" s="169"/>
    </row>
    <row r="2913" spans="1:1">
      <c r="A2913" s="169"/>
    </row>
    <row r="2914" spans="1:1">
      <c r="A2914" s="169"/>
    </row>
    <row r="2915" spans="1:1">
      <c r="A2915" s="169"/>
    </row>
    <row r="2916" spans="1:1">
      <c r="A2916" s="169"/>
    </row>
    <row r="2917" spans="1:1">
      <c r="A2917" s="169"/>
    </row>
    <row r="2918" spans="1:1">
      <c r="A2918" s="169"/>
    </row>
    <row r="2919" spans="1:1">
      <c r="A2919" s="169"/>
    </row>
    <row r="2920" spans="1:1">
      <c r="A2920" s="169"/>
    </row>
    <row r="2921" spans="1:1">
      <c r="A2921" s="169"/>
    </row>
    <row r="2922" spans="1:1">
      <c r="A2922" s="169"/>
    </row>
    <row r="2923" spans="1:1">
      <c r="A2923" s="169"/>
    </row>
    <row r="2924" spans="1:1">
      <c r="A2924" s="169"/>
    </row>
    <row r="2925" spans="1:1">
      <c r="A2925" s="169"/>
    </row>
    <row r="2926" spans="1:1">
      <c r="A2926" s="169"/>
    </row>
    <row r="2927" spans="1:1">
      <c r="A2927" s="169"/>
    </row>
    <row r="2928" spans="1:1">
      <c r="A2928" s="169"/>
    </row>
    <row r="2929" spans="1:1">
      <c r="A2929" s="169"/>
    </row>
    <row r="2930" spans="1:1">
      <c r="A2930" s="169"/>
    </row>
    <row r="2931" spans="1:1">
      <c r="A2931" s="169"/>
    </row>
    <row r="2932" spans="1:1">
      <c r="A2932" s="169"/>
    </row>
    <row r="2933" spans="1:1">
      <c r="A2933" s="169"/>
    </row>
    <row r="2934" spans="1:1">
      <c r="A2934" s="169"/>
    </row>
    <row r="2935" spans="1:1">
      <c r="A2935" s="169"/>
    </row>
    <row r="2936" spans="1:1">
      <c r="A2936" s="169"/>
    </row>
    <row r="2937" spans="1:1">
      <c r="A2937" s="169"/>
    </row>
    <row r="2938" spans="1:1">
      <c r="A2938" s="169"/>
    </row>
    <row r="2939" spans="1:1">
      <c r="A2939" s="169"/>
    </row>
    <row r="2940" spans="1:1">
      <c r="A2940" s="169"/>
    </row>
    <row r="2941" spans="1:1">
      <c r="A2941" s="169"/>
    </row>
    <row r="2942" spans="1:1">
      <c r="A2942" s="169"/>
    </row>
    <row r="2943" spans="1:1">
      <c r="A2943" s="169"/>
    </row>
    <row r="2944" spans="1:1">
      <c r="A2944" s="169"/>
    </row>
    <row r="2945" spans="1:1">
      <c r="A2945" s="169"/>
    </row>
    <row r="2946" spans="1:1">
      <c r="A2946" s="169"/>
    </row>
    <row r="2947" spans="1:1">
      <c r="A2947" s="169"/>
    </row>
    <row r="2948" spans="1:1">
      <c r="A2948" s="169"/>
    </row>
    <row r="2949" spans="1:1">
      <c r="A2949" s="169"/>
    </row>
    <row r="2950" spans="1:1">
      <c r="A2950" s="169"/>
    </row>
    <row r="2951" spans="1:1">
      <c r="A2951" s="169"/>
    </row>
    <row r="2952" spans="1:1">
      <c r="A2952" s="169"/>
    </row>
    <row r="2953" spans="1:1">
      <c r="A2953" s="169"/>
    </row>
    <row r="2954" spans="1:1">
      <c r="A2954" s="169"/>
    </row>
    <row r="2955" spans="1:1">
      <c r="A2955" s="169"/>
    </row>
    <row r="2956" spans="1:1">
      <c r="A2956" s="169"/>
    </row>
    <row r="2957" spans="1:1">
      <c r="A2957" s="169"/>
    </row>
    <row r="2958" spans="1:1">
      <c r="A2958" s="169"/>
    </row>
    <row r="2959" spans="1:1">
      <c r="A2959" s="169"/>
    </row>
    <row r="2960" spans="1:1">
      <c r="A2960" s="169"/>
    </row>
    <row r="2961" spans="1:1">
      <c r="A2961" s="169"/>
    </row>
    <row r="2962" spans="1:1">
      <c r="A2962" s="169"/>
    </row>
    <row r="2963" spans="1:1">
      <c r="A2963" s="169"/>
    </row>
    <row r="2964" spans="1:1">
      <c r="A2964" s="169"/>
    </row>
    <row r="2965" spans="1:1">
      <c r="A2965" s="169"/>
    </row>
    <row r="2966" spans="1:1">
      <c r="A2966" s="169"/>
    </row>
    <row r="2967" spans="1:1">
      <c r="A2967" s="169"/>
    </row>
    <row r="2968" spans="1:1">
      <c r="A2968" s="169"/>
    </row>
    <row r="2969" spans="1:1">
      <c r="A2969" s="169"/>
    </row>
    <row r="2970" spans="1:1">
      <c r="A2970" s="169"/>
    </row>
    <row r="2971" spans="1:1">
      <c r="A2971" s="169"/>
    </row>
    <row r="2972" spans="1:1">
      <c r="A2972" s="169"/>
    </row>
    <row r="2973" spans="1:1">
      <c r="A2973" s="169"/>
    </row>
    <row r="2974" spans="1:1">
      <c r="A2974" s="169"/>
    </row>
    <row r="2975" spans="1:1">
      <c r="A2975" s="169"/>
    </row>
    <row r="2976" spans="1:1">
      <c r="A2976" s="169"/>
    </row>
    <row r="2977" spans="1:1">
      <c r="A2977" s="169"/>
    </row>
    <row r="2978" spans="1:1">
      <c r="A2978" s="169"/>
    </row>
    <row r="2979" spans="1:1">
      <c r="A2979" s="169"/>
    </row>
    <row r="2980" spans="1:1">
      <c r="A2980" s="169"/>
    </row>
    <row r="2981" spans="1:1">
      <c r="A2981" s="169"/>
    </row>
    <row r="2982" spans="1:1">
      <c r="A2982" s="169"/>
    </row>
    <row r="2983" spans="1:1">
      <c r="A2983" s="169"/>
    </row>
    <row r="2984" spans="1:1">
      <c r="A2984" s="169"/>
    </row>
    <row r="2985" spans="1:1">
      <c r="A2985" s="169"/>
    </row>
    <row r="2986" spans="1:1">
      <c r="A2986" s="169"/>
    </row>
    <row r="2987" spans="1:1">
      <c r="A2987" s="169"/>
    </row>
    <row r="2988" spans="1:1">
      <c r="A2988" s="169"/>
    </row>
    <row r="2989" spans="1:1">
      <c r="A2989" s="169"/>
    </row>
    <row r="2990" spans="1:1">
      <c r="A2990" s="169"/>
    </row>
    <row r="2991" spans="1:1">
      <c r="A2991" s="169"/>
    </row>
    <row r="2992" spans="1:1">
      <c r="A2992" s="169"/>
    </row>
    <row r="2993" spans="1:1">
      <c r="A2993" s="169"/>
    </row>
    <row r="2994" spans="1:1">
      <c r="A2994" s="169"/>
    </row>
    <row r="2995" spans="1:1">
      <c r="A2995" s="169"/>
    </row>
    <row r="2996" spans="1:1">
      <c r="A2996" s="169"/>
    </row>
    <row r="2997" spans="1:1">
      <c r="A2997" s="169"/>
    </row>
    <row r="2998" spans="1:1">
      <c r="A2998" s="169"/>
    </row>
    <row r="2999" spans="1:1">
      <c r="A2999" s="169"/>
    </row>
    <row r="3000" spans="1:1">
      <c r="A3000" s="169"/>
    </row>
    <row r="3001" spans="1:1">
      <c r="A3001" s="169"/>
    </row>
    <row r="3002" spans="1:1">
      <c r="A3002" s="169"/>
    </row>
    <row r="3003" spans="1:1">
      <c r="A3003" s="169"/>
    </row>
    <row r="3004" spans="1:1">
      <c r="A3004" s="169"/>
    </row>
    <row r="3005" spans="1:1">
      <c r="A3005" s="169"/>
    </row>
    <row r="3006" spans="1:1">
      <c r="A3006" s="169"/>
    </row>
    <row r="3007" spans="1:1">
      <c r="A3007" s="169"/>
    </row>
    <row r="3008" spans="1:1">
      <c r="A3008" s="169"/>
    </row>
    <row r="3009" spans="1:1">
      <c r="A3009" s="169"/>
    </row>
    <row r="3010" spans="1:1">
      <c r="A3010" s="169"/>
    </row>
    <row r="3011" spans="1:1">
      <c r="A3011" s="169"/>
    </row>
    <row r="3012" spans="1:1">
      <c r="A3012" s="169"/>
    </row>
    <row r="3013" spans="1:1">
      <c r="A3013" s="169"/>
    </row>
    <row r="3014" spans="1:1">
      <c r="A3014" s="169"/>
    </row>
    <row r="3015" spans="1:1">
      <c r="A3015" s="169"/>
    </row>
    <row r="3016" spans="1:1">
      <c r="A3016" s="169"/>
    </row>
    <row r="3017" spans="1:1">
      <c r="A3017" s="169"/>
    </row>
    <row r="3018" spans="1:1">
      <c r="A3018" s="169"/>
    </row>
    <row r="3019" spans="1:1">
      <c r="A3019" s="169"/>
    </row>
    <row r="3020" spans="1:1">
      <c r="A3020" s="169"/>
    </row>
    <row r="3021" spans="1:1">
      <c r="A3021" s="169"/>
    </row>
    <row r="3022" spans="1:1">
      <c r="A3022" s="169"/>
    </row>
    <row r="3023" spans="1:1">
      <c r="A3023" s="169"/>
    </row>
    <row r="3024" spans="1:1">
      <c r="A3024" s="169"/>
    </row>
    <row r="3025" spans="1:1">
      <c r="A3025" s="169"/>
    </row>
    <row r="3026" spans="1:1">
      <c r="A3026" s="169"/>
    </row>
    <row r="3027" spans="1:1">
      <c r="A3027" s="169"/>
    </row>
    <row r="3028" spans="1:1">
      <c r="A3028" s="169"/>
    </row>
    <row r="3029" spans="1:1">
      <c r="A3029" s="169"/>
    </row>
    <row r="3030" spans="1:1">
      <c r="A3030" s="169"/>
    </row>
    <row r="3031" spans="1:1">
      <c r="A3031" s="169"/>
    </row>
    <row r="3032" spans="1:1">
      <c r="A3032" s="169"/>
    </row>
    <row r="3033" spans="1:1">
      <c r="A3033" s="169"/>
    </row>
    <row r="3034" spans="1:1">
      <c r="A3034" s="169"/>
    </row>
    <row r="3035" spans="1:1">
      <c r="A3035" s="169"/>
    </row>
    <row r="3036" spans="1:1">
      <c r="A3036" s="169"/>
    </row>
    <row r="3037" spans="1:1">
      <c r="A3037" s="169"/>
    </row>
    <row r="3038" spans="1:1">
      <c r="A3038" s="169"/>
    </row>
    <row r="3039" spans="1:1">
      <c r="A3039" s="169"/>
    </row>
    <row r="3040" spans="1:1">
      <c r="A3040" s="169"/>
    </row>
    <row r="3041" spans="1:1">
      <c r="A3041" s="169"/>
    </row>
    <row r="3042" spans="1:1">
      <c r="A3042" s="169"/>
    </row>
    <row r="3043" spans="1:1">
      <c r="A3043" s="169"/>
    </row>
    <row r="3044" spans="1:1">
      <c r="A3044" s="169"/>
    </row>
    <row r="3045" spans="1:1">
      <c r="A3045" s="169"/>
    </row>
    <row r="3046" spans="1:1">
      <c r="A3046" s="169"/>
    </row>
    <row r="3047" spans="1:1">
      <c r="A3047" s="169"/>
    </row>
    <row r="3048" spans="1:1">
      <c r="A3048" s="169"/>
    </row>
    <row r="3049" spans="1:1">
      <c r="A3049" s="169"/>
    </row>
    <row r="3050" spans="1:1">
      <c r="A3050" s="169"/>
    </row>
    <row r="3051" spans="1:1">
      <c r="A3051" s="169"/>
    </row>
    <row r="3052" spans="1:1">
      <c r="A3052" s="169"/>
    </row>
    <row r="3053" spans="1:1">
      <c r="A3053" s="169"/>
    </row>
    <row r="3054" spans="1:1">
      <c r="A3054" s="169"/>
    </row>
    <row r="3055" spans="1:1">
      <c r="A3055" s="169"/>
    </row>
    <row r="3056" spans="1:1">
      <c r="A3056" s="169"/>
    </row>
    <row r="3057" spans="1:1">
      <c r="A3057" s="169"/>
    </row>
    <row r="3058" spans="1:1">
      <c r="A3058" s="169"/>
    </row>
    <row r="3059" spans="1:1">
      <c r="A3059" s="169"/>
    </row>
    <row r="3060" spans="1:1">
      <c r="A3060" s="169"/>
    </row>
    <row r="3061" spans="1:1">
      <c r="A3061" s="169"/>
    </row>
    <row r="3062" spans="1:1">
      <c r="A3062" s="169"/>
    </row>
    <row r="3063" spans="1:1">
      <c r="A3063" s="169"/>
    </row>
    <row r="3064" spans="1:1">
      <c r="A3064" s="169"/>
    </row>
    <row r="3065" spans="1:1">
      <c r="A3065" s="169"/>
    </row>
    <row r="3066" spans="1:1">
      <c r="A3066" s="169"/>
    </row>
    <row r="3067" spans="1:1">
      <c r="A3067" s="169"/>
    </row>
    <row r="3068" spans="1:1">
      <c r="A3068" s="169"/>
    </row>
    <row r="3069" spans="1:1">
      <c r="A3069" s="169"/>
    </row>
    <row r="3070" spans="1:1">
      <c r="A3070" s="169"/>
    </row>
    <row r="3071" spans="1:1">
      <c r="A3071" s="169"/>
    </row>
    <row r="3072" spans="1:1">
      <c r="A3072" s="169"/>
    </row>
    <row r="3073" spans="1:1">
      <c r="A3073" s="169"/>
    </row>
    <row r="3074" spans="1:1">
      <c r="A3074" s="169"/>
    </row>
    <row r="3075" spans="1:1">
      <c r="A3075" s="169"/>
    </row>
    <row r="3076" spans="1:1">
      <c r="A3076" s="169"/>
    </row>
    <row r="3077" spans="1:1">
      <c r="A3077" s="169"/>
    </row>
    <row r="3078" spans="1:1">
      <c r="A3078" s="169"/>
    </row>
    <row r="3079" spans="1:1">
      <c r="A3079" s="169"/>
    </row>
    <row r="3080" spans="1:1">
      <c r="A3080" s="169"/>
    </row>
    <row r="3081" spans="1:1">
      <c r="A3081" s="169"/>
    </row>
    <row r="3082" spans="1:1">
      <c r="A3082" s="169"/>
    </row>
    <row r="3083" spans="1:1">
      <c r="A3083" s="169"/>
    </row>
    <row r="3084" spans="1:1">
      <c r="A3084" s="169"/>
    </row>
    <row r="3085" spans="1:1">
      <c r="A3085" s="169"/>
    </row>
    <row r="3086" spans="1:1">
      <c r="A3086" s="169"/>
    </row>
    <row r="3087" spans="1:1">
      <c r="A3087" s="169"/>
    </row>
    <row r="3088" spans="1:1">
      <c r="A3088" s="169"/>
    </row>
    <row r="3089" spans="1:1">
      <c r="A3089" s="169"/>
    </row>
    <row r="3090" spans="1:1">
      <c r="A3090" s="169"/>
    </row>
    <row r="3091" spans="1:1">
      <c r="A3091" s="169"/>
    </row>
    <row r="3092" spans="1:1">
      <c r="A3092" s="169"/>
    </row>
    <row r="3093" spans="1:1">
      <c r="A3093" s="169"/>
    </row>
    <row r="3094" spans="1:1">
      <c r="A3094" s="169"/>
    </row>
    <row r="3095" spans="1:1">
      <c r="A3095" s="169"/>
    </row>
    <row r="3096" spans="1:1">
      <c r="A3096" s="169"/>
    </row>
    <row r="3097" spans="1:1">
      <c r="A3097" s="169"/>
    </row>
    <row r="3098" spans="1:1">
      <c r="A3098" s="169"/>
    </row>
    <row r="3099" spans="1:1">
      <c r="A3099" s="169"/>
    </row>
    <row r="3100" spans="1:1">
      <c r="A3100" s="169"/>
    </row>
    <row r="3101" spans="1:1">
      <c r="A3101" s="169"/>
    </row>
    <row r="3102" spans="1:1">
      <c r="A3102" s="169"/>
    </row>
    <row r="3103" spans="1:1">
      <c r="A3103" s="169"/>
    </row>
    <row r="3104" spans="1:1">
      <c r="A3104" s="169"/>
    </row>
    <row r="3105" spans="1:1">
      <c r="A3105" s="169"/>
    </row>
    <row r="3106" spans="1:1">
      <c r="A3106" s="169"/>
    </row>
    <row r="3107" spans="1:1">
      <c r="A3107" s="169"/>
    </row>
    <row r="3108" spans="1:1">
      <c r="A3108" s="169"/>
    </row>
    <row r="3109" spans="1:1">
      <c r="A3109" s="169"/>
    </row>
    <row r="3110" spans="1:1">
      <c r="A3110" s="169"/>
    </row>
    <row r="3111" spans="1:1">
      <c r="A3111" s="169"/>
    </row>
    <row r="3112" spans="1:1">
      <c r="A3112" s="169"/>
    </row>
    <row r="3113" spans="1:1">
      <c r="A3113" s="169"/>
    </row>
    <row r="3114" spans="1:1">
      <c r="A3114" s="169"/>
    </row>
    <row r="3115" spans="1:1">
      <c r="A3115" s="169"/>
    </row>
    <row r="3116" spans="1:1">
      <c r="A3116" s="169"/>
    </row>
    <row r="3117" spans="1:1">
      <c r="A3117" s="169"/>
    </row>
    <row r="3118" spans="1:1">
      <c r="A3118" s="169"/>
    </row>
    <row r="3119" spans="1:1">
      <c r="A3119" s="169"/>
    </row>
    <row r="3120" spans="1:1">
      <c r="A3120" s="169"/>
    </row>
    <row r="3121" spans="1:1">
      <c r="A3121" s="169"/>
    </row>
    <row r="3122" spans="1:1">
      <c r="A3122" s="169"/>
    </row>
    <row r="3123" spans="1:1">
      <c r="A3123" s="169"/>
    </row>
    <row r="3124" spans="1:1">
      <c r="A3124" s="169"/>
    </row>
    <row r="3125" spans="1:1">
      <c r="A3125" s="169"/>
    </row>
    <row r="3126" spans="1:1">
      <c r="A3126" s="169"/>
    </row>
    <row r="3127" spans="1:1">
      <c r="A3127" s="169"/>
    </row>
    <row r="3128" spans="1:1">
      <c r="A3128" s="169"/>
    </row>
    <row r="3129" spans="1:1">
      <c r="A3129" s="169"/>
    </row>
    <row r="3130" spans="1:1">
      <c r="A3130" s="169"/>
    </row>
    <row r="3131" spans="1:1">
      <c r="A3131" s="169"/>
    </row>
    <row r="3132" spans="1:1">
      <c r="A3132" s="169"/>
    </row>
    <row r="3133" spans="1:1">
      <c r="A3133" s="169"/>
    </row>
    <row r="3134" spans="1:1">
      <c r="A3134" s="169"/>
    </row>
    <row r="3135" spans="1:1">
      <c r="A3135" s="169"/>
    </row>
    <row r="3136" spans="1:1">
      <c r="A3136" s="169"/>
    </row>
    <row r="3137" spans="1:1">
      <c r="A3137" s="169"/>
    </row>
    <row r="3138" spans="1:1">
      <c r="A3138" s="169"/>
    </row>
    <row r="3139" spans="1:1">
      <c r="A3139" s="169"/>
    </row>
    <row r="3140" spans="1:1">
      <c r="A3140" s="169"/>
    </row>
    <row r="3141" spans="1:1">
      <c r="A3141" s="169"/>
    </row>
    <row r="3142" spans="1:1">
      <c r="A3142" s="169"/>
    </row>
    <row r="3143" spans="1:1">
      <c r="A3143" s="169"/>
    </row>
    <row r="3144" spans="1:1">
      <c r="A3144" s="169"/>
    </row>
    <row r="3145" spans="1:1">
      <c r="A3145" s="169"/>
    </row>
    <row r="3146" spans="1:1">
      <c r="A3146" s="169"/>
    </row>
    <row r="3147" spans="1:1">
      <c r="A3147" s="169"/>
    </row>
    <row r="3148" spans="1:1">
      <c r="A3148" s="169"/>
    </row>
    <row r="3149" spans="1:1">
      <c r="A3149" s="169"/>
    </row>
    <row r="3150" spans="1:1">
      <c r="A3150" s="169"/>
    </row>
    <row r="3151" spans="1:1">
      <c r="A3151" s="169"/>
    </row>
    <row r="3152" spans="1:1">
      <c r="A3152" s="169"/>
    </row>
    <row r="3153" spans="1:1">
      <c r="A3153" s="169"/>
    </row>
    <row r="3154" spans="1:1">
      <c r="A3154" s="169"/>
    </row>
    <row r="3155" spans="1:1">
      <c r="A3155" s="169"/>
    </row>
    <row r="3156" spans="1:1">
      <c r="A3156" s="169"/>
    </row>
    <row r="3157" spans="1:1">
      <c r="A3157" s="169"/>
    </row>
    <row r="3158" spans="1:1">
      <c r="A3158" s="169"/>
    </row>
    <row r="3159" spans="1:1">
      <c r="A3159" s="169"/>
    </row>
    <row r="3160" spans="1:1">
      <c r="A3160" s="169"/>
    </row>
    <row r="3161" spans="1:1">
      <c r="A3161" s="169"/>
    </row>
    <row r="3162" spans="1:1">
      <c r="A3162" s="169"/>
    </row>
    <row r="3163" spans="1:1">
      <c r="A3163" s="169"/>
    </row>
    <row r="3164" spans="1:1">
      <c r="A3164" s="169"/>
    </row>
    <row r="3165" spans="1:1">
      <c r="A3165" s="169"/>
    </row>
    <row r="3166" spans="1:1">
      <c r="A3166" s="169"/>
    </row>
    <row r="3167" spans="1:1">
      <c r="A3167" s="169"/>
    </row>
    <row r="3168" spans="1:1">
      <c r="A3168" s="169"/>
    </row>
    <row r="3169" spans="1:1">
      <c r="A3169" s="169"/>
    </row>
    <row r="3170" spans="1:1">
      <c r="A3170" s="169"/>
    </row>
    <row r="3171" spans="1:1">
      <c r="A3171" s="169"/>
    </row>
    <row r="3172" spans="1:1">
      <c r="A3172" s="169"/>
    </row>
    <row r="3173" spans="1:1">
      <c r="A3173" s="169"/>
    </row>
    <row r="3174" spans="1:1">
      <c r="A3174" s="169"/>
    </row>
    <row r="3175" spans="1:1">
      <c r="A3175" s="169"/>
    </row>
    <row r="3176" spans="1:1">
      <c r="A3176" s="169"/>
    </row>
    <row r="3177" spans="1:1">
      <c r="A3177" s="169"/>
    </row>
    <row r="3178" spans="1:1">
      <c r="A3178" s="169"/>
    </row>
    <row r="3179" spans="1:1">
      <c r="A3179" s="169"/>
    </row>
    <row r="3180" spans="1:1">
      <c r="A3180" s="169"/>
    </row>
    <row r="3181" spans="1:1">
      <c r="A3181" s="169"/>
    </row>
    <row r="3182" spans="1:1">
      <c r="A3182" s="169"/>
    </row>
    <row r="3183" spans="1:1">
      <c r="A3183" s="169"/>
    </row>
    <row r="3184" spans="1:1">
      <c r="A3184" s="169"/>
    </row>
    <row r="3185" spans="1:1">
      <c r="A3185" s="169"/>
    </row>
    <row r="3186" spans="1:1">
      <c r="A3186" s="169"/>
    </row>
    <row r="3187" spans="1:1">
      <c r="A3187" s="169"/>
    </row>
    <row r="3188" spans="1:1">
      <c r="A3188" s="169"/>
    </row>
    <row r="3189" spans="1:1">
      <c r="A3189" s="169"/>
    </row>
    <row r="3190" spans="1:1">
      <c r="A3190" s="169"/>
    </row>
    <row r="3191" spans="1:1">
      <c r="A3191" s="169"/>
    </row>
    <row r="3192" spans="1:1">
      <c r="A3192" s="169"/>
    </row>
    <row r="3193" spans="1:1">
      <c r="A3193" s="169"/>
    </row>
    <row r="3194" spans="1:1">
      <c r="A3194" s="169"/>
    </row>
    <row r="3195" spans="1:1">
      <c r="A3195" s="169"/>
    </row>
    <row r="3196" spans="1:1">
      <c r="A3196" s="169"/>
    </row>
    <row r="3197" spans="1:1">
      <c r="A3197" s="169"/>
    </row>
    <row r="3198" spans="1:1">
      <c r="A3198" s="169"/>
    </row>
    <row r="3199" spans="1:1">
      <c r="A3199" s="169"/>
    </row>
    <row r="3200" spans="1:1">
      <c r="A3200" s="169"/>
    </row>
    <row r="3201" spans="1:1">
      <c r="A3201" s="169"/>
    </row>
    <row r="3202" spans="1:1">
      <c r="A3202" s="169"/>
    </row>
    <row r="3203" spans="1:1">
      <c r="A3203" s="169"/>
    </row>
    <row r="3204" spans="1:1">
      <c r="A3204" s="169"/>
    </row>
    <row r="3205" spans="1:1">
      <c r="A3205" s="169"/>
    </row>
    <row r="3206" spans="1:1">
      <c r="A3206" s="169"/>
    </row>
    <row r="3207" spans="1:1">
      <c r="A3207" s="169"/>
    </row>
    <row r="3208" spans="1:1">
      <c r="A3208" s="169"/>
    </row>
    <row r="3209" spans="1:1">
      <c r="A3209" s="169"/>
    </row>
    <row r="3210" spans="1:1">
      <c r="A3210" s="169"/>
    </row>
    <row r="3211" spans="1:1">
      <c r="A3211" s="169"/>
    </row>
    <row r="3212" spans="1:1">
      <c r="A3212" s="169"/>
    </row>
    <row r="3213" spans="1:1">
      <c r="A3213" s="169"/>
    </row>
    <row r="3214" spans="1:1">
      <c r="A3214" s="169"/>
    </row>
    <row r="3215" spans="1:1">
      <c r="A3215" s="169"/>
    </row>
    <row r="3216" spans="1:1">
      <c r="A3216" s="169"/>
    </row>
    <row r="3217" spans="1:1">
      <c r="A3217" s="169"/>
    </row>
    <row r="3218" spans="1:1">
      <c r="A3218" s="169"/>
    </row>
    <row r="3219" spans="1:1">
      <c r="A3219" s="169"/>
    </row>
    <row r="3220" spans="1:1">
      <c r="A3220" s="169"/>
    </row>
    <row r="3221" spans="1:1">
      <c r="A3221" s="169"/>
    </row>
    <row r="3222" spans="1:1">
      <c r="A3222" s="169"/>
    </row>
    <row r="3223" spans="1:1">
      <c r="A3223" s="169"/>
    </row>
    <row r="3224" spans="1:1">
      <c r="A3224" s="169"/>
    </row>
    <row r="3225" spans="1:1">
      <c r="A3225" s="169"/>
    </row>
    <row r="3226" spans="1:1">
      <c r="A3226" s="169"/>
    </row>
    <row r="3227" spans="1:1">
      <c r="A3227" s="169"/>
    </row>
    <row r="3228" spans="1:1">
      <c r="A3228" s="169"/>
    </row>
    <row r="3229" spans="1:1">
      <c r="A3229" s="169"/>
    </row>
    <row r="3230" spans="1:1">
      <c r="A3230" s="169"/>
    </row>
    <row r="3231" spans="1:1">
      <c r="A3231" s="169"/>
    </row>
    <row r="3232" spans="1:1">
      <c r="A3232" s="169"/>
    </row>
    <row r="3233" spans="1:1">
      <c r="A3233" s="169"/>
    </row>
    <row r="3234" spans="1:1">
      <c r="A3234" s="169"/>
    </row>
    <row r="3235" spans="1:1">
      <c r="A3235" s="169"/>
    </row>
    <row r="3236" spans="1:1">
      <c r="A3236" s="169"/>
    </row>
    <row r="3237" spans="1:1">
      <c r="A3237" s="169"/>
    </row>
    <row r="3238" spans="1:1">
      <c r="A3238" s="169"/>
    </row>
    <row r="3239" spans="1:1">
      <c r="A3239" s="169"/>
    </row>
    <row r="3240" spans="1:1">
      <c r="A3240" s="169"/>
    </row>
    <row r="3241" spans="1:1">
      <c r="A3241" s="169"/>
    </row>
    <row r="3242" spans="1:1">
      <c r="A3242" s="169"/>
    </row>
    <row r="3243" spans="1:1">
      <c r="A3243" s="169"/>
    </row>
    <row r="3244" spans="1:1">
      <c r="A3244" s="169"/>
    </row>
    <row r="3245" spans="1:1">
      <c r="A3245" s="169"/>
    </row>
    <row r="3246" spans="1:1">
      <c r="A3246" s="169"/>
    </row>
    <row r="3247" spans="1:1">
      <c r="A3247" s="169"/>
    </row>
    <row r="3248" spans="1:1">
      <c r="A3248" s="169"/>
    </row>
    <row r="3249" spans="1:1">
      <c r="A3249" s="169"/>
    </row>
    <row r="3250" spans="1:1">
      <c r="A3250" s="169"/>
    </row>
    <row r="3251" spans="1:1">
      <c r="A3251" s="169"/>
    </row>
    <row r="3252" spans="1:1">
      <c r="A3252" s="169"/>
    </row>
    <row r="3253" spans="1:1">
      <c r="A3253" s="169"/>
    </row>
    <row r="3254" spans="1:1">
      <c r="A3254" s="169"/>
    </row>
    <row r="3255" spans="1:1">
      <c r="A3255" s="169"/>
    </row>
    <row r="3256" spans="1:1">
      <c r="A3256" s="169"/>
    </row>
    <row r="3257" spans="1:1">
      <c r="A3257" s="169"/>
    </row>
    <row r="3258" spans="1:1">
      <c r="A3258" s="169"/>
    </row>
    <row r="3259" spans="1:1">
      <c r="A3259" s="169"/>
    </row>
    <row r="3260" spans="1:1">
      <c r="A3260" s="169"/>
    </row>
    <row r="3261" spans="1:1">
      <c r="A3261" s="169"/>
    </row>
    <row r="3262" spans="1:1">
      <c r="A3262" s="169"/>
    </row>
    <row r="3263" spans="1:1">
      <c r="A3263" s="169"/>
    </row>
    <row r="3264" spans="1:1">
      <c r="A3264" s="169"/>
    </row>
    <row r="3265" spans="1:1">
      <c r="A3265" s="169"/>
    </row>
    <row r="3266" spans="1:1">
      <c r="A3266" s="169"/>
    </row>
    <row r="3267" spans="1:1">
      <c r="A3267" s="169"/>
    </row>
    <row r="3268" spans="1:1">
      <c r="A3268" s="169"/>
    </row>
    <row r="3269" spans="1:1">
      <c r="A3269" s="169"/>
    </row>
    <row r="3270" spans="1:1">
      <c r="A3270" s="169"/>
    </row>
    <row r="3271" spans="1:1">
      <c r="A3271" s="169"/>
    </row>
    <row r="3272" spans="1:1">
      <c r="A3272" s="169"/>
    </row>
    <row r="3273" spans="1:1">
      <c r="A3273" s="169"/>
    </row>
    <row r="3274" spans="1:1">
      <c r="A3274" s="169"/>
    </row>
    <row r="3275" spans="1:1">
      <c r="A3275" s="169"/>
    </row>
    <row r="3276" spans="1:1">
      <c r="A3276" s="169"/>
    </row>
    <row r="3277" spans="1:1">
      <c r="A3277" s="169"/>
    </row>
    <row r="3278" spans="1:1">
      <c r="A3278" s="169"/>
    </row>
    <row r="3279" spans="1:1">
      <c r="A3279" s="169"/>
    </row>
    <row r="3280" spans="1:1">
      <c r="A3280" s="169"/>
    </row>
    <row r="3281" spans="1:1">
      <c r="A3281" s="169"/>
    </row>
    <row r="3282" spans="1:1">
      <c r="A3282" s="169"/>
    </row>
    <row r="3283" spans="1:1">
      <c r="A3283" s="169"/>
    </row>
    <row r="3284" spans="1:1">
      <c r="A3284" s="169"/>
    </row>
    <row r="3285" spans="1:1">
      <c r="A3285" s="169"/>
    </row>
    <row r="3286" spans="1:1">
      <c r="A3286" s="169"/>
    </row>
    <row r="3287" spans="1:1">
      <c r="A3287" s="169"/>
    </row>
    <row r="3288" spans="1:1">
      <c r="A3288" s="169"/>
    </row>
    <row r="3289" spans="1:1">
      <c r="A3289" s="169"/>
    </row>
    <row r="3290" spans="1:1">
      <c r="A3290" s="169"/>
    </row>
    <row r="3291" spans="1:1">
      <c r="A3291" s="169"/>
    </row>
    <row r="3292" spans="1:1">
      <c r="A3292" s="169"/>
    </row>
    <row r="3293" spans="1:1">
      <c r="A3293" s="169"/>
    </row>
    <row r="3294" spans="1:1">
      <c r="A3294" s="169"/>
    </row>
    <row r="3295" spans="1:1">
      <c r="A3295" s="169"/>
    </row>
    <row r="3296" spans="1:1">
      <c r="A3296" s="169"/>
    </row>
    <row r="3297" spans="1:1">
      <c r="A3297" s="169"/>
    </row>
    <row r="3298" spans="1:1">
      <c r="A3298" s="169"/>
    </row>
    <row r="3299" spans="1:1">
      <c r="A3299" s="169"/>
    </row>
    <row r="3300" spans="1:1">
      <c r="A3300" s="169"/>
    </row>
    <row r="3301" spans="1:1">
      <c r="A3301" s="169"/>
    </row>
    <row r="3302" spans="1:1">
      <c r="A3302" s="169"/>
    </row>
    <row r="3303" spans="1:1">
      <c r="A3303" s="169"/>
    </row>
    <row r="3304" spans="1:1">
      <c r="A3304" s="169"/>
    </row>
    <row r="3305" spans="1:1">
      <c r="A3305" s="169"/>
    </row>
    <row r="3306" spans="1:1">
      <c r="A3306" s="169"/>
    </row>
    <row r="3307" spans="1:1">
      <c r="A3307" s="169"/>
    </row>
    <row r="3308" spans="1:1">
      <c r="A3308" s="169"/>
    </row>
    <row r="3309" spans="1:1">
      <c r="A3309" s="169"/>
    </row>
    <row r="3310" spans="1:1">
      <c r="A3310" s="169"/>
    </row>
    <row r="3311" spans="1:1">
      <c r="A3311" s="169"/>
    </row>
    <row r="3312" spans="1:1">
      <c r="A3312" s="169"/>
    </row>
    <row r="3313" spans="1:1">
      <c r="A3313" s="169"/>
    </row>
    <row r="3314" spans="1:1">
      <c r="A3314" s="169"/>
    </row>
    <row r="3315" spans="1:1">
      <c r="A3315" s="169"/>
    </row>
    <row r="3316" spans="1:1">
      <c r="A3316" s="169"/>
    </row>
    <row r="3317" spans="1:1">
      <c r="A3317" s="169"/>
    </row>
    <row r="3318" spans="1:1">
      <c r="A3318" s="169"/>
    </row>
    <row r="3319" spans="1:1">
      <c r="A3319" s="169"/>
    </row>
    <row r="3320" spans="1:1">
      <c r="A3320" s="169"/>
    </row>
    <row r="3321" spans="1:1">
      <c r="A3321" s="169"/>
    </row>
    <row r="3322" spans="1:1">
      <c r="A3322" s="169"/>
    </row>
    <row r="3323" spans="1:1">
      <c r="A3323" s="169"/>
    </row>
    <row r="3324" spans="1:1">
      <c r="A3324" s="169"/>
    </row>
    <row r="3325" spans="1:1">
      <c r="A3325" s="169"/>
    </row>
    <row r="3326" spans="1:1">
      <c r="A3326" s="169"/>
    </row>
    <row r="3327" spans="1:1">
      <c r="A3327" s="169"/>
    </row>
    <row r="3328" spans="1:1">
      <c r="A3328" s="169"/>
    </row>
    <row r="3329" spans="1:1">
      <c r="A3329" s="169"/>
    </row>
    <row r="3330" spans="1:1">
      <c r="A3330" s="169"/>
    </row>
    <row r="3331" spans="1:1">
      <c r="A3331" s="169"/>
    </row>
    <row r="3332" spans="1:1">
      <c r="A3332" s="169"/>
    </row>
    <row r="3333" spans="1:1">
      <c r="A3333" s="169"/>
    </row>
    <row r="3334" spans="1:1">
      <c r="A3334" s="169"/>
    </row>
    <row r="3335" spans="1:1">
      <c r="A3335" s="169"/>
    </row>
    <row r="3336" spans="1:1">
      <c r="A3336" s="169"/>
    </row>
    <row r="3337" spans="1:1">
      <c r="A3337" s="169"/>
    </row>
    <row r="3338" spans="1:1">
      <c r="A3338" s="169"/>
    </row>
    <row r="3339" spans="1:1">
      <c r="A3339" s="169"/>
    </row>
    <row r="3340" spans="1:1">
      <c r="A3340" s="169"/>
    </row>
    <row r="3341" spans="1:1">
      <c r="A3341" s="169"/>
    </row>
    <row r="3342" spans="1:1">
      <c r="A3342" s="169"/>
    </row>
    <row r="3343" spans="1:1">
      <c r="A3343" s="169"/>
    </row>
    <row r="3344" spans="1:1">
      <c r="A3344" s="169"/>
    </row>
    <row r="3345" spans="1:1">
      <c r="A3345" s="169"/>
    </row>
    <row r="3346" spans="1:1">
      <c r="A3346" s="169"/>
    </row>
    <row r="3347" spans="1:1">
      <c r="A3347" s="169"/>
    </row>
    <row r="3348" spans="1:1">
      <c r="A3348" s="169"/>
    </row>
    <row r="3349" spans="1:1">
      <c r="A3349" s="169"/>
    </row>
    <row r="3350" spans="1:1">
      <c r="A3350" s="169"/>
    </row>
    <row r="3351" spans="1:1">
      <c r="A3351" s="169"/>
    </row>
    <row r="3352" spans="1:1">
      <c r="A3352" s="169"/>
    </row>
    <row r="3353" spans="1:1">
      <c r="A3353" s="169"/>
    </row>
    <row r="3354" spans="1:1">
      <c r="A3354" s="169"/>
    </row>
    <row r="3355" spans="1:1">
      <c r="A3355" s="169"/>
    </row>
    <row r="3356" spans="1:1">
      <c r="A3356" s="169"/>
    </row>
    <row r="3357" spans="1:1">
      <c r="A3357" s="169"/>
    </row>
    <row r="3358" spans="1:1">
      <c r="A3358" s="169"/>
    </row>
    <row r="3359" spans="1:1">
      <c r="A3359" s="169"/>
    </row>
    <row r="3360" spans="1:1">
      <c r="A3360" s="169"/>
    </row>
    <row r="3361" spans="1:1">
      <c r="A3361" s="169"/>
    </row>
    <row r="3362" spans="1:1">
      <c r="A3362" s="169"/>
    </row>
  </sheetData>
  <autoFilter ref="A2:AA183" xr:uid="{F73FFFB3-E80A-452A-8314-2643A02F9D4E}"/>
  <mergeCells count="3">
    <mergeCell ref="A1:F1"/>
    <mergeCell ref="H1:V1"/>
    <mergeCell ref="X1:AA1"/>
  </mergeCells>
  <pageMargins left="0.7" right="0.7" top="0.75" bottom="0.75" header="0.3" footer="0.3"/>
  <headerFooter>
    <oddFooter>&amp;C_x000D_&amp;1#&amp;"Aptos"&amp;8&amp;K737373 Classificado como Uso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A7F78-1248-4EB6-BB5A-1457E25B5355}">
  <sheetPr>
    <tabColor rgb="FF002060"/>
  </sheetPr>
  <dimension ref="B2:AW465"/>
  <sheetViews>
    <sheetView showGridLines="0" topLeftCell="A81" workbookViewId="0">
      <selection activeCell="D146" sqref="D146"/>
    </sheetView>
  </sheetViews>
  <sheetFormatPr defaultColWidth="9.1796875" defaultRowHeight="12.5"/>
  <cols>
    <col min="1" max="1" width="9.1796875" style="189"/>
    <col min="2" max="2" width="19.7265625" style="189" bestFit="1" customWidth="1"/>
    <col min="3" max="3" width="46.26953125" style="189" customWidth="1"/>
    <col min="4" max="4" width="39.453125" style="189" customWidth="1"/>
    <col min="5" max="5" width="30.7265625" style="189" customWidth="1"/>
    <col min="6" max="6" width="24.81640625" style="189" customWidth="1"/>
    <col min="7" max="16384" width="9.1796875" style="189"/>
  </cols>
  <sheetData>
    <row r="2" spans="2:49" ht="14.5">
      <c r="B2" s="188"/>
      <c r="C2"/>
      <c r="D2"/>
      <c r="E2"/>
      <c r="F2"/>
    </row>
    <row r="3" spans="2:49" ht="14.5">
      <c r="B3" s="190"/>
      <c r="C3" s="221"/>
      <c r="D3" s="221"/>
      <c r="E3" s="221"/>
      <c r="F3" s="221"/>
    </row>
    <row r="4" spans="2:49" ht="13">
      <c r="B4" s="191"/>
      <c r="C4" s="221"/>
      <c r="D4" s="221"/>
      <c r="E4" s="221"/>
      <c r="F4" s="221"/>
    </row>
    <row r="5" spans="2:49" ht="15.5">
      <c r="B5" s="191"/>
      <c r="C5" s="222" t="s">
        <v>906</v>
      </c>
      <c r="D5" s="222"/>
      <c r="E5" s="222"/>
      <c r="F5" s="222"/>
    </row>
    <row r="6" spans="2:49" ht="14.5">
      <c r="B6" s="188"/>
      <c r="C6"/>
      <c r="D6"/>
      <c r="E6"/>
      <c r="F6"/>
    </row>
    <row r="7" spans="2:49" ht="15.5">
      <c r="C7" s="219" t="s">
        <v>907</v>
      </c>
      <c r="D7" s="219"/>
      <c r="E7" s="219"/>
      <c r="F7" s="219"/>
    </row>
    <row r="8" spans="2:49" ht="15.5">
      <c r="C8" s="218" t="s">
        <v>908</v>
      </c>
      <c r="D8" s="218"/>
      <c r="E8" s="218"/>
      <c r="F8" s="218"/>
      <c r="G8" s="218"/>
    </row>
    <row r="9" spans="2:49" ht="15.5">
      <c r="C9" s="219" t="s">
        <v>909</v>
      </c>
      <c r="D9" s="219"/>
      <c r="E9" s="219"/>
      <c r="F9" s="219"/>
    </row>
    <row r="10" spans="2:49" ht="14.5">
      <c r="B10" s="188"/>
      <c r="C10"/>
      <c r="D10"/>
      <c r="E10"/>
      <c r="F10"/>
    </row>
    <row r="11" spans="2:49" ht="14.5">
      <c r="B11" s="188"/>
      <c r="C11"/>
      <c r="D11"/>
      <c r="E11"/>
      <c r="F11"/>
    </row>
    <row r="12" spans="2:49" ht="15" thickBot="1">
      <c r="B12" s="192" t="s">
        <v>910</v>
      </c>
      <c r="C12" s="192" t="s">
        <v>911</v>
      </c>
      <c r="D12" s="191"/>
      <c r="E12"/>
      <c r="F12"/>
    </row>
    <row r="13" spans="2:49" ht="15" thickBot="1">
      <c r="B13" s="191"/>
      <c r="C13" s="193" t="s">
        <v>912</v>
      </c>
      <c r="D13" s="194" t="s">
        <v>913</v>
      </c>
      <c r="E13"/>
      <c r="F13"/>
      <c r="AW13" s="189" t="s">
        <v>694</v>
      </c>
    </row>
    <row r="14" spans="2:49" ht="15" thickBot="1">
      <c r="B14" s="195"/>
      <c r="C14" s="196" t="s">
        <v>914</v>
      </c>
      <c r="D14" s="197" t="s">
        <v>915</v>
      </c>
      <c r="E14"/>
      <c r="F14"/>
      <c r="AW14" s="189" t="s">
        <v>694</v>
      </c>
    </row>
    <row r="15" spans="2:49" ht="15" thickBot="1">
      <c r="B15" s="195"/>
      <c r="C15" s="196" t="s">
        <v>916</v>
      </c>
      <c r="D15" s="197" t="s">
        <v>915</v>
      </c>
      <c r="E15"/>
      <c r="F15"/>
      <c r="AW15" s="189" t="s">
        <v>694</v>
      </c>
    </row>
    <row r="16" spans="2:49" ht="15" thickBot="1">
      <c r="B16" s="195"/>
      <c r="C16" s="196" t="s">
        <v>917</v>
      </c>
      <c r="D16" s="197" t="s">
        <v>915</v>
      </c>
      <c r="E16"/>
      <c r="F16"/>
      <c r="AW16" s="189" t="s">
        <v>694</v>
      </c>
    </row>
    <row r="17" spans="2:49" ht="15" thickBot="1">
      <c r="B17" s="195"/>
      <c r="C17" s="196" t="s">
        <v>918</v>
      </c>
      <c r="D17" s="197" t="s">
        <v>915</v>
      </c>
      <c r="E17"/>
      <c r="F17"/>
      <c r="AW17" s="189" t="s">
        <v>694</v>
      </c>
    </row>
    <row r="18" spans="2:49" ht="15" thickBot="1">
      <c r="B18" s="195"/>
      <c r="C18" s="196" t="s">
        <v>919</v>
      </c>
      <c r="D18" s="197" t="s">
        <v>915</v>
      </c>
      <c r="E18"/>
      <c r="F18"/>
      <c r="AW18" s="189" t="s">
        <v>694</v>
      </c>
    </row>
    <row r="19" spans="2:49" ht="15" thickBot="1">
      <c r="B19" s="195"/>
      <c r="C19" s="196" t="s">
        <v>920</v>
      </c>
      <c r="D19" s="197" t="s">
        <v>915</v>
      </c>
      <c r="E19"/>
      <c r="F19"/>
      <c r="AW19" s="189" t="s">
        <v>694</v>
      </c>
    </row>
    <row r="20" spans="2:49" ht="15" thickBot="1">
      <c r="B20" s="195"/>
      <c r="C20" s="196" t="s">
        <v>921</v>
      </c>
      <c r="D20" s="197" t="s">
        <v>922</v>
      </c>
      <c r="E20"/>
      <c r="F20"/>
      <c r="AW20" s="189" t="s">
        <v>694</v>
      </c>
    </row>
    <row r="21" spans="2:49" ht="15" thickBot="1">
      <c r="B21" s="195"/>
      <c r="C21" s="196" t="s">
        <v>923</v>
      </c>
      <c r="D21" s="197" t="s">
        <v>915</v>
      </c>
      <c r="E21"/>
      <c r="F21"/>
      <c r="AW21" s="189" t="s">
        <v>694</v>
      </c>
    </row>
    <row r="22" spans="2:49" ht="15" thickBot="1">
      <c r="B22" s="195"/>
      <c r="C22" s="196" t="s">
        <v>924</v>
      </c>
      <c r="D22" s="197" t="s">
        <v>915</v>
      </c>
      <c r="E22"/>
      <c r="F22"/>
      <c r="AW22" s="189" t="s">
        <v>694</v>
      </c>
    </row>
    <row r="23" spans="2:49" ht="15" thickBot="1">
      <c r="B23" s="195"/>
      <c r="C23" s="196" t="s">
        <v>925</v>
      </c>
      <c r="D23" s="197" t="s">
        <v>915</v>
      </c>
      <c r="E23"/>
      <c r="F23"/>
      <c r="AW23" s="189" t="s">
        <v>694</v>
      </c>
    </row>
    <row r="24" spans="2:49" ht="15" thickBot="1">
      <c r="B24" s="195"/>
      <c r="C24" s="196" t="s">
        <v>926</v>
      </c>
      <c r="D24" s="197" t="s">
        <v>922</v>
      </c>
      <c r="E24"/>
      <c r="F24"/>
      <c r="AW24" s="189" t="s">
        <v>694</v>
      </c>
    </row>
    <row r="25" spans="2:49" ht="15" thickBot="1">
      <c r="B25" s="195"/>
      <c r="C25" s="196" t="s">
        <v>927</v>
      </c>
      <c r="D25" s="197" t="s">
        <v>928</v>
      </c>
      <c r="E25"/>
      <c r="F25"/>
      <c r="AW25" s="189" t="s">
        <v>694</v>
      </c>
    </row>
    <row r="26" spans="2:49" ht="15" thickBot="1">
      <c r="B26" s="195"/>
      <c r="C26" s="196" t="s">
        <v>929</v>
      </c>
      <c r="D26" s="197" t="s">
        <v>930</v>
      </c>
      <c r="E26"/>
      <c r="F26"/>
      <c r="AW26" s="189" t="s">
        <v>694</v>
      </c>
    </row>
    <row r="27" spans="2:49" ht="15" thickBot="1">
      <c r="B27" s="191"/>
      <c r="C27" s="196" t="s">
        <v>931</v>
      </c>
      <c r="D27" s="197" t="s">
        <v>915</v>
      </c>
      <c r="E27"/>
      <c r="F27"/>
      <c r="AW27" s="189" t="s">
        <v>694</v>
      </c>
    </row>
    <row r="28" spans="2:49" ht="15" thickBot="1">
      <c r="B28" s="195"/>
      <c r="C28" s="196" t="s">
        <v>932</v>
      </c>
      <c r="D28" s="197" t="s">
        <v>928</v>
      </c>
      <c r="E28"/>
      <c r="F28"/>
      <c r="AW28" s="189" t="s">
        <v>694</v>
      </c>
    </row>
    <row r="29" spans="2:49" ht="15" thickBot="1">
      <c r="B29" s="195"/>
      <c r="C29" s="196" t="s">
        <v>933</v>
      </c>
      <c r="D29" s="197" t="s">
        <v>930</v>
      </c>
      <c r="E29"/>
      <c r="F29"/>
      <c r="AW29" s="189" t="s">
        <v>694</v>
      </c>
    </row>
    <row r="30" spans="2:49" ht="15" thickBot="1">
      <c r="B30" s="195"/>
      <c r="C30" s="196" t="s">
        <v>934</v>
      </c>
      <c r="D30" s="197" t="s">
        <v>935</v>
      </c>
      <c r="E30"/>
      <c r="F30"/>
      <c r="J30" s="198"/>
      <c r="AW30" s="189" t="s">
        <v>694</v>
      </c>
    </row>
    <row r="31" spans="2:49" ht="15" thickBot="1">
      <c r="B31" s="195"/>
      <c r="C31" s="196" t="s">
        <v>936</v>
      </c>
      <c r="D31" s="197" t="s">
        <v>937</v>
      </c>
      <c r="E31"/>
      <c r="F31"/>
      <c r="AW31" s="189" t="s">
        <v>694</v>
      </c>
    </row>
    <row r="32" spans="2:49" ht="15" thickBot="1">
      <c r="B32" s="195"/>
      <c r="C32" s="196" t="s">
        <v>938</v>
      </c>
      <c r="D32" s="197" t="s">
        <v>939</v>
      </c>
      <c r="E32"/>
      <c r="F32"/>
      <c r="AW32" s="189" t="s">
        <v>694</v>
      </c>
    </row>
    <row r="33" spans="2:49" ht="14.5">
      <c r="B33" s="188"/>
      <c r="C33"/>
      <c r="D33"/>
      <c r="E33"/>
      <c r="F33"/>
      <c r="AW33" s="189" t="s">
        <v>694</v>
      </c>
    </row>
    <row r="34" spans="2:49" ht="14.5">
      <c r="B34" s="188"/>
      <c r="C34"/>
      <c r="D34"/>
      <c r="E34"/>
      <c r="F34"/>
      <c r="AW34" s="189" t="s">
        <v>694</v>
      </c>
    </row>
    <row r="35" spans="2:49" ht="14.5">
      <c r="B35" s="192" t="s">
        <v>940</v>
      </c>
      <c r="C35" s="192" t="s">
        <v>941</v>
      </c>
      <c r="D35" s="191"/>
      <c r="E35" s="191"/>
      <c r="F35"/>
      <c r="AW35" s="189" t="s">
        <v>694</v>
      </c>
    </row>
    <row r="36" spans="2:49" ht="27" customHeight="1" thickBot="1">
      <c r="B36" s="220" t="s">
        <v>942</v>
      </c>
      <c r="C36" s="220"/>
      <c r="D36" s="220"/>
      <c r="E36" s="220"/>
      <c r="F36"/>
      <c r="AW36" s="189" t="s">
        <v>694</v>
      </c>
    </row>
    <row r="37" spans="2:49" ht="15" thickBot="1">
      <c r="B37" s="191"/>
      <c r="C37" s="193" t="s">
        <v>912</v>
      </c>
      <c r="D37" s="194" t="s">
        <v>913</v>
      </c>
      <c r="E37" s="191"/>
      <c r="F37"/>
      <c r="AW37" s="189" t="s">
        <v>694</v>
      </c>
    </row>
    <row r="38" spans="2:49" ht="15" thickBot="1">
      <c r="B38" s="191"/>
      <c r="C38" s="196" t="s">
        <v>914</v>
      </c>
      <c r="D38" s="197" t="s">
        <v>928</v>
      </c>
      <c r="E38" s="191"/>
      <c r="F38"/>
      <c r="AW38" s="189" t="s">
        <v>694</v>
      </c>
    </row>
    <row r="39" spans="2:49" ht="15" thickBot="1">
      <c r="B39" s="191"/>
      <c r="C39" s="196" t="s">
        <v>916</v>
      </c>
      <c r="D39" s="197" t="s">
        <v>928</v>
      </c>
      <c r="E39" s="191"/>
      <c r="F39"/>
      <c r="AW39" s="189" t="s">
        <v>694</v>
      </c>
    </row>
    <row r="40" spans="2:49" ht="15" thickBot="1">
      <c r="B40" s="191"/>
      <c r="C40" s="196" t="s">
        <v>917</v>
      </c>
      <c r="D40" s="197" t="s">
        <v>928</v>
      </c>
      <c r="E40" s="191"/>
      <c r="F40"/>
      <c r="AW40" s="189" t="s">
        <v>694</v>
      </c>
    </row>
    <row r="41" spans="2:49" ht="15" thickBot="1">
      <c r="B41" s="191"/>
      <c r="C41" s="196" t="s">
        <v>918</v>
      </c>
      <c r="D41" s="197" t="s">
        <v>928</v>
      </c>
      <c r="E41" s="191"/>
      <c r="F41"/>
      <c r="AW41" s="189" t="s">
        <v>694</v>
      </c>
    </row>
    <row r="42" spans="2:49" ht="15" thickBot="1">
      <c r="B42" s="191"/>
      <c r="C42" s="196" t="s">
        <v>919</v>
      </c>
      <c r="D42" s="197" t="s">
        <v>928</v>
      </c>
      <c r="E42" s="191"/>
      <c r="F42"/>
      <c r="AW42" s="189" t="s">
        <v>694</v>
      </c>
    </row>
    <row r="43" spans="2:49" ht="15" thickBot="1">
      <c r="B43" s="191"/>
      <c r="C43" s="196" t="s">
        <v>920</v>
      </c>
      <c r="D43" s="197" t="s">
        <v>928</v>
      </c>
      <c r="E43" s="191"/>
      <c r="F43"/>
      <c r="AW43" s="189" t="s">
        <v>694</v>
      </c>
    </row>
    <row r="44" spans="2:49" ht="15" thickBot="1">
      <c r="B44" s="191"/>
      <c r="C44" s="196" t="s">
        <v>921</v>
      </c>
      <c r="D44" s="197" t="s">
        <v>928</v>
      </c>
      <c r="E44" s="191"/>
      <c r="F44"/>
      <c r="AW44" s="189" t="s">
        <v>694</v>
      </c>
    </row>
    <row r="45" spans="2:49" ht="15" thickBot="1">
      <c r="B45" s="191"/>
      <c r="C45" s="196" t="s">
        <v>923</v>
      </c>
      <c r="D45" s="197" t="s">
        <v>928</v>
      </c>
      <c r="E45" s="191"/>
      <c r="F45"/>
      <c r="AW45" s="189" t="s">
        <v>694</v>
      </c>
    </row>
    <row r="46" spans="2:49" ht="15" thickBot="1">
      <c r="B46" s="191"/>
      <c r="C46" s="196" t="s">
        <v>924</v>
      </c>
      <c r="D46" s="197" t="s">
        <v>928</v>
      </c>
      <c r="E46" s="191"/>
      <c r="F46"/>
      <c r="AW46" s="189" t="s">
        <v>694</v>
      </c>
    </row>
    <row r="47" spans="2:49" ht="15" thickBot="1">
      <c r="B47" s="191"/>
      <c r="C47" s="196" t="s">
        <v>925</v>
      </c>
      <c r="D47" s="197" t="s">
        <v>928</v>
      </c>
      <c r="E47" s="191"/>
      <c r="F47"/>
      <c r="AW47" s="189" t="s">
        <v>694</v>
      </c>
    </row>
    <row r="48" spans="2:49" ht="15" thickBot="1">
      <c r="B48" s="191"/>
      <c r="C48" s="196" t="s">
        <v>926</v>
      </c>
      <c r="D48" s="197" t="s">
        <v>928</v>
      </c>
      <c r="E48" s="191"/>
      <c r="F48"/>
      <c r="AW48" s="189" t="s">
        <v>694</v>
      </c>
    </row>
    <row r="49" spans="2:49" ht="15" thickBot="1">
      <c r="B49" s="191"/>
      <c r="C49" s="196" t="s">
        <v>927</v>
      </c>
      <c r="D49" s="197" t="s">
        <v>928</v>
      </c>
      <c r="E49" s="191"/>
      <c r="F49"/>
      <c r="AW49" s="189" t="s">
        <v>694</v>
      </c>
    </row>
    <row r="50" spans="2:49" ht="15" thickBot="1">
      <c r="B50" s="191"/>
      <c r="C50" s="196" t="s">
        <v>929</v>
      </c>
      <c r="D50" s="197" t="s">
        <v>928</v>
      </c>
      <c r="E50" s="191"/>
      <c r="F50"/>
      <c r="AW50" s="189" t="s">
        <v>694</v>
      </c>
    </row>
    <row r="51" spans="2:49" ht="15" thickBot="1">
      <c r="B51" s="191"/>
      <c r="C51" s="196" t="s">
        <v>931</v>
      </c>
      <c r="D51" s="197" t="s">
        <v>928</v>
      </c>
      <c r="E51" s="191"/>
      <c r="F51"/>
      <c r="AW51" s="189" t="s">
        <v>694</v>
      </c>
    </row>
    <row r="52" spans="2:49" ht="15" thickBot="1">
      <c r="B52" s="191"/>
      <c r="C52" s="196" t="s">
        <v>932</v>
      </c>
      <c r="D52" s="197" t="s">
        <v>928</v>
      </c>
      <c r="E52" s="191"/>
      <c r="F52"/>
      <c r="AW52" s="189" t="s">
        <v>694</v>
      </c>
    </row>
    <row r="53" spans="2:49" ht="15" thickBot="1">
      <c r="B53" s="191"/>
      <c r="C53" s="196" t="s">
        <v>933</v>
      </c>
      <c r="D53" s="197" t="s">
        <v>928</v>
      </c>
      <c r="E53" s="191"/>
      <c r="F53"/>
      <c r="AW53" s="189" t="s">
        <v>694</v>
      </c>
    </row>
    <row r="54" spans="2:49" ht="15" thickBot="1">
      <c r="B54" s="191"/>
      <c r="C54" s="196" t="s">
        <v>934</v>
      </c>
      <c r="D54" s="197" t="s">
        <v>928</v>
      </c>
      <c r="E54" s="191"/>
      <c r="F54"/>
      <c r="AW54" s="189" t="s">
        <v>694</v>
      </c>
    </row>
    <row r="55" spans="2:49" ht="15" thickBot="1">
      <c r="B55" s="191"/>
      <c r="C55" s="196" t="s">
        <v>936</v>
      </c>
      <c r="D55" s="197" t="s">
        <v>928</v>
      </c>
      <c r="E55" s="191"/>
      <c r="F55"/>
      <c r="AW55" s="189" t="s">
        <v>694</v>
      </c>
    </row>
    <row r="56" spans="2:49" ht="15" thickBot="1">
      <c r="B56" s="191"/>
      <c r="C56" s="196" t="s">
        <v>938</v>
      </c>
      <c r="D56" s="197" t="s">
        <v>928</v>
      </c>
      <c r="E56" s="191"/>
      <c r="F56"/>
      <c r="AW56" s="189" t="s">
        <v>694</v>
      </c>
    </row>
    <row r="57" spans="2:49">
      <c r="AW57" s="189" t="s">
        <v>694</v>
      </c>
    </row>
    <row r="58" spans="2:49">
      <c r="AW58" s="189" t="s">
        <v>694</v>
      </c>
    </row>
    <row r="59" spans="2:49">
      <c r="AW59" s="189" t="s">
        <v>694</v>
      </c>
    </row>
    <row r="60" spans="2:49">
      <c r="AW60" s="189" t="s">
        <v>694</v>
      </c>
    </row>
    <row r="61" spans="2:49">
      <c r="AW61" s="189" t="s">
        <v>694</v>
      </c>
    </row>
    <row r="62" spans="2:49">
      <c r="AW62" s="189" t="s">
        <v>694</v>
      </c>
    </row>
    <row r="63" spans="2:49">
      <c r="AW63" s="189" t="s">
        <v>694</v>
      </c>
    </row>
    <row r="64" spans="2:49">
      <c r="AW64" s="189" t="s">
        <v>694</v>
      </c>
    </row>
    <row r="65" spans="2:49">
      <c r="B65" s="199"/>
      <c r="C65" s="199"/>
      <c r="D65" s="199"/>
      <c r="AW65" s="189" t="s">
        <v>694</v>
      </c>
    </row>
    <row r="66" spans="2:49">
      <c r="B66" s="199"/>
      <c r="C66" s="199"/>
      <c r="D66" s="199"/>
      <c r="AW66" s="189" t="s">
        <v>694</v>
      </c>
    </row>
    <row r="67" spans="2:49">
      <c r="AW67" s="189" t="s">
        <v>694</v>
      </c>
    </row>
    <row r="68" spans="2:49">
      <c r="AW68" s="189" t="s">
        <v>694</v>
      </c>
    </row>
    <row r="69" spans="2:49">
      <c r="AW69" s="189" t="s">
        <v>694</v>
      </c>
    </row>
    <row r="70" spans="2:49">
      <c r="AW70" s="189" t="s">
        <v>694</v>
      </c>
    </row>
    <row r="71" spans="2:49">
      <c r="AW71" s="189" t="s">
        <v>694</v>
      </c>
    </row>
    <row r="72" spans="2:49">
      <c r="AW72" s="189" t="s">
        <v>694</v>
      </c>
    </row>
    <row r="73" spans="2:49">
      <c r="AW73" s="189" t="s">
        <v>694</v>
      </c>
    </row>
    <row r="74" spans="2:49">
      <c r="AW74" s="189" t="s">
        <v>694</v>
      </c>
    </row>
    <row r="75" spans="2:49">
      <c r="AW75" s="189" t="s">
        <v>694</v>
      </c>
    </row>
    <row r="76" spans="2:49">
      <c r="AW76" s="189" t="s">
        <v>694</v>
      </c>
    </row>
    <row r="77" spans="2:49">
      <c r="AW77" s="189" t="s">
        <v>694</v>
      </c>
    </row>
    <row r="78" spans="2:49">
      <c r="AW78" s="189" t="s">
        <v>694</v>
      </c>
    </row>
    <row r="79" spans="2:49">
      <c r="AW79" s="189" t="s">
        <v>694</v>
      </c>
    </row>
    <row r="80" spans="2:49" ht="14.5">
      <c r="B80" s="192" t="s">
        <v>910</v>
      </c>
      <c r="C80" s="192" t="s">
        <v>943</v>
      </c>
      <c r="D80" s="191"/>
      <c r="E80"/>
      <c r="F80"/>
      <c r="AW80" s="189" t="s">
        <v>694</v>
      </c>
    </row>
    <row r="81" spans="2:49" ht="14.5">
      <c r="B81" s="200" t="s">
        <v>944</v>
      </c>
      <c r="C81" s="200"/>
      <c r="D81" s="191"/>
      <c r="E81"/>
      <c r="F81"/>
      <c r="AW81" s="189" t="s">
        <v>694</v>
      </c>
    </row>
    <row r="82" spans="2:49" ht="15" thickBot="1">
      <c r="B82" s="200"/>
      <c r="C82" s="200"/>
      <c r="D82" s="191"/>
      <c r="E82"/>
      <c r="F82"/>
      <c r="AW82" s="189" t="s">
        <v>694</v>
      </c>
    </row>
    <row r="83" spans="2:49" ht="15" thickBot="1">
      <c r="B83" s="191"/>
      <c r="C83" s="193" t="s">
        <v>912</v>
      </c>
      <c r="D83" s="194" t="s">
        <v>913</v>
      </c>
      <c r="E83"/>
      <c r="F83"/>
      <c r="AW83" s="189" t="s">
        <v>694</v>
      </c>
    </row>
    <row r="84" spans="2:49" ht="13.5" thickBot="1">
      <c r="C84" s="196" t="s">
        <v>945</v>
      </c>
      <c r="D84" s="197" t="s">
        <v>946</v>
      </c>
      <c r="AW84" s="189" t="s">
        <v>694</v>
      </c>
    </row>
    <row r="85" spans="2:49" ht="13.5" thickBot="1">
      <c r="C85" s="196" t="s">
        <v>947</v>
      </c>
      <c r="D85" s="197" t="s">
        <v>948</v>
      </c>
      <c r="AW85" s="189" t="s">
        <v>694</v>
      </c>
    </row>
    <row r="86" spans="2:49" ht="13.5" thickBot="1">
      <c r="C86" s="196" t="s">
        <v>949</v>
      </c>
      <c r="D86" s="197" t="s">
        <v>950</v>
      </c>
      <c r="AW86" s="189" t="s">
        <v>694</v>
      </c>
    </row>
    <row r="87" spans="2:49" ht="13.5" customHeight="1">
      <c r="AW87" s="189" t="s">
        <v>694</v>
      </c>
    </row>
    <row r="88" spans="2:49">
      <c r="AW88" s="189" t="s">
        <v>694</v>
      </c>
    </row>
    <row r="89" spans="2:49">
      <c r="AW89" s="189" t="s">
        <v>694</v>
      </c>
    </row>
    <row r="90" spans="2:49" ht="16">
      <c r="B90" s="201" t="s">
        <v>951</v>
      </c>
      <c r="C90" s="199"/>
      <c r="D90" s="199"/>
      <c r="AW90" s="189" t="s">
        <v>694</v>
      </c>
    </row>
    <row r="91" spans="2:49" ht="14.5">
      <c r="B91" s="202"/>
      <c r="AW91" s="189" t="s">
        <v>694</v>
      </c>
    </row>
    <row r="92" spans="2:49">
      <c r="AW92" s="189" t="s">
        <v>694</v>
      </c>
    </row>
    <row r="93" spans="2:49">
      <c r="AW93" s="189" t="s">
        <v>694</v>
      </c>
    </row>
    <row r="94" spans="2:49">
      <c r="AW94" s="189" t="s">
        <v>694</v>
      </c>
    </row>
    <row r="95" spans="2:49">
      <c r="AW95" s="189" t="s">
        <v>694</v>
      </c>
    </row>
    <row r="96" spans="2:49">
      <c r="AW96" s="189" t="s">
        <v>694</v>
      </c>
    </row>
    <row r="97" spans="49:49">
      <c r="AW97" s="189" t="s">
        <v>694</v>
      </c>
    </row>
    <row r="98" spans="49:49">
      <c r="AW98" s="189" t="s">
        <v>694</v>
      </c>
    </row>
    <row r="99" spans="49:49">
      <c r="AW99" s="189" t="s">
        <v>694</v>
      </c>
    </row>
    <row r="100" spans="49:49">
      <c r="AW100" s="189" t="s">
        <v>694</v>
      </c>
    </row>
    <row r="101" spans="49:49">
      <c r="AW101" s="189" t="s">
        <v>694</v>
      </c>
    </row>
    <row r="102" spans="49:49">
      <c r="AW102" s="189" t="s">
        <v>694</v>
      </c>
    </row>
    <row r="103" spans="49:49">
      <c r="AW103" s="189" t="s">
        <v>694</v>
      </c>
    </row>
    <row r="104" spans="49:49">
      <c r="AW104" s="189" t="s">
        <v>694</v>
      </c>
    </row>
    <row r="105" spans="49:49">
      <c r="AW105" s="189" t="s">
        <v>694</v>
      </c>
    </row>
    <row r="106" spans="49:49">
      <c r="AW106" s="189" t="s">
        <v>694</v>
      </c>
    </row>
    <row r="107" spans="49:49">
      <c r="AW107" s="189" t="s">
        <v>694</v>
      </c>
    </row>
    <row r="108" spans="49:49">
      <c r="AW108" s="189" t="s">
        <v>694</v>
      </c>
    </row>
    <row r="109" spans="49:49">
      <c r="AW109" s="189" t="s">
        <v>694</v>
      </c>
    </row>
    <row r="110" spans="49:49">
      <c r="AW110" s="189" t="s">
        <v>694</v>
      </c>
    </row>
    <row r="111" spans="49:49">
      <c r="AW111" s="189" t="s">
        <v>694</v>
      </c>
    </row>
    <row r="112" spans="49:49">
      <c r="AW112" s="189" t="s">
        <v>694</v>
      </c>
    </row>
    <row r="113" spans="49:49">
      <c r="AW113" s="189" t="s">
        <v>694</v>
      </c>
    </row>
    <row r="114" spans="49:49">
      <c r="AW114" s="189" t="s">
        <v>694</v>
      </c>
    </row>
    <row r="115" spans="49:49">
      <c r="AW115" s="189" t="s">
        <v>694</v>
      </c>
    </row>
    <row r="116" spans="49:49">
      <c r="AW116" s="189" t="s">
        <v>694</v>
      </c>
    </row>
    <row r="117" spans="49:49">
      <c r="AW117" s="189" t="s">
        <v>694</v>
      </c>
    </row>
    <row r="118" spans="49:49">
      <c r="AW118" s="189" t="s">
        <v>694</v>
      </c>
    </row>
    <row r="119" spans="49:49">
      <c r="AW119" s="189" t="s">
        <v>694</v>
      </c>
    </row>
    <row r="120" spans="49:49">
      <c r="AW120" s="189" t="s">
        <v>694</v>
      </c>
    </row>
    <row r="121" spans="49:49">
      <c r="AW121" s="189" t="s">
        <v>694</v>
      </c>
    </row>
    <row r="122" spans="49:49">
      <c r="AW122" s="189" t="s">
        <v>694</v>
      </c>
    </row>
    <row r="123" spans="49:49">
      <c r="AW123" s="189" t="s">
        <v>694</v>
      </c>
    </row>
    <row r="124" spans="49:49">
      <c r="AW124" s="189" t="s">
        <v>694</v>
      </c>
    </row>
    <row r="125" spans="49:49">
      <c r="AW125" s="189" t="s">
        <v>694</v>
      </c>
    </row>
    <row r="126" spans="49:49">
      <c r="AW126" s="189" t="s">
        <v>694</v>
      </c>
    </row>
    <row r="127" spans="49:49">
      <c r="AW127" s="189" t="s">
        <v>694</v>
      </c>
    </row>
    <row r="128" spans="49:49">
      <c r="AW128" s="189" t="s">
        <v>694</v>
      </c>
    </row>
    <row r="129" spans="49:49">
      <c r="AW129" s="189" t="s">
        <v>694</v>
      </c>
    </row>
    <row r="130" spans="49:49">
      <c r="AW130" s="189" t="s">
        <v>694</v>
      </c>
    </row>
    <row r="131" spans="49:49">
      <c r="AW131" s="189" t="s">
        <v>694</v>
      </c>
    </row>
    <row r="132" spans="49:49">
      <c r="AW132" s="189" t="s">
        <v>694</v>
      </c>
    </row>
    <row r="133" spans="49:49">
      <c r="AW133" s="189" t="s">
        <v>694</v>
      </c>
    </row>
    <row r="134" spans="49:49">
      <c r="AW134" s="189" t="s">
        <v>694</v>
      </c>
    </row>
    <row r="135" spans="49:49">
      <c r="AW135" s="189" t="s">
        <v>694</v>
      </c>
    </row>
    <row r="136" spans="49:49">
      <c r="AW136" s="189" t="s">
        <v>694</v>
      </c>
    </row>
    <row r="137" spans="49:49">
      <c r="AW137" s="189" t="s">
        <v>694</v>
      </c>
    </row>
    <row r="138" spans="49:49">
      <c r="AW138" s="189" t="s">
        <v>694</v>
      </c>
    </row>
    <row r="139" spans="49:49">
      <c r="AW139" s="189" t="s">
        <v>694</v>
      </c>
    </row>
    <row r="140" spans="49:49">
      <c r="AW140" s="189" t="s">
        <v>694</v>
      </c>
    </row>
    <row r="141" spans="49:49">
      <c r="AW141" s="189" t="s">
        <v>694</v>
      </c>
    </row>
    <row r="142" spans="49:49">
      <c r="AW142" s="189" t="s">
        <v>694</v>
      </c>
    </row>
    <row r="143" spans="49:49">
      <c r="AW143" s="189" t="s">
        <v>694</v>
      </c>
    </row>
    <row r="144" spans="49:49">
      <c r="AW144" s="189" t="s">
        <v>694</v>
      </c>
    </row>
    <row r="145" spans="49:49">
      <c r="AW145" s="189" t="s">
        <v>694</v>
      </c>
    </row>
    <row r="146" spans="49:49">
      <c r="AW146" s="189" t="s">
        <v>694</v>
      </c>
    </row>
    <row r="147" spans="49:49">
      <c r="AW147" s="189" t="s">
        <v>694</v>
      </c>
    </row>
    <row r="148" spans="49:49">
      <c r="AW148" s="189" t="s">
        <v>694</v>
      </c>
    </row>
    <row r="149" spans="49:49">
      <c r="AW149" s="189" t="s">
        <v>694</v>
      </c>
    </row>
    <row r="150" spans="49:49">
      <c r="AW150" s="189" t="s">
        <v>694</v>
      </c>
    </row>
    <row r="151" spans="49:49">
      <c r="AW151" s="189" t="s">
        <v>694</v>
      </c>
    </row>
    <row r="152" spans="49:49">
      <c r="AW152" s="189" t="s">
        <v>694</v>
      </c>
    </row>
    <row r="153" spans="49:49">
      <c r="AW153" s="189" t="s">
        <v>694</v>
      </c>
    </row>
    <row r="154" spans="49:49">
      <c r="AW154" s="189" t="s">
        <v>694</v>
      </c>
    </row>
    <row r="155" spans="49:49">
      <c r="AW155" s="189" t="s">
        <v>694</v>
      </c>
    </row>
    <row r="156" spans="49:49">
      <c r="AW156" s="189" t="s">
        <v>694</v>
      </c>
    </row>
    <row r="157" spans="49:49">
      <c r="AW157" s="189" t="s">
        <v>694</v>
      </c>
    </row>
    <row r="158" spans="49:49">
      <c r="AW158" s="189" t="s">
        <v>694</v>
      </c>
    </row>
    <row r="159" spans="49:49">
      <c r="AW159" s="189" t="s">
        <v>694</v>
      </c>
    </row>
    <row r="160" spans="49:49">
      <c r="AW160" s="189" t="s">
        <v>694</v>
      </c>
    </row>
    <row r="161" spans="49:49">
      <c r="AW161" s="189" t="s">
        <v>694</v>
      </c>
    </row>
    <row r="162" spans="49:49">
      <c r="AW162" s="189" t="s">
        <v>694</v>
      </c>
    </row>
    <row r="163" spans="49:49">
      <c r="AW163" s="189" t="s">
        <v>694</v>
      </c>
    </row>
    <row r="164" spans="49:49">
      <c r="AW164" s="189" t="s">
        <v>694</v>
      </c>
    </row>
    <row r="165" spans="49:49">
      <c r="AW165" s="189" t="s">
        <v>694</v>
      </c>
    </row>
    <row r="166" spans="49:49">
      <c r="AW166" s="189" t="s">
        <v>694</v>
      </c>
    </row>
    <row r="167" spans="49:49">
      <c r="AW167" s="189" t="s">
        <v>694</v>
      </c>
    </row>
    <row r="168" spans="49:49">
      <c r="AW168" s="189" t="s">
        <v>694</v>
      </c>
    </row>
    <row r="169" spans="49:49">
      <c r="AW169" s="189" t="s">
        <v>694</v>
      </c>
    </row>
    <row r="170" spans="49:49">
      <c r="AW170" s="189" t="s">
        <v>694</v>
      </c>
    </row>
    <row r="171" spans="49:49">
      <c r="AW171" s="189" t="s">
        <v>694</v>
      </c>
    </row>
    <row r="172" spans="49:49">
      <c r="AW172" s="189" t="s">
        <v>694</v>
      </c>
    </row>
    <row r="173" spans="49:49">
      <c r="AW173" s="189" t="s">
        <v>694</v>
      </c>
    </row>
    <row r="174" spans="49:49">
      <c r="AW174" s="189" t="s">
        <v>694</v>
      </c>
    </row>
    <row r="175" spans="49:49">
      <c r="AW175" s="189" t="s">
        <v>694</v>
      </c>
    </row>
    <row r="176" spans="49:49">
      <c r="AW176" s="189" t="s">
        <v>694</v>
      </c>
    </row>
    <row r="177" spans="49:49">
      <c r="AW177" s="189" t="s">
        <v>694</v>
      </c>
    </row>
    <row r="178" spans="49:49">
      <c r="AW178" s="189" t="s">
        <v>694</v>
      </c>
    </row>
    <row r="179" spans="49:49">
      <c r="AW179" s="189" t="s">
        <v>694</v>
      </c>
    </row>
    <row r="180" spans="49:49">
      <c r="AW180" s="189" t="s">
        <v>694</v>
      </c>
    </row>
    <row r="181" spans="49:49">
      <c r="AW181" s="189" t="s">
        <v>694</v>
      </c>
    </row>
    <row r="182" spans="49:49">
      <c r="AW182" s="189" t="s">
        <v>694</v>
      </c>
    </row>
    <row r="183" spans="49:49">
      <c r="AW183" s="189" t="s">
        <v>694</v>
      </c>
    </row>
    <row r="184" spans="49:49">
      <c r="AW184" s="189" t="s">
        <v>694</v>
      </c>
    </row>
    <row r="185" spans="49:49">
      <c r="AW185" s="189" t="s">
        <v>694</v>
      </c>
    </row>
    <row r="186" spans="49:49">
      <c r="AW186" s="189" t="s">
        <v>694</v>
      </c>
    </row>
    <row r="187" spans="49:49">
      <c r="AW187" s="189" t="s">
        <v>694</v>
      </c>
    </row>
    <row r="188" spans="49:49">
      <c r="AW188" s="189" t="s">
        <v>694</v>
      </c>
    </row>
    <row r="189" spans="49:49">
      <c r="AW189" s="189" t="s">
        <v>694</v>
      </c>
    </row>
    <row r="190" spans="49:49">
      <c r="AW190" s="189" t="s">
        <v>694</v>
      </c>
    </row>
    <row r="191" spans="49:49">
      <c r="AW191" s="189" t="s">
        <v>694</v>
      </c>
    </row>
    <row r="192" spans="49:49">
      <c r="AW192" s="189" t="s">
        <v>694</v>
      </c>
    </row>
    <row r="193" spans="49:49">
      <c r="AW193" s="189" t="s">
        <v>694</v>
      </c>
    </row>
    <row r="194" spans="49:49">
      <c r="AW194" s="189" t="s">
        <v>694</v>
      </c>
    </row>
    <row r="195" spans="49:49">
      <c r="AW195" s="189" t="s">
        <v>694</v>
      </c>
    </row>
    <row r="196" spans="49:49">
      <c r="AW196" s="189" t="s">
        <v>694</v>
      </c>
    </row>
    <row r="197" spans="49:49">
      <c r="AW197" s="189" t="s">
        <v>694</v>
      </c>
    </row>
    <row r="198" spans="49:49">
      <c r="AW198" s="189" t="s">
        <v>694</v>
      </c>
    </row>
    <row r="199" spans="49:49">
      <c r="AW199" s="189" t="s">
        <v>694</v>
      </c>
    </row>
    <row r="200" spans="49:49">
      <c r="AW200" s="189" t="s">
        <v>694</v>
      </c>
    </row>
    <row r="201" spans="49:49">
      <c r="AW201" s="189" t="s">
        <v>694</v>
      </c>
    </row>
    <row r="202" spans="49:49">
      <c r="AW202" s="189" t="s">
        <v>694</v>
      </c>
    </row>
    <row r="203" spans="49:49">
      <c r="AW203" s="189" t="s">
        <v>694</v>
      </c>
    </row>
    <row r="204" spans="49:49">
      <c r="AW204" s="189" t="s">
        <v>694</v>
      </c>
    </row>
    <row r="205" spans="49:49">
      <c r="AW205" s="189" t="s">
        <v>694</v>
      </c>
    </row>
    <row r="206" spans="49:49">
      <c r="AW206" s="189" t="s">
        <v>694</v>
      </c>
    </row>
    <row r="207" spans="49:49">
      <c r="AW207" s="189" t="s">
        <v>694</v>
      </c>
    </row>
    <row r="208" spans="49:49">
      <c r="AW208" s="189" t="s">
        <v>694</v>
      </c>
    </row>
    <row r="209" spans="49:49">
      <c r="AW209" s="189" t="s">
        <v>694</v>
      </c>
    </row>
    <row r="210" spans="49:49">
      <c r="AW210" s="189" t="s">
        <v>694</v>
      </c>
    </row>
    <row r="211" spans="49:49">
      <c r="AW211" s="189" t="s">
        <v>694</v>
      </c>
    </row>
    <row r="212" spans="49:49">
      <c r="AW212" s="189" t="s">
        <v>694</v>
      </c>
    </row>
    <row r="213" spans="49:49">
      <c r="AW213" s="189" t="s">
        <v>694</v>
      </c>
    </row>
    <row r="214" spans="49:49">
      <c r="AW214" s="189" t="s">
        <v>694</v>
      </c>
    </row>
    <row r="215" spans="49:49">
      <c r="AW215" s="189" t="s">
        <v>694</v>
      </c>
    </row>
    <row r="216" spans="49:49">
      <c r="AW216" s="189" t="s">
        <v>694</v>
      </c>
    </row>
    <row r="217" spans="49:49">
      <c r="AW217" s="189" t="s">
        <v>694</v>
      </c>
    </row>
    <row r="218" spans="49:49">
      <c r="AW218" s="189" t="s">
        <v>694</v>
      </c>
    </row>
    <row r="219" spans="49:49">
      <c r="AW219" s="189" t="s">
        <v>694</v>
      </c>
    </row>
    <row r="220" spans="49:49">
      <c r="AW220" s="189" t="s">
        <v>694</v>
      </c>
    </row>
    <row r="221" spans="49:49">
      <c r="AW221" s="189" t="s">
        <v>694</v>
      </c>
    </row>
    <row r="222" spans="49:49">
      <c r="AW222" s="189" t="s">
        <v>694</v>
      </c>
    </row>
    <row r="223" spans="49:49">
      <c r="AW223" s="189" t="s">
        <v>694</v>
      </c>
    </row>
    <row r="224" spans="49:49">
      <c r="AW224" s="189" t="s">
        <v>694</v>
      </c>
    </row>
    <row r="225" spans="49:49">
      <c r="AW225" s="189" t="s">
        <v>694</v>
      </c>
    </row>
    <row r="226" spans="49:49">
      <c r="AW226" s="189" t="s">
        <v>694</v>
      </c>
    </row>
    <row r="227" spans="49:49">
      <c r="AW227" s="189" t="s">
        <v>694</v>
      </c>
    </row>
    <row r="228" spans="49:49">
      <c r="AW228" s="189" t="s">
        <v>694</v>
      </c>
    </row>
    <row r="229" spans="49:49">
      <c r="AW229" s="189" t="s">
        <v>694</v>
      </c>
    </row>
    <row r="230" spans="49:49">
      <c r="AW230" s="189" t="s">
        <v>694</v>
      </c>
    </row>
    <row r="231" spans="49:49">
      <c r="AW231" s="189" t="s">
        <v>694</v>
      </c>
    </row>
    <row r="232" spans="49:49">
      <c r="AW232" s="189" t="s">
        <v>694</v>
      </c>
    </row>
    <row r="233" spans="49:49">
      <c r="AW233" s="189" t="s">
        <v>694</v>
      </c>
    </row>
    <row r="234" spans="49:49">
      <c r="AW234" s="189" t="s">
        <v>694</v>
      </c>
    </row>
    <row r="235" spans="49:49">
      <c r="AW235" s="189" t="s">
        <v>694</v>
      </c>
    </row>
    <row r="236" spans="49:49">
      <c r="AW236" s="189" t="s">
        <v>694</v>
      </c>
    </row>
    <row r="237" spans="49:49">
      <c r="AW237" s="189" t="s">
        <v>694</v>
      </c>
    </row>
    <row r="238" spans="49:49">
      <c r="AW238" s="189" t="s">
        <v>694</v>
      </c>
    </row>
    <row r="239" spans="49:49">
      <c r="AW239" s="189" t="s">
        <v>694</v>
      </c>
    </row>
    <row r="240" spans="49:49">
      <c r="AW240" s="189" t="s">
        <v>694</v>
      </c>
    </row>
    <row r="241" spans="49:49">
      <c r="AW241" s="189" t="s">
        <v>694</v>
      </c>
    </row>
    <row r="242" spans="49:49">
      <c r="AW242" s="189" t="s">
        <v>694</v>
      </c>
    </row>
    <row r="243" spans="49:49">
      <c r="AW243" s="189" t="s">
        <v>694</v>
      </c>
    </row>
    <row r="244" spans="49:49">
      <c r="AW244" s="189" t="s">
        <v>694</v>
      </c>
    </row>
    <row r="245" spans="49:49">
      <c r="AW245" s="189" t="s">
        <v>694</v>
      </c>
    </row>
    <row r="246" spans="49:49">
      <c r="AW246" s="189" t="s">
        <v>694</v>
      </c>
    </row>
    <row r="247" spans="49:49">
      <c r="AW247" s="189" t="s">
        <v>694</v>
      </c>
    </row>
    <row r="248" spans="49:49">
      <c r="AW248" s="189" t="s">
        <v>694</v>
      </c>
    </row>
    <row r="249" spans="49:49">
      <c r="AW249" s="189" t="s">
        <v>694</v>
      </c>
    </row>
    <row r="250" spans="49:49">
      <c r="AW250" s="189" t="s">
        <v>694</v>
      </c>
    </row>
    <row r="251" spans="49:49">
      <c r="AW251" s="189" t="s">
        <v>694</v>
      </c>
    </row>
    <row r="252" spans="49:49">
      <c r="AW252" s="189" t="s">
        <v>694</v>
      </c>
    </row>
    <row r="253" spans="49:49">
      <c r="AW253" s="189" t="s">
        <v>694</v>
      </c>
    </row>
    <row r="254" spans="49:49">
      <c r="AW254" s="189" t="s">
        <v>694</v>
      </c>
    </row>
    <row r="255" spans="49:49">
      <c r="AW255" s="189" t="s">
        <v>694</v>
      </c>
    </row>
    <row r="256" spans="49:49">
      <c r="AW256" s="189" t="s">
        <v>694</v>
      </c>
    </row>
    <row r="257" spans="49:49">
      <c r="AW257" s="189" t="s">
        <v>694</v>
      </c>
    </row>
    <row r="258" spans="49:49">
      <c r="AW258" s="189" t="s">
        <v>694</v>
      </c>
    </row>
    <row r="259" spans="49:49">
      <c r="AW259" s="189" t="s">
        <v>694</v>
      </c>
    </row>
    <row r="260" spans="49:49">
      <c r="AW260" s="189" t="s">
        <v>694</v>
      </c>
    </row>
    <row r="261" spans="49:49">
      <c r="AW261" s="189" t="s">
        <v>694</v>
      </c>
    </row>
    <row r="262" spans="49:49">
      <c r="AW262" s="189" t="s">
        <v>694</v>
      </c>
    </row>
    <row r="263" spans="49:49">
      <c r="AW263" s="189" t="s">
        <v>694</v>
      </c>
    </row>
    <row r="264" spans="49:49">
      <c r="AW264" s="189" t="s">
        <v>694</v>
      </c>
    </row>
    <row r="265" spans="49:49">
      <c r="AW265" s="189" t="s">
        <v>694</v>
      </c>
    </row>
    <row r="266" spans="49:49">
      <c r="AW266" s="189" t="s">
        <v>694</v>
      </c>
    </row>
    <row r="267" spans="49:49">
      <c r="AW267" s="189" t="s">
        <v>694</v>
      </c>
    </row>
    <row r="268" spans="49:49">
      <c r="AW268" s="189" t="s">
        <v>694</v>
      </c>
    </row>
    <row r="269" spans="49:49">
      <c r="AW269" s="189" t="s">
        <v>694</v>
      </c>
    </row>
    <row r="270" spans="49:49">
      <c r="AW270" s="189" t="s">
        <v>694</v>
      </c>
    </row>
    <row r="271" spans="49:49">
      <c r="AW271" s="189" t="s">
        <v>694</v>
      </c>
    </row>
    <row r="272" spans="49:49">
      <c r="AW272" s="189" t="s">
        <v>694</v>
      </c>
    </row>
    <row r="273" spans="49:49">
      <c r="AW273" s="189" t="s">
        <v>694</v>
      </c>
    </row>
    <row r="274" spans="49:49">
      <c r="AW274" s="189" t="s">
        <v>694</v>
      </c>
    </row>
    <row r="275" spans="49:49">
      <c r="AW275" s="189" t="s">
        <v>694</v>
      </c>
    </row>
    <row r="276" spans="49:49">
      <c r="AW276" s="189" t="s">
        <v>694</v>
      </c>
    </row>
    <row r="277" spans="49:49">
      <c r="AW277" s="189" t="s">
        <v>694</v>
      </c>
    </row>
    <row r="278" spans="49:49">
      <c r="AW278" s="189" t="s">
        <v>694</v>
      </c>
    </row>
    <row r="279" spans="49:49">
      <c r="AW279" s="189" t="s">
        <v>694</v>
      </c>
    </row>
    <row r="280" spans="49:49">
      <c r="AW280" s="189" t="s">
        <v>694</v>
      </c>
    </row>
    <row r="281" spans="49:49">
      <c r="AW281" s="189" t="s">
        <v>694</v>
      </c>
    </row>
    <row r="282" spans="49:49">
      <c r="AW282" s="189" t="s">
        <v>694</v>
      </c>
    </row>
    <row r="283" spans="49:49">
      <c r="AW283" s="189" t="s">
        <v>694</v>
      </c>
    </row>
    <row r="284" spans="49:49">
      <c r="AW284" s="189" t="s">
        <v>694</v>
      </c>
    </row>
    <row r="285" spans="49:49">
      <c r="AW285" s="189" t="s">
        <v>694</v>
      </c>
    </row>
    <row r="286" spans="49:49">
      <c r="AW286" s="189" t="s">
        <v>694</v>
      </c>
    </row>
    <row r="287" spans="49:49">
      <c r="AW287" s="189" t="s">
        <v>694</v>
      </c>
    </row>
    <row r="288" spans="49:49">
      <c r="AW288" s="189" t="s">
        <v>694</v>
      </c>
    </row>
    <row r="289" spans="49:49">
      <c r="AW289" s="189" t="s">
        <v>694</v>
      </c>
    </row>
    <row r="290" spans="49:49">
      <c r="AW290" s="189" t="s">
        <v>694</v>
      </c>
    </row>
    <row r="291" spans="49:49">
      <c r="AW291" s="189" t="s">
        <v>694</v>
      </c>
    </row>
    <row r="292" spans="49:49">
      <c r="AW292" s="189" t="s">
        <v>694</v>
      </c>
    </row>
    <row r="293" spans="49:49">
      <c r="AW293" s="189" t="s">
        <v>694</v>
      </c>
    </row>
    <row r="294" spans="49:49">
      <c r="AW294" s="189" t="s">
        <v>694</v>
      </c>
    </row>
    <row r="295" spans="49:49">
      <c r="AW295" s="189" t="s">
        <v>694</v>
      </c>
    </row>
    <row r="296" spans="49:49">
      <c r="AW296" s="189" t="s">
        <v>694</v>
      </c>
    </row>
    <row r="297" spans="49:49">
      <c r="AW297" s="189" t="s">
        <v>694</v>
      </c>
    </row>
    <row r="298" spans="49:49">
      <c r="AW298" s="189" t="s">
        <v>694</v>
      </c>
    </row>
    <row r="299" spans="49:49">
      <c r="AW299" s="189" t="s">
        <v>694</v>
      </c>
    </row>
    <row r="300" spans="49:49">
      <c r="AW300" s="189" t="s">
        <v>694</v>
      </c>
    </row>
    <row r="301" spans="49:49">
      <c r="AW301" s="189" t="s">
        <v>694</v>
      </c>
    </row>
    <row r="302" spans="49:49">
      <c r="AW302" s="189" t="s">
        <v>694</v>
      </c>
    </row>
    <row r="303" spans="49:49">
      <c r="AW303" s="189" t="s">
        <v>694</v>
      </c>
    </row>
    <row r="304" spans="49:49">
      <c r="AW304" s="189" t="s">
        <v>694</v>
      </c>
    </row>
    <row r="305" spans="49:49">
      <c r="AW305" s="189" t="s">
        <v>694</v>
      </c>
    </row>
    <row r="306" spans="49:49">
      <c r="AW306" s="189" t="s">
        <v>694</v>
      </c>
    </row>
    <row r="307" spans="49:49">
      <c r="AW307" s="189" t="s">
        <v>694</v>
      </c>
    </row>
    <row r="308" spans="49:49">
      <c r="AW308" s="189" t="s">
        <v>694</v>
      </c>
    </row>
    <row r="309" spans="49:49">
      <c r="AW309" s="189" t="s">
        <v>694</v>
      </c>
    </row>
    <row r="310" spans="49:49">
      <c r="AW310" s="189" t="s">
        <v>694</v>
      </c>
    </row>
    <row r="311" spans="49:49">
      <c r="AW311" s="189" t="s">
        <v>694</v>
      </c>
    </row>
    <row r="312" spans="49:49">
      <c r="AW312" s="189" t="s">
        <v>694</v>
      </c>
    </row>
    <row r="313" spans="49:49">
      <c r="AW313" s="189" t="s">
        <v>694</v>
      </c>
    </row>
    <row r="314" spans="49:49">
      <c r="AW314" s="189" t="s">
        <v>694</v>
      </c>
    </row>
    <row r="315" spans="49:49">
      <c r="AW315" s="189" t="s">
        <v>694</v>
      </c>
    </row>
    <row r="316" spans="49:49">
      <c r="AW316" s="189" t="s">
        <v>694</v>
      </c>
    </row>
    <row r="317" spans="49:49">
      <c r="AW317" s="189" t="s">
        <v>694</v>
      </c>
    </row>
    <row r="318" spans="49:49">
      <c r="AW318" s="189" t="s">
        <v>694</v>
      </c>
    </row>
    <row r="319" spans="49:49">
      <c r="AW319" s="189" t="s">
        <v>694</v>
      </c>
    </row>
    <row r="320" spans="49:49">
      <c r="AW320" s="189" t="s">
        <v>694</v>
      </c>
    </row>
    <row r="321" spans="49:49">
      <c r="AW321" s="189" t="s">
        <v>694</v>
      </c>
    </row>
    <row r="322" spans="49:49">
      <c r="AW322" s="189" t="s">
        <v>694</v>
      </c>
    </row>
    <row r="323" spans="49:49">
      <c r="AW323" s="189" t="s">
        <v>694</v>
      </c>
    </row>
    <row r="324" spans="49:49">
      <c r="AW324" s="189" t="s">
        <v>694</v>
      </c>
    </row>
    <row r="325" spans="49:49">
      <c r="AW325" s="189" t="s">
        <v>694</v>
      </c>
    </row>
    <row r="326" spans="49:49">
      <c r="AW326" s="189" t="s">
        <v>694</v>
      </c>
    </row>
    <row r="327" spans="49:49">
      <c r="AW327" s="189" t="s">
        <v>694</v>
      </c>
    </row>
    <row r="328" spans="49:49">
      <c r="AW328" s="189" t="s">
        <v>694</v>
      </c>
    </row>
    <row r="329" spans="49:49">
      <c r="AW329" s="189" t="s">
        <v>694</v>
      </c>
    </row>
    <row r="330" spans="49:49">
      <c r="AW330" s="189" t="s">
        <v>694</v>
      </c>
    </row>
    <row r="331" spans="49:49">
      <c r="AW331" s="189" t="s">
        <v>694</v>
      </c>
    </row>
    <row r="332" spans="49:49">
      <c r="AW332" s="189" t="s">
        <v>694</v>
      </c>
    </row>
    <row r="333" spans="49:49">
      <c r="AW333" s="189" t="s">
        <v>694</v>
      </c>
    </row>
    <row r="334" spans="49:49">
      <c r="AW334" s="189" t="s">
        <v>694</v>
      </c>
    </row>
    <row r="335" spans="49:49">
      <c r="AW335" s="189" t="s">
        <v>694</v>
      </c>
    </row>
    <row r="336" spans="49:49">
      <c r="AW336" s="189" t="s">
        <v>694</v>
      </c>
    </row>
    <row r="337" spans="49:49">
      <c r="AW337" s="189" t="s">
        <v>694</v>
      </c>
    </row>
    <row r="338" spans="49:49">
      <c r="AW338" s="189" t="s">
        <v>694</v>
      </c>
    </row>
    <row r="339" spans="49:49">
      <c r="AW339" s="189" t="s">
        <v>694</v>
      </c>
    </row>
    <row r="340" spans="49:49">
      <c r="AW340" s="189" t="s">
        <v>694</v>
      </c>
    </row>
    <row r="341" spans="49:49">
      <c r="AW341" s="189" t="s">
        <v>694</v>
      </c>
    </row>
    <row r="342" spans="49:49">
      <c r="AW342" s="189" t="s">
        <v>694</v>
      </c>
    </row>
    <row r="343" spans="49:49">
      <c r="AW343" s="189" t="s">
        <v>694</v>
      </c>
    </row>
    <row r="344" spans="49:49">
      <c r="AW344" s="189" t="s">
        <v>694</v>
      </c>
    </row>
    <row r="345" spans="49:49">
      <c r="AW345" s="189" t="s">
        <v>694</v>
      </c>
    </row>
    <row r="346" spans="49:49">
      <c r="AW346" s="189" t="s">
        <v>694</v>
      </c>
    </row>
    <row r="347" spans="49:49">
      <c r="AW347" s="189" t="s">
        <v>694</v>
      </c>
    </row>
    <row r="348" spans="49:49">
      <c r="AW348" s="189" t="s">
        <v>694</v>
      </c>
    </row>
    <row r="349" spans="49:49">
      <c r="AW349" s="189" t="s">
        <v>694</v>
      </c>
    </row>
    <row r="350" spans="49:49">
      <c r="AW350" s="189" t="s">
        <v>694</v>
      </c>
    </row>
    <row r="351" spans="49:49">
      <c r="AW351" s="189" t="s">
        <v>694</v>
      </c>
    </row>
    <row r="352" spans="49:49">
      <c r="AW352" s="189" t="s">
        <v>694</v>
      </c>
    </row>
    <row r="353" spans="49:49">
      <c r="AW353" s="189" t="s">
        <v>694</v>
      </c>
    </row>
    <row r="354" spans="49:49">
      <c r="AW354" s="189" t="s">
        <v>694</v>
      </c>
    </row>
    <row r="355" spans="49:49">
      <c r="AW355" s="189" t="s">
        <v>694</v>
      </c>
    </row>
    <row r="356" spans="49:49">
      <c r="AW356" s="189" t="s">
        <v>694</v>
      </c>
    </row>
    <row r="357" spans="49:49">
      <c r="AW357" s="189" t="s">
        <v>694</v>
      </c>
    </row>
    <row r="358" spans="49:49">
      <c r="AW358" s="189" t="s">
        <v>694</v>
      </c>
    </row>
    <row r="359" spans="49:49">
      <c r="AW359" s="189" t="s">
        <v>694</v>
      </c>
    </row>
    <row r="360" spans="49:49">
      <c r="AW360" s="189" t="s">
        <v>694</v>
      </c>
    </row>
    <row r="361" spans="49:49">
      <c r="AW361" s="189" t="s">
        <v>694</v>
      </c>
    </row>
    <row r="362" spans="49:49">
      <c r="AW362" s="189" t="s">
        <v>694</v>
      </c>
    </row>
    <row r="363" spans="49:49">
      <c r="AW363" s="189" t="s">
        <v>694</v>
      </c>
    </row>
    <row r="364" spans="49:49">
      <c r="AW364" s="189" t="s">
        <v>694</v>
      </c>
    </row>
    <row r="365" spans="49:49">
      <c r="AW365" s="189" t="s">
        <v>694</v>
      </c>
    </row>
    <row r="366" spans="49:49">
      <c r="AW366" s="189" t="s">
        <v>694</v>
      </c>
    </row>
    <row r="367" spans="49:49">
      <c r="AW367" s="189" t="s">
        <v>694</v>
      </c>
    </row>
    <row r="368" spans="49:49">
      <c r="AW368" s="189" t="s">
        <v>694</v>
      </c>
    </row>
    <row r="369" spans="49:49">
      <c r="AW369" s="189" t="s">
        <v>694</v>
      </c>
    </row>
    <row r="370" spans="49:49">
      <c r="AW370" s="189" t="s">
        <v>694</v>
      </c>
    </row>
    <row r="371" spans="49:49">
      <c r="AW371" s="189" t="s">
        <v>694</v>
      </c>
    </row>
    <row r="372" spans="49:49">
      <c r="AW372" s="189" t="s">
        <v>694</v>
      </c>
    </row>
    <row r="373" spans="49:49">
      <c r="AW373" s="189" t="s">
        <v>694</v>
      </c>
    </row>
    <row r="374" spans="49:49">
      <c r="AW374" s="189" t="s">
        <v>694</v>
      </c>
    </row>
    <row r="375" spans="49:49">
      <c r="AW375" s="189" t="s">
        <v>694</v>
      </c>
    </row>
    <row r="376" spans="49:49">
      <c r="AW376" s="189" t="s">
        <v>694</v>
      </c>
    </row>
    <row r="377" spans="49:49">
      <c r="AW377" s="189" t="s">
        <v>694</v>
      </c>
    </row>
    <row r="378" spans="49:49">
      <c r="AW378" s="189" t="s">
        <v>694</v>
      </c>
    </row>
    <row r="379" spans="49:49">
      <c r="AW379" s="189" t="s">
        <v>694</v>
      </c>
    </row>
    <row r="380" spans="49:49">
      <c r="AW380" s="189" t="s">
        <v>694</v>
      </c>
    </row>
    <row r="381" spans="49:49">
      <c r="AW381" s="189" t="s">
        <v>694</v>
      </c>
    </row>
    <row r="382" spans="49:49">
      <c r="AW382" s="189" t="s">
        <v>694</v>
      </c>
    </row>
    <row r="383" spans="49:49">
      <c r="AW383" s="189" t="s">
        <v>694</v>
      </c>
    </row>
    <row r="384" spans="49:49">
      <c r="AW384" s="189" t="s">
        <v>694</v>
      </c>
    </row>
    <row r="385" spans="22:49">
      <c r="AW385" s="189" t="s">
        <v>694</v>
      </c>
    </row>
    <row r="386" spans="22:49">
      <c r="AW386" s="189" t="s">
        <v>694</v>
      </c>
    </row>
    <row r="387" spans="22:49">
      <c r="AW387" s="189" t="s">
        <v>694</v>
      </c>
    </row>
    <row r="388" spans="22:49">
      <c r="AW388" s="189" t="s">
        <v>694</v>
      </c>
    </row>
    <row r="389" spans="22:49">
      <c r="AW389" s="189" t="s">
        <v>694</v>
      </c>
    </row>
    <row r="390" spans="22:49">
      <c r="AW390" s="189" t="s">
        <v>694</v>
      </c>
    </row>
    <row r="391" spans="22:49">
      <c r="AW391" s="189" t="s">
        <v>694</v>
      </c>
    </row>
    <row r="392" spans="22:49">
      <c r="AW392" s="189" t="s">
        <v>694</v>
      </c>
    </row>
    <row r="393" spans="22:49">
      <c r="AW393" s="189" t="s">
        <v>694</v>
      </c>
    </row>
    <row r="394" spans="22:49">
      <c r="AW394" s="189" t="s">
        <v>694</v>
      </c>
    </row>
    <row r="395" spans="22:49">
      <c r="AW395" s="189" t="s">
        <v>694</v>
      </c>
    </row>
    <row r="396" spans="22:49">
      <c r="AW396" s="189" t="s">
        <v>694</v>
      </c>
    </row>
    <row r="397" spans="22:49">
      <c r="AW397" s="189" t="s">
        <v>694</v>
      </c>
    </row>
    <row r="398" spans="22:49">
      <c r="V398" s="189" t="s">
        <v>952</v>
      </c>
      <c r="AW398" s="189" t="s">
        <v>694</v>
      </c>
    </row>
    <row r="399" spans="22:49">
      <c r="AW399" s="189" t="s">
        <v>694</v>
      </c>
    </row>
    <row r="400" spans="22:49">
      <c r="AW400" s="189" t="s">
        <v>694</v>
      </c>
    </row>
    <row r="401" spans="49:49">
      <c r="AW401" s="189" t="s">
        <v>694</v>
      </c>
    </row>
    <row r="402" spans="49:49">
      <c r="AW402" s="189" t="s">
        <v>694</v>
      </c>
    </row>
    <row r="403" spans="49:49">
      <c r="AW403" s="189" t="s">
        <v>694</v>
      </c>
    </row>
    <row r="404" spans="49:49">
      <c r="AW404" s="189" t="s">
        <v>694</v>
      </c>
    </row>
    <row r="405" spans="49:49">
      <c r="AW405" s="189" t="s">
        <v>694</v>
      </c>
    </row>
    <row r="406" spans="49:49">
      <c r="AW406" s="189" t="s">
        <v>694</v>
      </c>
    </row>
    <row r="407" spans="49:49">
      <c r="AW407" s="189" t="s">
        <v>694</v>
      </c>
    </row>
    <row r="408" spans="49:49">
      <c r="AW408" s="189" t="s">
        <v>694</v>
      </c>
    </row>
    <row r="409" spans="49:49">
      <c r="AW409" s="189" t="s">
        <v>694</v>
      </c>
    </row>
    <row r="410" spans="49:49">
      <c r="AW410" s="189" t="s">
        <v>694</v>
      </c>
    </row>
    <row r="411" spans="49:49">
      <c r="AW411" s="189" t="s">
        <v>694</v>
      </c>
    </row>
    <row r="412" spans="49:49">
      <c r="AW412" s="189" t="s">
        <v>694</v>
      </c>
    </row>
    <row r="413" spans="49:49">
      <c r="AW413" s="189" t="s">
        <v>694</v>
      </c>
    </row>
    <row r="414" spans="49:49">
      <c r="AW414" s="189" t="s">
        <v>694</v>
      </c>
    </row>
    <row r="415" spans="49:49">
      <c r="AW415" s="189" t="s">
        <v>694</v>
      </c>
    </row>
    <row r="416" spans="49:49">
      <c r="AW416" s="189" t="s">
        <v>694</v>
      </c>
    </row>
    <row r="417" spans="49:49">
      <c r="AW417" s="189" t="s">
        <v>694</v>
      </c>
    </row>
    <row r="418" spans="49:49">
      <c r="AW418" s="189" t="s">
        <v>694</v>
      </c>
    </row>
    <row r="419" spans="49:49">
      <c r="AW419" s="189" t="s">
        <v>694</v>
      </c>
    </row>
    <row r="420" spans="49:49">
      <c r="AW420" s="189" t="s">
        <v>694</v>
      </c>
    </row>
    <row r="421" spans="49:49">
      <c r="AW421" s="189" t="s">
        <v>694</v>
      </c>
    </row>
    <row r="422" spans="49:49">
      <c r="AW422" s="189" t="s">
        <v>694</v>
      </c>
    </row>
    <row r="423" spans="49:49">
      <c r="AW423" s="189" t="s">
        <v>694</v>
      </c>
    </row>
    <row r="424" spans="49:49">
      <c r="AW424" s="189" t="s">
        <v>694</v>
      </c>
    </row>
    <row r="425" spans="49:49">
      <c r="AW425" s="189" t="s">
        <v>694</v>
      </c>
    </row>
    <row r="426" spans="49:49">
      <c r="AW426" s="189" t="s">
        <v>694</v>
      </c>
    </row>
    <row r="427" spans="49:49">
      <c r="AW427" s="189" t="s">
        <v>694</v>
      </c>
    </row>
    <row r="428" spans="49:49">
      <c r="AW428" s="189" t="s">
        <v>694</v>
      </c>
    </row>
    <row r="429" spans="49:49">
      <c r="AW429" s="189" t="s">
        <v>694</v>
      </c>
    </row>
    <row r="430" spans="49:49">
      <c r="AW430" s="189" t="s">
        <v>694</v>
      </c>
    </row>
    <row r="431" spans="49:49">
      <c r="AW431" s="189" t="s">
        <v>694</v>
      </c>
    </row>
    <row r="432" spans="49:49">
      <c r="AW432" s="189" t="s">
        <v>694</v>
      </c>
    </row>
    <row r="433" spans="49:49">
      <c r="AW433" s="189" t="s">
        <v>694</v>
      </c>
    </row>
    <row r="434" spans="49:49">
      <c r="AW434" s="189" t="s">
        <v>694</v>
      </c>
    </row>
    <row r="435" spans="49:49">
      <c r="AW435" s="189" t="s">
        <v>694</v>
      </c>
    </row>
    <row r="436" spans="49:49">
      <c r="AW436" s="189" t="s">
        <v>694</v>
      </c>
    </row>
    <row r="437" spans="49:49">
      <c r="AW437" s="189" t="s">
        <v>694</v>
      </c>
    </row>
    <row r="438" spans="49:49">
      <c r="AW438" s="189" t="s">
        <v>694</v>
      </c>
    </row>
    <row r="439" spans="49:49">
      <c r="AW439" s="189" t="s">
        <v>694</v>
      </c>
    </row>
    <row r="440" spans="49:49">
      <c r="AW440" s="189" t="s">
        <v>694</v>
      </c>
    </row>
    <row r="441" spans="49:49">
      <c r="AW441" s="189" t="s">
        <v>694</v>
      </c>
    </row>
    <row r="442" spans="49:49">
      <c r="AW442" s="189" t="s">
        <v>694</v>
      </c>
    </row>
    <row r="443" spans="49:49">
      <c r="AW443" s="189" t="s">
        <v>694</v>
      </c>
    </row>
    <row r="444" spans="49:49">
      <c r="AW444" s="189" t="s">
        <v>694</v>
      </c>
    </row>
    <row r="445" spans="49:49">
      <c r="AW445" s="189" t="s">
        <v>694</v>
      </c>
    </row>
    <row r="446" spans="49:49">
      <c r="AW446" s="189" t="s">
        <v>694</v>
      </c>
    </row>
    <row r="447" spans="49:49">
      <c r="AW447" s="189" t="s">
        <v>694</v>
      </c>
    </row>
    <row r="448" spans="49:49">
      <c r="AW448" s="189" t="s">
        <v>694</v>
      </c>
    </row>
    <row r="449" spans="49:49">
      <c r="AW449" s="189" t="s">
        <v>694</v>
      </c>
    </row>
    <row r="450" spans="49:49">
      <c r="AW450" s="189" t="s">
        <v>694</v>
      </c>
    </row>
    <row r="451" spans="49:49">
      <c r="AW451" s="189" t="s">
        <v>694</v>
      </c>
    </row>
    <row r="452" spans="49:49">
      <c r="AW452" s="189" t="s">
        <v>694</v>
      </c>
    </row>
    <row r="453" spans="49:49">
      <c r="AW453" s="189" t="s">
        <v>694</v>
      </c>
    </row>
    <row r="454" spans="49:49">
      <c r="AW454" s="189" t="s">
        <v>694</v>
      </c>
    </row>
    <row r="455" spans="49:49">
      <c r="AW455" s="189" t="s">
        <v>694</v>
      </c>
    </row>
    <row r="456" spans="49:49">
      <c r="AW456" s="189" t="s">
        <v>694</v>
      </c>
    </row>
    <row r="457" spans="49:49">
      <c r="AW457" s="189" t="s">
        <v>694</v>
      </c>
    </row>
    <row r="458" spans="49:49">
      <c r="AW458" s="189" t="s">
        <v>694</v>
      </c>
    </row>
    <row r="459" spans="49:49">
      <c r="AW459" s="189" t="s">
        <v>694</v>
      </c>
    </row>
    <row r="460" spans="49:49">
      <c r="AW460" s="189" t="s">
        <v>694</v>
      </c>
    </row>
    <row r="461" spans="49:49">
      <c r="AW461" s="189" t="s">
        <v>694</v>
      </c>
    </row>
    <row r="462" spans="49:49">
      <c r="AW462" s="189" t="s">
        <v>694</v>
      </c>
    </row>
    <row r="463" spans="49:49">
      <c r="AW463" s="189" t="s">
        <v>694</v>
      </c>
    </row>
    <row r="464" spans="49:49">
      <c r="AW464" s="189" t="s">
        <v>694</v>
      </c>
    </row>
    <row r="465" spans="49:49">
      <c r="AW465" s="189" t="s">
        <v>694</v>
      </c>
    </row>
  </sheetData>
  <mergeCells count="9">
    <mergeCell ref="C8:G8"/>
    <mergeCell ref="C9:F9"/>
    <mergeCell ref="B36:E36"/>
    <mergeCell ref="C3:C4"/>
    <mergeCell ref="D3:D4"/>
    <mergeCell ref="E3:E4"/>
    <mergeCell ref="F3:F4"/>
    <mergeCell ref="C5:F5"/>
    <mergeCell ref="C7:F7"/>
  </mergeCells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REV</vt:lpstr>
      <vt:lpstr>ACESSÓRIOS REV</vt:lpstr>
      <vt:lpstr>TRADE IN</vt:lpstr>
      <vt:lpstr>COMPRE E LEVE</vt:lpstr>
      <vt:lpstr>REGRAS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Rosana Daute Moreira</dc:creator>
  <cp:lastModifiedBy>Rosana Daute Moreira</cp:lastModifiedBy>
  <dcterms:created xsi:type="dcterms:W3CDTF">2026-08-11T18:09:36Z</dcterms:created>
  <dcterms:modified xsi:type="dcterms:W3CDTF">2026-08-11T18:12:06Z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87f406a-379f-47ee-930c-6bec6e76f2a4_Enabled">
    <vt:lpwstr>true</vt:lpwstr>
  </property>
  <property fmtid="{D5CDD505-2E9C-101B-9397-08002B2CF9AE}" pid="3" name="MSIP_Label_387f406a-379f-47ee-930c-6bec6e76f2a4_SetDate">
    <vt:lpwstr>2026-08-11T18:10:16Z</vt:lpwstr>
  </property>
  <property fmtid="{D5CDD505-2E9C-101B-9397-08002B2CF9AE}" pid="4" name="MSIP_Label_387f406a-379f-47ee-930c-6bec6e76f2a4_Method">
    <vt:lpwstr>Privileged</vt:lpwstr>
  </property>
  <property fmtid="{D5CDD505-2E9C-101B-9397-08002B2CF9AE}" pid="5" name="MSIP_Label_387f406a-379f-47ee-930c-6bec6e76f2a4_Name">
    <vt:lpwstr>387f406a-379f-47ee-930c-6bec6e76f2a4</vt:lpwstr>
  </property>
  <property fmtid="{D5CDD505-2E9C-101B-9397-08002B2CF9AE}" pid="6" name="MSIP_Label_387f406a-379f-47ee-930c-6bec6e76f2a4_SiteId">
    <vt:lpwstr>57b8c96e-ac2f-4d78-a149-f1fc6817d3c4</vt:lpwstr>
  </property>
  <property fmtid="{D5CDD505-2E9C-101B-9397-08002B2CF9AE}" pid="7" name="MSIP_Label_387f406a-379f-47ee-930c-6bec6e76f2a4_ActionId">
    <vt:lpwstr>60d7cd26-3b78-42cc-a895-a808efbf164a</vt:lpwstr>
  </property>
  <property fmtid="{D5CDD505-2E9C-101B-9397-08002B2CF9AE}" pid="8" name="MSIP_Label_387f406a-379f-47ee-930c-6bec6e76f2a4_ContentBits">
    <vt:lpwstr>2</vt:lpwstr>
  </property>
  <property fmtid="{D5CDD505-2E9C-101B-9397-08002B2CF9AE}" pid="9" name="MSIP_Label_387f406a-379f-47ee-930c-6bec6e76f2a4_Tag">
    <vt:lpwstr>10, 0, 1, 1</vt:lpwstr>
  </property>
</Properties>
</file>